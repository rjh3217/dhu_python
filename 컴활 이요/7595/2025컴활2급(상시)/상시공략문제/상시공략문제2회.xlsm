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2급\상시공략집\2024컴활2급(상시)\상시공략문제\"/>
    </mc:Choice>
  </mc:AlternateContent>
  <xr:revisionPtr revIDLastSave="0" documentId="13_ncr:1_{97ED48DF-215F-4321-9C66-0709BB84C17B}" xr6:coauthVersionLast="47" xr6:coauthVersionMax="47" xr10:uidLastSave="{00000000-0000-0000-0000-000000000000}"/>
  <bookViews>
    <workbookView xWindow="14835" yWindow="3165" windowWidth="22710" windowHeight="15615" tabRatio="896" xr2:uid="{00000000-000D-0000-FFFF-FFFF00000000}"/>
  </bookViews>
  <sheets>
    <sheet name="기본작업-1" sheetId="1" r:id="rId1"/>
    <sheet name="기본작업-2" sheetId="2" r:id="rId2"/>
    <sheet name="기본작업-3" sheetId="9" r:id="rId3"/>
    <sheet name="계산작업" sheetId="3" r:id="rId4"/>
    <sheet name="분석작업-1" sheetId="5" r:id="rId5"/>
    <sheet name="분석작업-2" sheetId="4" r:id="rId6"/>
    <sheet name="매크로작업" sheetId="6" r:id="rId7"/>
    <sheet name="차트작업" sheetId="7" r:id="rId8"/>
  </sheets>
  <definedNames>
    <definedName name="채용결과발표" localSheetId="2">'기본작업-3'!$A$1:$E$16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6" i="9" l="1"/>
  <c r="D15" i="9"/>
  <c r="D14" i="9"/>
  <c r="D13" i="9"/>
  <c r="D12" i="9"/>
  <c r="D11" i="9"/>
  <c r="D10" i="9"/>
  <c r="D9" i="9"/>
  <c r="D8" i="9"/>
  <c r="D7" i="9"/>
  <c r="D6" i="9"/>
  <c r="D5" i="9"/>
  <c r="D4" i="9"/>
  <c r="F9" i="7" l="1"/>
  <c r="F8" i="7"/>
  <c r="F7" i="7"/>
  <c r="F6" i="7"/>
  <c r="F5" i="7"/>
  <c r="F4" i="7"/>
  <c r="D24" i="5" l="1"/>
  <c r="E24" i="5"/>
  <c r="C24" i="5"/>
  <c r="F23" i="5"/>
  <c r="G23" i="5" s="1"/>
  <c r="F22" i="5"/>
  <c r="G22" i="5" s="1"/>
  <c r="F21" i="5"/>
  <c r="G21" i="5" s="1"/>
  <c r="F20" i="5"/>
  <c r="G20" i="5" s="1"/>
  <c r="F19" i="5" l="1"/>
  <c r="G19" i="5" s="1"/>
  <c r="F18" i="5"/>
  <c r="G18" i="5" s="1"/>
  <c r="F17" i="5"/>
  <c r="G17" i="5" s="1"/>
  <c r="F16" i="5"/>
  <c r="G16" i="5" s="1"/>
  <c r="F15" i="5"/>
  <c r="G15" i="5" s="1"/>
  <c r="F14" i="5"/>
  <c r="G14" i="5" s="1"/>
  <c r="F13" i="5"/>
  <c r="G13" i="5" s="1"/>
  <c r="F12" i="5"/>
  <c r="G12" i="5" s="1"/>
  <c r="F11" i="5"/>
  <c r="G11" i="5" s="1"/>
  <c r="F10" i="5"/>
  <c r="G10" i="5" s="1"/>
  <c r="F9" i="5"/>
  <c r="G9" i="5" s="1"/>
  <c r="F8" i="5"/>
  <c r="G8" i="5" s="1"/>
  <c r="F7" i="5"/>
  <c r="F6" i="5"/>
  <c r="G6" i="5" s="1"/>
  <c r="F5" i="5"/>
  <c r="G5" i="5" s="1"/>
  <c r="F4" i="5"/>
  <c r="G4" i="5" s="1"/>
  <c r="F24" i="5" l="1"/>
  <c r="G7" i="5"/>
  <c r="G24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채용결과발표" type="6" refreshedVersion="6" background="1" saveData="1">
    <textPr codePage="65001" sourceFile="E:\영진(2022년)\2급\기출문제2회\채용결과발표.txt" tab="0" comma="1">
      <textFields count="6"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<sst xmlns="http://schemas.openxmlformats.org/spreadsheetml/2006/main" count="244" uniqueCount="192">
  <si>
    <t>가입일</t>
    <phoneticPr fontId="1" type="noConversion"/>
  </si>
  <si>
    <t>구매실적</t>
    <phoneticPr fontId="1" type="noConversion"/>
  </si>
  <si>
    <t>포인트</t>
    <phoneticPr fontId="1" type="noConversion"/>
  </si>
  <si>
    <t>구매</t>
    <phoneticPr fontId="1" type="noConversion"/>
  </si>
  <si>
    <t>이벤트</t>
    <phoneticPr fontId="1" type="noConversion"/>
  </si>
  <si>
    <t>설문</t>
    <phoneticPr fontId="1" type="noConversion"/>
  </si>
  <si>
    <t>합계</t>
    <phoneticPr fontId="1" type="noConversion"/>
  </si>
  <si>
    <t>소멸일자</t>
    <phoneticPr fontId="1" type="noConversion"/>
  </si>
  <si>
    <t>[표2]</t>
    <phoneticPr fontId="1" type="noConversion"/>
  </si>
  <si>
    <t>주민등록번호</t>
    <phoneticPr fontId="1" type="noConversion"/>
  </si>
  <si>
    <t>남</t>
    <phoneticPr fontId="1" type="noConversion"/>
  </si>
  <si>
    <t>910829-1******</t>
    <phoneticPr fontId="1" type="noConversion"/>
  </si>
  <si>
    <t>거래일자</t>
    <phoneticPr fontId="1" type="noConversion"/>
  </si>
  <si>
    <t>할인액</t>
    <phoneticPr fontId="1" type="noConversion"/>
  </si>
  <si>
    <t>(단위 : 만원)</t>
    <phoneticPr fontId="1" type="noConversion"/>
  </si>
  <si>
    <t>지점명</t>
  </si>
  <si>
    <t>제품명</t>
  </si>
  <si>
    <t>입고량</t>
  </si>
  <si>
    <t>판매량</t>
  </si>
  <si>
    <t>판매가</t>
  </si>
  <si>
    <t>총판매액</t>
  </si>
  <si>
    <t>순이익</t>
    <phoneticPr fontId="1" type="noConversion"/>
  </si>
  <si>
    <t>순이익율</t>
    <phoneticPr fontId="1" type="noConversion"/>
  </si>
  <si>
    <t>냉장고</t>
  </si>
  <si>
    <t>세탁기</t>
  </si>
  <si>
    <t>TV</t>
  </si>
  <si>
    <t>도서명</t>
    <phoneticPr fontId="1" type="noConversion"/>
  </si>
  <si>
    <t>회원등급</t>
    <phoneticPr fontId="1" type="noConversion"/>
  </si>
  <si>
    <t>회원별 포인트 보유현황</t>
    <phoneticPr fontId="1" type="noConversion"/>
  </si>
  <si>
    <t>회원명</t>
    <phoneticPr fontId="1" type="noConversion"/>
  </si>
  <si>
    <t>MVG</t>
    <phoneticPr fontId="1" type="noConversion"/>
  </si>
  <si>
    <t>VIP</t>
    <phoneticPr fontId="1" type="noConversion"/>
  </si>
  <si>
    <t>일반</t>
    <phoneticPr fontId="1" type="noConversion"/>
  </si>
  <si>
    <t>골드</t>
    <phoneticPr fontId="1" type="noConversion"/>
  </si>
  <si>
    <t>일반</t>
    <phoneticPr fontId="1" type="noConversion"/>
  </si>
  <si>
    <t>일반</t>
    <phoneticPr fontId="1" type="noConversion"/>
  </si>
  <si>
    <t>골드</t>
    <phoneticPr fontId="1" type="noConversion"/>
  </si>
  <si>
    <t>VIP</t>
    <phoneticPr fontId="1" type="noConversion"/>
  </si>
  <si>
    <t>MVG</t>
    <phoneticPr fontId="1" type="noConversion"/>
  </si>
  <si>
    <t>6월20일</t>
  </si>
  <si>
    <t>6월7일</t>
  </si>
  <si>
    <t>7월15일</t>
  </si>
  <si>
    <t>7월21일</t>
  </si>
  <si>
    <t>7월30일</t>
  </si>
  <si>
    <t>8월4일</t>
  </si>
  <si>
    <t>8월27일</t>
  </si>
  <si>
    <t>8월10일</t>
  </si>
  <si>
    <t>10월6일</t>
  </si>
  <si>
    <t>9월9일</t>
    <phoneticPr fontId="1" type="noConversion"/>
  </si>
  <si>
    <t>최상호</t>
    <phoneticPr fontId="1" type="noConversion"/>
  </si>
  <si>
    <t>백광재</t>
    <phoneticPr fontId="1" type="noConversion"/>
  </si>
  <si>
    <t>서나</t>
    <phoneticPr fontId="1" type="noConversion"/>
  </si>
  <si>
    <t>신동현</t>
    <phoneticPr fontId="1" type="noConversion"/>
  </si>
  <si>
    <t>이순남</t>
    <phoneticPr fontId="1" type="noConversion"/>
  </si>
  <si>
    <t>곽정민</t>
    <phoneticPr fontId="1" type="noConversion"/>
  </si>
  <si>
    <t>김경재</t>
    <phoneticPr fontId="1" type="noConversion"/>
  </si>
  <si>
    <t>선숙자</t>
    <phoneticPr fontId="1" type="noConversion"/>
  </si>
  <si>
    <t>원이</t>
    <phoneticPr fontId="1" type="noConversion"/>
  </si>
  <si>
    <t>전윤재</t>
    <phoneticPr fontId="1" type="noConversion"/>
  </si>
  <si>
    <t>평가결과</t>
    <phoneticPr fontId="1" type="noConversion"/>
  </si>
  <si>
    <t>EN6574</t>
  </si>
  <si>
    <t>EN4156</t>
  </si>
  <si>
    <t>EN4500</t>
  </si>
  <si>
    <t>CH9842</t>
  </si>
  <si>
    <t>CH2897</t>
  </si>
  <si>
    <t>DE1703</t>
  </si>
  <si>
    <t>931016-2******</t>
  </si>
  <si>
    <t>890933-1******</t>
  </si>
  <si>
    <t>920408-2******</t>
  </si>
  <si>
    <t>870725-1******</t>
  </si>
  <si>
    <t>미래상사</t>
  </si>
  <si>
    <t>우리상사</t>
  </si>
  <si>
    <t>영재상사</t>
  </si>
  <si>
    <t>미래상사</t>
    <phoneticPr fontId="1" type="noConversion"/>
  </si>
  <si>
    <t>우리상사</t>
    <phoneticPr fontId="1" type="noConversion"/>
  </si>
  <si>
    <t>실지급액</t>
    <phoneticPr fontId="1" type="noConversion"/>
  </si>
  <si>
    <t>거래업체명</t>
    <phoneticPr fontId="1" type="noConversion"/>
  </si>
  <si>
    <t>거래업체별 거래현황</t>
    <phoneticPr fontId="1" type="noConversion"/>
  </si>
  <si>
    <t>거래금액</t>
    <phoneticPr fontId="1" type="noConversion"/>
  </si>
  <si>
    <t>방배점</t>
    <phoneticPr fontId="1" type="noConversion"/>
  </si>
  <si>
    <t>가전제품 판매현황</t>
    <phoneticPr fontId="1" type="noConversion"/>
  </si>
  <si>
    <t>도곡점</t>
    <phoneticPr fontId="1" type="noConversion"/>
  </si>
  <si>
    <t>서초본점</t>
    <phoneticPr fontId="1" type="noConversion"/>
  </si>
  <si>
    <t>사당역점</t>
    <phoneticPr fontId="1" type="noConversion"/>
  </si>
  <si>
    <t>강남본점</t>
    <phoneticPr fontId="1" type="noConversion"/>
  </si>
  <si>
    <t>건조기</t>
  </si>
  <si>
    <t>질서 너머</t>
    <phoneticPr fontId="1" type="noConversion"/>
  </si>
  <si>
    <t>달러구트 꿈 백화점</t>
    <phoneticPr fontId="1" type="noConversion"/>
  </si>
  <si>
    <t>주린이가 가장 알고 싶은 최다질문 TOP77</t>
    <phoneticPr fontId="1" type="noConversion"/>
  </si>
  <si>
    <t>주택과 세금</t>
    <phoneticPr fontId="1" type="noConversion"/>
  </si>
  <si>
    <t>아몬드</t>
    <phoneticPr fontId="1" type="noConversion"/>
  </si>
  <si>
    <t>마지막 몰입</t>
    <phoneticPr fontId="1" type="noConversion"/>
  </si>
  <si>
    <t>공정하다는 착각</t>
    <phoneticPr fontId="1" type="noConversion"/>
  </si>
  <si>
    <t>강방천의 관점</t>
    <phoneticPr fontId="1" type="noConversion"/>
  </si>
  <si>
    <t>모래알만 한 진실이라도</t>
    <phoneticPr fontId="1" type="noConversion"/>
  </si>
  <si>
    <t>나의 첫 투자 수업</t>
    <phoneticPr fontId="1" type="noConversion"/>
  </si>
  <si>
    <t>평균</t>
    <phoneticPr fontId="1" type="noConversion"/>
  </si>
  <si>
    <t>3/4분기 도서판매현황</t>
    <phoneticPr fontId="1" type="noConversion"/>
  </si>
  <si>
    <t>7월</t>
    <phoneticPr fontId="1" type="noConversion"/>
  </si>
  <si>
    <t>8월</t>
    <phoneticPr fontId="1" type="noConversion"/>
  </si>
  <si>
    <t>9월</t>
    <phoneticPr fontId="1" type="noConversion"/>
  </si>
  <si>
    <t>부서별 인사평가 결과</t>
    <phoneticPr fontId="1" type="noConversion"/>
  </si>
  <si>
    <t>부서명</t>
    <phoneticPr fontId="1" type="noConversion"/>
  </si>
  <si>
    <t>직무수행</t>
    <phoneticPr fontId="1" type="noConversion"/>
  </si>
  <si>
    <t>책임감</t>
    <phoneticPr fontId="1" type="noConversion"/>
  </si>
  <si>
    <t>이해력</t>
    <phoneticPr fontId="1" type="noConversion"/>
  </si>
  <si>
    <t>협동심</t>
    <phoneticPr fontId="1" type="noConversion"/>
  </si>
  <si>
    <t>총점</t>
    <phoneticPr fontId="1" type="noConversion"/>
  </si>
  <si>
    <t>생산부</t>
    <phoneticPr fontId="1" type="noConversion"/>
  </si>
  <si>
    <t>기획부</t>
    <phoneticPr fontId="1" type="noConversion"/>
  </si>
  <si>
    <t>인사부</t>
    <phoneticPr fontId="1" type="noConversion"/>
  </si>
  <si>
    <t>영업부</t>
    <phoneticPr fontId="1" type="noConversion"/>
  </si>
  <si>
    <t>홍보부</t>
    <phoneticPr fontId="1" type="noConversion"/>
  </si>
  <si>
    <t>자재부</t>
    <phoneticPr fontId="1" type="noConversion"/>
  </si>
  <si>
    <t>상공전문학원 모집현황</t>
    <phoneticPr fontId="1" type="noConversion"/>
  </si>
  <si>
    <t>[표1]</t>
    <phoneticPr fontId="1" type="noConversion"/>
  </si>
  <si>
    <t>인사 관리현황</t>
    <phoneticPr fontId="1" type="noConversion"/>
  </si>
  <si>
    <t>성명</t>
    <phoneticPr fontId="1" type="noConversion"/>
  </si>
  <si>
    <t>점수</t>
    <phoneticPr fontId="1" type="noConversion"/>
  </si>
  <si>
    <t>출석</t>
    <phoneticPr fontId="1" type="noConversion"/>
  </si>
  <si>
    <t>면접</t>
    <phoneticPr fontId="1" type="noConversion"/>
  </si>
  <si>
    <t>나이</t>
    <phoneticPr fontId="1" type="noConversion"/>
  </si>
  <si>
    <t>등급</t>
    <phoneticPr fontId="1" type="noConversion"/>
  </si>
  <si>
    <t>비고</t>
    <phoneticPr fontId="1" type="noConversion"/>
  </si>
  <si>
    <t>김경수</t>
    <phoneticPr fontId="1" type="noConversion"/>
  </si>
  <si>
    <t>A</t>
    <phoneticPr fontId="1" type="noConversion"/>
  </si>
  <si>
    <t>B</t>
    <phoneticPr fontId="1" type="noConversion"/>
  </si>
  <si>
    <t>최환석</t>
    <phoneticPr fontId="1" type="noConversion"/>
  </si>
  <si>
    <t>B</t>
    <phoneticPr fontId="1" type="noConversion"/>
  </si>
  <si>
    <t>C</t>
    <phoneticPr fontId="1" type="noConversion"/>
  </si>
  <si>
    <t>이재호</t>
    <phoneticPr fontId="1" type="noConversion"/>
  </si>
  <si>
    <t>B</t>
    <phoneticPr fontId="1" type="noConversion"/>
  </si>
  <si>
    <t>김철민</t>
    <phoneticPr fontId="1" type="noConversion"/>
  </si>
  <si>
    <t>851211-2******</t>
    <phoneticPr fontId="1" type="noConversion"/>
  </si>
  <si>
    <t>최창진</t>
    <phoneticPr fontId="1" type="noConversion"/>
  </si>
  <si>
    <t>900421-1******</t>
    <phoneticPr fontId="1" type="noConversion"/>
  </si>
  <si>
    <t>신현화</t>
    <phoneticPr fontId="1" type="noConversion"/>
  </si>
  <si>
    <t>870630-1******</t>
    <phoneticPr fontId="1" type="noConversion"/>
  </si>
  <si>
    <t>A</t>
    <phoneticPr fontId="1" type="noConversion"/>
  </si>
  <si>
    <t>김승재</t>
    <phoneticPr fontId="1" type="noConversion"/>
  </si>
  <si>
    <t>940114-2******</t>
    <phoneticPr fontId="1" type="noConversion"/>
  </si>
  <si>
    <t>임재형</t>
    <phoneticPr fontId="1" type="noConversion"/>
  </si>
  <si>
    <t>김채율</t>
    <phoneticPr fontId="1" type="noConversion"/>
  </si>
  <si>
    <t>C</t>
    <phoneticPr fontId="1" type="noConversion"/>
  </si>
  <si>
    <t>환자 진료현황</t>
    <phoneticPr fontId="1" type="noConversion"/>
  </si>
  <si>
    <t>환자코드</t>
    <phoneticPr fontId="1" type="noConversion"/>
  </si>
  <si>
    <t>성별</t>
    <phoneticPr fontId="1" type="noConversion"/>
  </si>
  <si>
    <t>담당의사</t>
    <phoneticPr fontId="1" type="noConversion"/>
  </si>
  <si>
    <t>진료과목</t>
    <phoneticPr fontId="1" type="noConversion"/>
  </si>
  <si>
    <t>CH3501</t>
    <phoneticPr fontId="1" type="noConversion"/>
  </si>
  <si>
    <t>이인구</t>
    <phoneticPr fontId="1" type="noConversion"/>
  </si>
  <si>
    <t>남</t>
    <phoneticPr fontId="1" type="noConversion"/>
  </si>
  <si>
    <t>서병규</t>
    <phoneticPr fontId="1" type="noConversion"/>
  </si>
  <si>
    <t>유명상</t>
    <phoneticPr fontId="1" type="noConversion"/>
  </si>
  <si>
    <t>여</t>
    <phoneticPr fontId="1" type="noConversion"/>
  </si>
  <si>
    <t>신진성</t>
    <phoneticPr fontId="1" type="noConversion"/>
  </si>
  <si>
    <t>남</t>
    <phoneticPr fontId="1" type="noConversion"/>
  </si>
  <si>
    <t>선동일</t>
    <phoneticPr fontId="1" type="noConversion"/>
  </si>
  <si>
    <t>조빈</t>
    <phoneticPr fontId="1" type="noConversion"/>
  </si>
  <si>
    <t>여</t>
    <phoneticPr fontId="1" type="noConversion"/>
  </si>
  <si>
    <t>박시내</t>
    <phoneticPr fontId="1" type="noConversion"/>
  </si>
  <si>
    <t>&lt;진료과목표&gt;</t>
    <phoneticPr fontId="1" type="noConversion"/>
  </si>
  <si>
    <t>진료코드</t>
    <phoneticPr fontId="1" type="noConversion"/>
  </si>
  <si>
    <t>CH</t>
    <phoneticPr fontId="1" type="noConversion"/>
  </si>
  <si>
    <t>DE</t>
    <phoneticPr fontId="1" type="noConversion"/>
  </si>
  <si>
    <t>EN</t>
    <phoneticPr fontId="1" type="noConversion"/>
  </si>
  <si>
    <t>진료과목</t>
    <phoneticPr fontId="1" type="noConversion"/>
  </si>
  <si>
    <t>소아청소년과</t>
    <phoneticPr fontId="1" type="noConversion"/>
  </si>
  <si>
    <t>피부과</t>
    <phoneticPr fontId="1" type="noConversion"/>
  </si>
  <si>
    <t>이비인후과</t>
    <phoneticPr fontId="1" type="noConversion"/>
  </si>
  <si>
    <t>신입사원 채용 발표</t>
  </si>
  <si>
    <t>이름</t>
  </si>
  <si>
    <t>시험</t>
  </si>
  <si>
    <t>면접</t>
  </si>
  <si>
    <t>합계</t>
  </si>
  <si>
    <t>지원부서</t>
  </si>
  <si>
    <t>이향훈</t>
  </si>
  <si>
    <t>임우성</t>
  </si>
  <si>
    <t>마케팅부</t>
  </si>
  <si>
    <t>윤용주</t>
  </si>
  <si>
    <t>연대권</t>
  </si>
  <si>
    <t>총무부</t>
    <phoneticPr fontId="1" type="noConversion"/>
  </si>
  <si>
    <t>송삼교</t>
  </si>
  <si>
    <t>영업부</t>
  </si>
  <si>
    <t>서진원</t>
  </si>
  <si>
    <t>민장식</t>
  </si>
  <si>
    <t>박선미</t>
  </si>
  <si>
    <t>조창규</t>
  </si>
  <si>
    <t>정인섭</t>
  </si>
  <si>
    <t>장인숙</t>
  </si>
  <si>
    <t>이지현</t>
  </si>
  <si>
    <t>윤필은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</si>
</sst>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mm&quot;월&quot;\ dd&quot;일&quot;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7" fillId="3" borderId="0" applyNumberFormat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1" fontId="0" fillId="0" borderId="0" xfId="1" applyFont="1">
      <alignment vertical="center"/>
    </xf>
    <xf numFmtId="0" fontId="4" fillId="0" borderId="0" xfId="2" applyFont="1">
      <alignment vertical="center"/>
    </xf>
    <xf numFmtId="0" fontId="5" fillId="0" borderId="0" xfId="2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41" fontId="0" fillId="0" borderId="1" xfId="1" applyFont="1" applyBorder="1">
      <alignment vertical="center"/>
    </xf>
    <xf numFmtId="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8" fillId="0" borderId="0" xfId="0" applyFont="1">
      <alignment vertical="center"/>
    </xf>
    <xf numFmtId="0" fontId="0" fillId="0" borderId="0" xfId="0" applyBorder="1" applyAlignment="1">
      <alignment horizontal="center" vertical="center"/>
    </xf>
    <xf numFmtId="0" fontId="7" fillId="3" borderId="1" xfId="3" applyBorder="1" applyAlignment="1">
      <alignment horizontal="center" vertical="center"/>
    </xf>
    <xf numFmtId="0" fontId="9" fillId="3" borderId="1" xfId="3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4">
    <cellStyle name="강조색1" xfId="3" builtinId="29"/>
    <cellStyle name="쉼표 [0]" xfId="1" builtinId="6"/>
    <cellStyle name="표준" xfId="0" builtinId="0"/>
    <cellStyle name="표준 8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차트작업!$F$3</c:f>
              <c:strCache>
                <c:ptCount val="1"/>
                <c:pt idx="0">
                  <c:v>총점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차트작업!$A$4:$A$9</c:f>
              <c:strCache>
                <c:ptCount val="6"/>
                <c:pt idx="0">
                  <c:v>생산부</c:v>
                </c:pt>
                <c:pt idx="1">
                  <c:v>기획부</c:v>
                </c:pt>
                <c:pt idx="2">
                  <c:v>인사부</c:v>
                </c:pt>
                <c:pt idx="3">
                  <c:v>영업부</c:v>
                </c:pt>
                <c:pt idx="4">
                  <c:v>홍보부</c:v>
                </c:pt>
                <c:pt idx="5">
                  <c:v>자재부</c:v>
                </c:pt>
              </c:strCache>
            </c:strRef>
          </c:cat>
          <c:val>
            <c:numRef>
              <c:f>차트작업!$F$4:$F$9</c:f>
              <c:numCache>
                <c:formatCode>General</c:formatCode>
                <c:ptCount val="6"/>
                <c:pt idx="0">
                  <c:v>83</c:v>
                </c:pt>
                <c:pt idx="1">
                  <c:v>70</c:v>
                </c:pt>
                <c:pt idx="2">
                  <c:v>72</c:v>
                </c:pt>
                <c:pt idx="3">
                  <c:v>77</c:v>
                </c:pt>
                <c:pt idx="4">
                  <c:v>45</c:v>
                </c:pt>
                <c:pt idx="5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7A-419C-B18D-6395639CF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6829328"/>
        <c:axId val="1666822672"/>
      </c:lineChart>
      <c:catAx>
        <c:axId val="1666829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66822672"/>
        <c:crosses val="autoZero"/>
        <c:auto val="1"/>
        <c:lblAlgn val="ctr"/>
        <c:lblOffset val="100"/>
        <c:noMultiLvlLbl val="0"/>
      </c:catAx>
      <c:valAx>
        <c:axId val="166682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66829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6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채용결과발표" adjustColumnWidth="0" connectionId="1" xr16:uid="{87572F63-6E25-43C2-A60B-9D2FAA4B70FA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/>
  </sheetViews>
  <sheetFormatPr defaultRowHeight="16.5" x14ac:dyDescent="0.3"/>
  <cols>
    <col min="2" max="2" width="14.375" bestFit="1" customWidth="1"/>
    <col min="3" max="3" width="16.375" bestFit="1" customWidth="1"/>
    <col min="4" max="4" width="14.375" bestFit="1" customWidth="1"/>
  </cols>
  <sheetData>
    <row r="1" spans="1:1" x14ac:dyDescent="0.3">
      <c r="A1" t="s">
        <v>114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14"/>
  <sheetViews>
    <sheetView workbookViewId="0"/>
  </sheetViews>
  <sheetFormatPr defaultRowHeight="16.5" x14ac:dyDescent="0.3"/>
  <cols>
    <col min="1" max="1" width="11.75" customWidth="1"/>
    <col min="4" max="4" width="11.75" bestFit="1" customWidth="1"/>
  </cols>
  <sheetData>
    <row r="1" spans="1:9" x14ac:dyDescent="0.3">
      <c r="A1" s="17" t="s">
        <v>28</v>
      </c>
    </row>
    <row r="3" spans="1:9" x14ac:dyDescent="0.3">
      <c r="A3" t="s">
        <v>0</v>
      </c>
      <c r="B3" t="s">
        <v>29</v>
      </c>
      <c r="C3" t="s">
        <v>27</v>
      </c>
      <c r="D3" t="s">
        <v>1</v>
      </c>
      <c r="E3" t="s">
        <v>2</v>
      </c>
    </row>
    <row r="4" spans="1:9" x14ac:dyDescent="0.3">
      <c r="E4" s="1" t="s">
        <v>3</v>
      </c>
      <c r="F4" s="1" t="s">
        <v>4</v>
      </c>
      <c r="G4" s="1" t="s">
        <v>5</v>
      </c>
      <c r="H4" s="1" t="s">
        <v>6</v>
      </c>
      <c r="I4" s="1" t="s">
        <v>7</v>
      </c>
    </row>
    <row r="5" spans="1:9" x14ac:dyDescent="0.3">
      <c r="A5" s="2">
        <v>43193</v>
      </c>
      <c r="B5" s="1" t="s">
        <v>49</v>
      </c>
      <c r="C5" s="1" t="s">
        <v>31</v>
      </c>
      <c r="D5" s="3">
        <v>14739200</v>
      </c>
      <c r="E5" s="3">
        <v>737000</v>
      </c>
      <c r="F5" s="3">
        <v>16248</v>
      </c>
      <c r="G5" s="3">
        <v>10000</v>
      </c>
      <c r="H5" s="3">
        <v>763248</v>
      </c>
      <c r="I5" t="s">
        <v>40</v>
      </c>
    </row>
    <row r="6" spans="1:9" x14ac:dyDescent="0.3">
      <c r="A6" s="2">
        <v>43232</v>
      </c>
      <c r="B6" s="1" t="s">
        <v>50</v>
      </c>
      <c r="C6" s="1" t="s">
        <v>38</v>
      </c>
      <c r="D6" s="3">
        <v>17091200</v>
      </c>
      <c r="E6" s="3">
        <v>855000</v>
      </c>
      <c r="F6" s="3">
        <v>19823</v>
      </c>
      <c r="G6" s="3">
        <v>12000</v>
      </c>
      <c r="H6" s="3">
        <v>886823</v>
      </c>
      <c r="I6" t="s">
        <v>39</v>
      </c>
    </row>
    <row r="7" spans="1:9" x14ac:dyDescent="0.3">
      <c r="A7" s="2">
        <v>43306</v>
      </c>
      <c r="B7" s="1" t="s">
        <v>51</v>
      </c>
      <c r="C7" s="1" t="s">
        <v>32</v>
      </c>
      <c r="D7" s="3">
        <v>13171200</v>
      </c>
      <c r="E7" s="3">
        <v>659000</v>
      </c>
      <c r="F7" s="3">
        <v>20154</v>
      </c>
      <c r="G7" s="3">
        <v>20000</v>
      </c>
      <c r="H7" s="3">
        <v>699154</v>
      </c>
      <c r="I7" t="s">
        <v>41</v>
      </c>
    </row>
    <row r="8" spans="1:9" x14ac:dyDescent="0.3">
      <c r="A8" s="2">
        <v>43438</v>
      </c>
      <c r="B8" s="1" t="s">
        <v>52</v>
      </c>
      <c r="C8" s="1" t="s">
        <v>33</v>
      </c>
      <c r="D8" s="3">
        <v>14896000</v>
      </c>
      <c r="E8" s="3">
        <v>745000</v>
      </c>
      <c r="F8" s="3">
        <v>19354</v>
      </c>
      <c r="G8" s="3">
        <v>18000</v>
      </c>
      <c r="H8" s="3">
        <v>782354</v>
      </c>
      <c r="I8" t="s">
        <v>42</v>
      </c>
    </row>
    <row r="9" spans="1:9" x14ac:dyDescent="0.3">
      <c r="A9" s="2">
        <v>43495</v>
      </c>
      <c r="B9" s="1" t="s">
        <v>53</v>
      </c>
      <c r="C9" s="1" t="s">
        <v>35</v>
      </c>
      <c r="D9" s="3">
        <v>11289600</v>
      </c>
      <c r="E9" s="3">
        <v>564000</v>
      </c>
      <c r="F9" s="3">
        <v>31967</v>
      </c>
      <c r="G9" s="3">
        <v>18000</v>
      </c>
      <c r="H9" s="3">
        <v>613967</v>
      </c>
      <c r="I9" t="s">
        <v>43</v>
      </c>
    </row>
    <row r="10" spans="1:9" x14ac:dyDescent="0.3">
      <c r="A10" s="2">
        <v>43535</v>
      </c>
      <c r="B10" s="1" t="s">
        <v>54</v>
      </c>
      <c r="C10" s="1" t="s">
        <v>34</v>
      </c>
      <c r="D10" s="3">
        <v>10662400</v>
      </c>
      <c r="E10" s="3">
        <v>533000</v>
      </c>
      <c r="F10" s="3">
        <v>26875</v>
      </c>
      <c r="G10" s="3">
        <v>15000</v>
      </c>
      <c r="H10" s="3">
        <v>574875</v>
      </c>
      <c r="I10" t="s">
        <v>44</v>
      </c>
    </row>
    <row r="11" spans="1:9" x14ac:dyDescent="0.3">
      <c r="A11" s="2">
        <v>43567</v>
      </c>
      <c r="B11" s="1" t="s">
        <v>55</v>
      </c>
      <c r="C11" s="1" t="s">
        <v>36</v>
      </c>
      <c r="D11" s="3">
        <v>14739200</v>
      </c>
      <c r="E11" s="3">
        <v>737000</v>
      </c>
      <c r="F11" s="3">
        <v>21984</v>
      </c>
      <c r="G11" s="3">
        <v>15000</v>
      </c>
      <c r="H11" s="3">
        <v>773984</v>
      </c>
      <c r="I11" t="s">
        <v>46</v>
      </c>
    </row>
    <row r="12" spans="1:9" x14ac:dyDescent="0.3">
      <c r="A12" s="2">
        <v>44031</v>
      </c>
      <c r="B12" s="1" t="s">
        <v>57</v>
      </c>
      <c r="C12" s="1" t="s">
        <v>30</v>
      </c>
      <c r="D12" s="3">
        <v>15523200</v>
      </c>
      <c r="E12" s="3">
        <v>776000</v>
      </c>
      <c r="F12" s="3">
        <v>33021</v>
      </c>
      <c r="G12" s="3">
        <v>16000</v>
      </c>
      <c r="H12" s="3">
        <v>825021</v>
      </c>
      <c r="I12" t="s">
        <v>45</v>
      </c>
    </row>
    <row r="13" spans="1:9" x14ac:dyDescent="0.3">
      <c r="A13" s="2">
        <v>44058</v>
      </c>
      <c r="B13" s="1" t="s">
        <v>58</v>
      </c>
      <c r="C13" s="1" t="s">
        <v>37</v>
      </c>
      <c r="D13" s="3">
        <v>18188800</v>
      </c>
      <c r="E13" s="3">
        <v>909000</v>
      </c>
      <c r="F13" s="3">
        <v>13519</v>
      </c>
      <c r="G13" s="3">
        <v>10000</v>
      </c>
      <c r="H13" s="3">
        <v>932519</v>
      </c>
      <c r="I13" t="s">
        <v>48</v>
      </c>
    </row>
    <row r="14" spans="1:9" x14ac:dyDescent="0.3">
      <c r="A14" s="2">
        <v>44158</v>
      </c>
      <c r="B14" s="1" t="s">
        <v>56</v>
      </c>
      <c r="C14" s="1" t="s">
        <v>35</v>
      </c>
      <c r="D14" s="3">
        <v>13171200</v>
      </c>
      <c r="E14" s="3">
        <v>659000</v>
      </c>
      <c r="F14" s="3">
        <v>26934</v>
      </c>
      <c r="G14" s="3">
        <v>24000</v>
      </c>
      <c r="H14" s="3">
        <v>709934</v>
      </c>
      <c r="I14" t="s">
        <v>47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16"/>
  <sheetViews>
    <sheetView workbookViewId="0"/>
  </sheetViews>
  <sheetFormatPr defaultRowHeight="16.5" x14ac:dyDescent="0.3"/>
  <sheetData>
    <row r="1" spans="1:5" x14ac:dyDescent="0.3">
      <c r="A1" t="s">
        <v>170</v>
      </c>
    </row>
    <row r="3" spans="1:5" x14ac:dyDescent="0.3">
      <c r="A3" s="22" t="s">
        <v>171</v>
      </c>
      <c r="B3" s="22" t="s">
        <v>172</v>
      </c>
      <c r="C3" s="22" t="s">
        <v>173</v>
      </c>
      <c r="D3" s="22" t="s">
        <v>174</v>
      </c>
      <c r="E3" s="22" t="s">
        <v>175</v>
      </c>
    </row>
    <row r="4" spans="1:5" x14ac:dyDescent="0.3">
      <c r="A4" s="22" t="s">
        <v>176</v>
      </c>
      <c r="B4" s="13">
        <v>79</v>
      </c>
      <c r="C4" s="13">
        <v>89</v>
      </c>
      <c r="D4" s="13">
        <f>B4+C4</f>
        <v>168</v>
      </c>
      <c r="E4" s="16" t="s">
        <v>111</v>
      </c>
    </row>
    <row r="5" spans="1:5" x14ac:dyDescent="0.3">
      <c r="A5" s="22" t="s">
        <v>177</v>
      </c>
      <c r="B5" s="13">
        <v>98</v>
      </c>
      <c r="C5" s="13">
        <v>87</v>
      </c>
      <c r="D5" s="13">
        <f t="shared" ref="D5:D16" si="0">B5+C5</f>
        <v>185</v>
      </c>
      <c r="E5" s="16" t="s">
        <v>178</v>
      </c>
    </row>
    <row r="6" spans="1:5" x14ac:dyDescent="0.3">
      <c r="A6" s="22" t="s">
        <v>179</v>
      </c>
      <c r="B6" s="13">
        <v>88</v>
      </c>
      <c r="C6" s="13">
        <v>81</v>
      </c>
      <c r="D6" s="13">
        <f t="shared" si="0"/>
        <v>169</v>
      </c>
      <c r="E6" s="16" t="s">
        <v>112</v>
      </c>
    </row>
    <row r="7" spans="1:5" x14ac:dyDescent="0.3">
      <c r="A7" s="22" t="s">
        <v>180</v>
      </c>
      <c r="B7" s="13">
        <v>81</v>
      </c>
      <c r="C7" s="13">
        <v>80</v>
      </c>
      <c r="D7" s="13">
        <f t="shared" si="0"/>
        <v>161</v>
      </c>
      <c r="E7" s="16" t="s">
        <v>181</v>
      </c>
    </row>
    <row r="8" spans="1:5" x14ac:dyDescent="0.3">
      <c r="A8" s="22" t="s">
        <v>182</v>
      </c>
      <c r="B8" s="13">
        <v>90</v>
      </c>
      <c r="C8" s="13">
        <v>96</v>
      </c>
      <c r="D8" s="13">
        <f t="shared" si="0"/>
        <v>186</v>
      </c>
      <c r="E8" s="16" t="s">
        <v>183</v>
      </c>
    </row>
    <row r="9" spans="1:5" x14ac:dyDescent="0.3">
      <c r="A9" s="22" t="s">
        <v>184</v>
      </c>
      <c r="B9" s="13">
        <v>79</v>
      </c>
      <c r="C9" s="13">
        <v>76</v>
      </c>
      <c r="D9" s="13">
        <f t="shared" si="0"/>
        <v>155</v>
      </c>
      <c r="E9" s="16" t="s">
        <v>181</v>
      </c>
    </row>
    <row r="10" spans="1:5" x14ac:dyDescent="0.3">
      <c r="A10" s="22" t="s">
        <v>185</v>
      </c>
      <c r="B10" s="13">
        <v>86</v>
      </c>
      <c r="C10" s="13">
        <v>81</v>
      </c>
      <c r="D10" s="13">
        <f t="shared" si="0"/>
        <v>167</v>
      </c>
      <c r="E10" s="16" t="s">
        <v>109</v>
      </c>
    </row>
    <row r="11" spans="1:5" x14ac:dyDescent="0.3">
      <c r="A11" s="22" t="s">
        <v>186</v>
      </c>
      <c r="B11" s="13">
        <v>83</v>
      </c>
      <c r="C11" s="13">
        <v>90</v>
      </c>
      <c r="D11" s="13">
        <f t="shared" si="0"/>
        <v>173</v>
      </c>
      <c r="E11" s="16" t="s">
        <v>183</v>
      </c>
    </row>
    <row r="12" spans="1:5" x14ac:dyDescent="0.3">
      <c r="A12" s="22" t="s">
        <v>187</v>
      </c>
      <c r="B12" s="13">
        <v>95</v>
      </c>
      <c r="C12" s="13">
        <v>96</v>
      </c>
      <c r="D12" s="13">
        <f t="shared" si="0"/>
        <v>191</v>
      </c>
      <c r="E12" s="16" t="s">
        <v>183</v>
      </c>
    </row>
    <row r="13" spans="1:5" x14ac:dyDescent="0.3">
      <c r="A13" s="22" t="s">
        <v>188</v>
      </c>
      <c r="B13" s="13">
        <v>92</v>
      </c>
      <c r="C13" s="13">
        <v>88</v>
      </c>
      <c r="D13" s="13">
        <f t="shared" si="0"/>
        <v>180</v>
      </c>
      <c r="E13" s="16" t="s">
        <v>178</v>
      </c>
    </row>
    <row r="14" spans="1:5" x14ac:dyDescent="0.3">
      <c r="A14" s="22" t="s">
        <v>189</v>
      </c>
      <c r="B14" s="13">
        <v>84</v>
      </c>
      <c r="C14" s="13">
        <v>87</v>
      </c>
      <c r="D14" s="13">
        <f t="shared" si="0"/>
        <v>171</v>
      </c>
      <c r="E14" s="16" t="s">
        <v>178</v>
      </c>
    </row>
    <row r="15" spans="1:5" x14ac:dyDescent="0.3">
      <c r="A15" s="22" t="s">
        <v>190</v>
      </c>
      <c r="B15" s="13">
        <v>70</v>
      </c>
      <c r="C15" s="13">
        <v>61</v>
      </c>
      <c r="D15" s="13">
        <f t="shared" si="0"/>
        <v>131</v>
      </c>
      <c r="E15" s="16" t="s">
        <v>109</v>
      </c>
    </row>
    <row r="16" spans="1:5" x14ac:dyDescent="0.3">
      <c r="A16" s="22" t="s">
        <v>191</v>
      </c>
      <c r="B16" s="13">
        <v>59</v>
      </c>
      <c r="C16" s="13">
        <v>56</v>
      </c>
      <c r="D16" s="13">
        <f t="shared" si="0"/>
        <v>115</v>
      </c>
      <c r="E16" s="16" t="s">
        <v>109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25"/>
  <sheetViews>
    <sheetView workbookViewId="0"/>
  </sheetViews>
  <sheetFormatPr defaultRowHeight="16.5" x14ac:dyDescent="0.3"/>
  <cols>
    <col min="2" max="2" width="13.625" bestFit="1" customWidth="1"/>
    <col min="4" max="4" width="12.375" bestFit="1" customWidth="1"/>
  </cols>
  <sheetData>
    <row r="1" spans="1:9" x14ac:dyDescent="0.3">
      <c r="A1" s="4" t="s">
        <v>115</v>
      </c>
      <c r="B1" s="5" t="s">
        <v>116</v>
      </c>
    </row>
    <row r="2" spans="1:9" x14ac:dyDescent="0.3">
      <c r="A2" s="21" t="s">
        <v>117</v>
      </c>
      <c r="B2" s="8" t="s">
        <v>9</v>
      </c>
      <c r="C2" s="21" t="s">
        <v>118</v>
      </c>
      <c r="D2" s="21" t="s">
        <v>119</v>
      </c>
      <c r="E2" s="21" t="s">
        <v>120</v>
      </c>
      <c r="F2" s="7" t="s">
        <v>59</v>
      </c>
      <c r="G2" s="7" t="s">
        <v>121</v>
      </c>
      <c r="H2" s="7" t="s">
        <v>122</v>
      </c>
      <c r="I2" s="7" t="s">
        <v>123</v>
      </c>
    </row>
    <row r="3" spans="1:9" x14ac:dyDescent="0.3">
      <c r="A3" s="21" t="s">
        <v>124</v>
      </c>
      <c r="B3" s="21" t="s">
        <v>66</v>
      </c>
      <c r="C3" s="9">
        <v>84</v>
      </c>
      <c r="D3" s="9" t="s">
        <v>125</v>
      </c>
      <c r="E3" s="9" t="s">
        <v>126</v>
      </c>
      <c r="F3" s="21"/>
      <c r="G3" s="21"/>
      <c r="H3" s="21"/>
      <c r="I3" s="21"/>
    </row>
    <row r="4" spans="1:9" x14ac:dyDescent="0.3">
      <c r="A4" s="21" t="s">
        <v>127</v>
      </c>
      <c r="B4" s="21" t="s">
        <v>68</v>
      </c>
      <c r="C4" s="9">
        <v>57</v>
      </c>
      <c r="D4" s="9" t="s">
        <v>128</v>
      </c>
      <c r="E4" s="9" t="s">
        <v>129</v>
      </c>
      <c r="F4" s="21"/>
      <c r="G4" s="21"/>
      <c r="H4" s="21"/>
      <c r="I4" s="21"/>
    </row>
    <row r="5" spans="1:9" x14ac:dyDescent="0.3">
      <c r="A5" s="21" t="s">
        <v>130</v>
      </c>
      <c r="B5" s="21" t="s">
        <v>69</v>
      </c>
      <c r="C5" s="9">
        <v>95</v>
      </c>
      <c r="D5" s="9" t="s">
        <v>131</v>
      </c>
      <c r="E5" s="9" t="s">
        <v>125</v>
      </c>
      <c r="F5" s="21"/>
      <c r="G5" s="21"/>
      <c r="H5" s="21"/>
      <c r="I5" s="21"/>
    </row>
    <row r="6" spans="1:9" x14ac:dyDescent="0.3">
      <c r="A6" s="21" t="s">
        <v>132</v>
      </c>
      <c r="B6" s="21" t="s">
        <v>133</v>
      </c>
      <c r="C6" s="9">
        <v>86</v>
      </c>
      <c r="D6" s="9" t="s">
        <v>131</v>
      </c>
      <c r="E6" s="9" t="s">
        <v>129</v>
      </c>
      <c r="F6" s="21"/>
      <c r="G6" s="21"/>
      <c r="H6" s="21"/>
      <c r="I6" s="21"/>
    </row>
    <row r="7" spans="1:9" x14ac:dyDescent="0.3">
      <c r="A7" s="21" t="s">
        <v>134</v>
      </c>
      <c r="B7" s="21" t="s">
        <v>135</v>
      </c>
      <c r="C7" s="9">
        <v>99</v>
      </c>
      <c r="D7" s="9" t="s">
        <v>125</v>
      </c>
      <c r="E7" s="9" t="s">
        <v>125</v>
      </c>
      <c r="F7" s="21"/>
      <c r="G7" s="21"/>
      <c r="H7" s="21"/>
      <c r="I7" s="21"/>
    </row>
    <row r="8" spans="1:9" x14ac:dyDescent="0.3">
      <c r="A8" s="21" t="s">
        <v>136</v>
      </c>
      <c r="B8" s="21" t="s">
        <v>137</v>
      </c>
      <c r="C8" s="9">
        <v>87</v>
      </c>
      <c r="D8" s="9" t="s">
        <v>138</v>
      </c>
      <c r="E8" s="9" t="s">
        <v>138</v>
      </c>
      <c r="F8" s="21"/>
      <c r="G8" s="21"/>
      <c r="H8" s="21"/>
      <c r="I8" s="21"/>
    </row>
    <row r="9" spans="1:9" x14ac:dyDescent="0.3">
      <c r="A9" s="21" t="s">
        <v>139</v>
      </c>
      <c r="B9" s="21" t="s">
        <v>140</v>
      </c>
      <c r="C9" s="9">
        <v>62</v>
      </c>
      <c r="D9" s="9" t="s">
        <v>128</v>
      </c>
      <c r="E9" s="9" t="s">
        <v>129</v>
      </c>
      <c r="F9" s="21"/>
      <c r="G9" s="21"/>
      <c r="H9" s="21"/>
      <c r="I9" s="21"/>
    </row>
    <row r="10" spans="1:9" x14ac:dyDescent="0.3">
      <c r="A10" s="21" t="s">
        <v>141</v>
      </c>
      <c r="B10" s="21" t="s">
        <v>11</v>
      </c>
      <c r="C10" s="9">
        <v>75</v>
      </c>
      <c r="D10" s="9" t="s">
        <v>131</v>
      </c>
      <c r="E10" s="9" t="s">
        <v>138</v>
      </c>
      <c r="F10" s="21"/>
      <c r="G10" s="21"/>
      <c r="H10" s="21"/>
      <c r="I10" s="21"/>
    </row>
    <row r="11" spans="1:9" x14ac:dyDescent="0.3">
      <c r="A11" s="21" t="s">
        <v>142</v>
      </c>
      <c r="B11" s="21" t="s">
        <v>67</v>
      </c>
      <c r="C11" s="9">
        <v>81</v>
      </c>
      <c r="D11" s="9" t="s">
        <v>143</v>
      </c>
      <c r="E11" s="9" t="s">
        <v>131</v>
      </c>
      <c r="F11" s="21"/>
      <c r="G11" s="21"/>
      <c r="H11" s="21"/>
      <c r="I11" s="21"/>
    </row>
    <row r="13" spans="1:9" x14ac:dyDescent="0.3">
      <c r="A13" s="4" t="s">
        <v>8</v>
      </c>
      <c r="B13" s="5" t="s">
        <v>144</v>
      </c>
    </row>
    <row r="14" spans="1:9" x14ac:dyDescent="0.3">
      <c r="A14" s="21" t="s">
        <v>145</v>
      </c>
      <c r="B14" s="21" t="s">
        <v>146</v>
      </c>
      <c r="C14" s="21" t="s">
        <v>147</v>
      </c>
      <c r="D14" s="7" t="s">
        <v>148</v>
      </c>
    </row>
    <row r="15" spans="1:9" x14ac:dyDescent="0.3">
      <c r="A15" s="21" t="s">
        <v>149</v>
      </c>
      <c r="B15" s="21" t="s">
        <v>10</v>
      </c>
      <c r="C15" s="21" t="s">
        <v>150</v>
      </c>
      <c r="D15" s="21"/>
      <c r="E15" s="18"/>
      <c r="F15" s="18"/>
    </row>
    <row r="16" spans="1:9" x14ac:dyDescent="0.3">
      <c r="A16" s="21" t="s">
        <v>63</v>
      </c>
      <c r="B16" s="21" t="s">
        <v>151</v>
      </c>
      <c r="C16" s="21" t="s">
        <v>152</v>
      </c>
      <c r="D16" s="21"/>
      <c r="E16" s="18"/>
      <c r="F16" s="18"/>
    </row>
    <row r="17" spans="1:6" x14ac:dyDescent="0.3">
      <c r="A17" s="21" t="s">
        <v>60</v>
      </c>
      <c r="B17" s="21" t="s">
        <v>151</v>
      </c>
      <c r="C17" s="21" t="s">
        <v>153</v>
      </c>
      <c r="D17" s="21"/>
      <c r="E17" s="18"/>
      <c r="F17" s="18"/>
    </row>
    <row r="18" spans="1:6" x14ac:dyDescent="0.3">
      <c r="A18" s="21" t="s">
        <v>65</v>
      </c>
      <c r="B18" s="21" t="s">
        <v>154</v>
      </c>
      <c r="C18" s="21" t="s">
        <v>155</v>
      </c>
      <c r="D18" s="21"/>
      <c r="E18" s="18"/>
      <c r="F18" s="18"/>
    </row>
    <row r="19" spans="1:6" x14ac:dyDescent="0.3">
      <c r="A19" s="21" t="s">
        <v>61</v>
      </c>
      <c r="B19" s="21" t="s">
        <v>156</v>
      </c>
      <c r="C19" s="21" t="s">
        <v>157</v>
      </c>
      <c r="D19" s="21"/>
      <c r="E19" s="18"/>
      <c r="F19" s="18"/>
    </row>
    <row r="20" spans="1:6" x14ac:dyDescent="0.3">
      <c r="A20" s="21" t="s">
        <v>64</v>
      </c>
      <c r="B20" s="21" t="s">
        <v>154</v>
      </c>
      <c r="C20" s="21" t="s">
        <v>158</v>
      </c>
      <c r="D20" s="21"/>
      <c r="E20" s="18"/>
      <c r="F20" s="18"/>
    </row>
    <row r="21" spans="1:6" x14ac:dyDescent="0.3">
      <c r="A21" s="21" t="s">
        <v>62</v>
      </c>
      <c r="B21" s="21" t="s">
        <v>159</v>
      </c>
      <c r="C21" s="21" t="s">
        <v>160</v>
      </c>
      <c r="D21" s="21"/>
      <c r="E21" s="18"/>
      <c r="F21" s="18"/>
    </row>
    <row r="22" spans="1:6" x14ac:dyDescent="0.3">
      <c r="A22" s="18"/>
      <c r="B22" s="18"/>
      <c r="C22" s="18"/>
      <c r="D22" s="18"/>
      <c r="E22" s="18"/>
      <c r="F22" s="18"/>
    </row>
    <row r="23" spans="1:6" x14ac:dyDescent="0.3">
      <c r="A23" t="s">
        <v>161</v>
      </c>
    </row>
    <row r="24" spans="1:6" x14ac:dyDescent="0.3">
      <c r="A24" s="21" t="s">
        <v>162</v>
      </c>
      <c r="B24" s="21" t="s">
        <v>163</v>
      </c>
      <c r="C24" s="21" t="s">
        <v>164</v>
      </c>
      <c r="D24" s="21" t="s">
        <v>165</v>
      </c>
      <c r="E24" s="18"/>
      <c r="F24" s="18"/>
    </row>
    <row r="25" spans="1:6" x14ac:dyDescent="0.3">
      <c r="A25" s="21" t="s">
        <v>166</v>
      </c>
      <c r="B25" s="21" t="s">
        <v>167</v>
      </c>
      <c r="C25" s="21" t="s">
        <v>168</v>
      </c>
      <c r="D25" s="21" t="s">
        <v>169</v>
      </c>
      <c r="E25" s="18"/>
      <c r="F25" s="1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I24"/>
  <sheetViews>
    <sheetView workbookViewId="0">
      <selection sqref="A1:G1"/>
    </sheetView>
  </sheetViews>
  <sheetFormatPr defaultRowHeight="16.5" x14ac:dyDescent="0.3"/>
  <sheetData>
    <row r="1" spans="1:9" ht="20.25" x14ac:dyDescent="0.3">
      <c r="A1" s="27" t="s">
        <v>80</v>
      </c>
      <c r="B1" s="27"/>
      <c r="C1" s="27"/>
      <c r="D1" s="27"/>
      <c r="E1" s="27"/>
      <c r="F1" s="27"/>
      <c r="G1" s="27"/>
    </row>
    <row r="2" spans="1:9" x14ac:dyDescent="0.3">
      <c r="G2" s="12" t="s">
        <v>14</v>
      </c>
    </row>
    <row r="3" spans="1:9" x14ac:dyDescent="0.3">
      <c r="A3" s="6" t="s">
        <v>15</v>
      </c>
      <c r="B3" s="6" t="s">
        <v>16</v>
      </c>
      <c r="C3" s="6" t="s">
        <v>17</v>
      </c>
      <c r="D3" s="6" t="s">
        <v>18</v>
      </c>
      <c r="E3" s="6" t="s">
        <v>19</v>
      </c>
      <c r="F3" s="6" t="s">
        <v>20</v>
      </c>
      <c r="G3" s="8" t="s">
        <v>21</v>
      </c>
      <c r="I3" s="8" t="s">
        <v>22</v>
      </c>
    </row>
    <row r="4" spans="1:9" x14ac:dyDescent="0.3">
      <c r="A4" s="24" t="s">
        <v>81</v>
      </c>
      <c r="B4" s="6" t="s">
        <v>23</v>
      </c>
      <c r="C4" s="11">
        <v>120</v>
      </c>
      <c r="D4" s="11">
        <v>72</v>
      </c>
      <c r="E4" s="11">
        <v>220</v>
      </c>
      <c r="F4" s="11">
        <f>D4*E4</f>
        <v>15840</v>
      </c>
      <c r="G4" s="13">
        <f>F4*$I$4</f>
        <v>3168</v>
      </c>
      <c r="I4" s="14">
        <v>0.2</v>
      </c>
    </row>
    <row r="5" spans="1:9" x14ac:dyDescent="0.3">
      <c r="A5" s="25"/>
      <c r="B5" s="6" t="s">
        <v>24</v>
      </c>
      <c r="C5" s="11">
        <v>150</v>
      </c>
      <c r="D5" s="11">
        <v>128</v>
      </c>
      <c r="E5" s="11">
        <v>110</v>
      </c>
      <c r="F5" s="11">
        <f t="shared" ref="F5:F19" si="0">D5*E5</f>
        <v>14080</v>
      </c>
      <c r="G5" s="13">
        <f t="shared" ref="G5:G19" si="1">F5*$I$4</f>
        <v>2816</v>
      </c>
    </row>
    <row r="6" spans="1:9" x14ac:dyDescent="0.3">
      <c r="A6" s="25"/>
      <c r="B6" s="6" t="s">
        <v>25</v>
      </c>
      <c r="C6" s="11">
        <v>200</v>
      </c>
      <c r="D6" s="11">
        <v>142</v>
      </c>
      <c r="E6" s="11">
        <v>130</v>
      </c>
      <c r="F6" s="11">
        <f t="shared" si="0"/>
        <v>18460</v>
      </c>
      <c r="G6" s="13">
        <f t="shared" si="1"/>
        <v>3692</v>
      </c>
    </row>
    <row r="7" spans="1:9" x14ac:dyDescent="0.3">
      <c r="A7" s="26"/>
      <c r="B7" s="6" t="s">
        <v>85</v>
      </c>
      <c r="C7" s="11">
        <v>120</v>
      </c>
      <c r="D7" s="11">
        <v>84</v>
      </c>
      <c r="E7" s="11">
        <v>125</v>
      </c>
      <c r="F7" s="11">
        <f t="shared" si="0"/>
        <v>10500</v>
      </c>
      <c r="G7" s="13">
        <f t="shared" si="1"/>
        <v>2100</v>
      </c>
    </row>
    <row r="8" spans="1:9" x14ac:dyDescent="0.3">
      <c r="A8" s="24" t="s">
        <v>84</v>
      </c>
      <c r="B8" s="6" t="s">
        <v>23</v>
      </c>
      <c r="C8" s="11">
        <v>150</v>
      </c>
      <c r="D8" s="11">
        <v>123</v>
      </c>
      <c r="E8" s="11">
        <v>220</v>
      </c>
      <c r="F8" s="11">
        <f t="shared" si="0"/>
        <v>27060</v>
      </c>
      <c r="G8" s="13">
        <f t="shared" si="1"/>
        <v>5412</v>
      </c>
    </row>
    <row r="9" spans="1:9" x14ac:dyDescent="0.3">
      <c r="A9" s="25"/>
      <c r="B9" s="6" t="s">
        <v>24</v>
      </c>
      <c r="C9" s="11">
        <v>120</v>
      </c>
      <c r="D9" s="11">
        <v>86</v>
      </c>
      <c r="E9" s="11">
        <v>110</v>
      </c>
      <c r="F9" s="11">
        <f t="shared" si="0"/>
        <v>9460</v>
      </c>
      <c r="G9" s="13">
        <f t="shared" si="1"/>
        <v>1892</v>
      </c>
    </row>
    <row r="10" spans="1:9" x14ac:dyDescent="0.3">
      <c r="A10" s="25"/>
      <c r="B10" s="6" t="s">
        <v>25</v>
      </c>
      <c r="C10" s="11">
        <v>200</v>
      </c>
      <c r="D10" s="11">
        <v>168</v>
      </c>
      <c r="E10" s="11">
        <v>130</v>
      </c>
      <c r="F10" s="11">
        <f t="shared" si="0"/>
        <v>21840</v>
      </c>
      <c r="G10" s="13">
        <f t="shared" si="1"/>
        <v>4368</v>
      </c>
    </row>
    <row r="11" spans="1:9" x14ac:dyDescent="0.3">
      <c r="A11" s="26"/>
      <c r="B11" s="6" t="s">
        <v>85</v>
      </c>
      <c r="C11" s="11">
        <v>300</v>
      </c>
      <c r="D11" s="11">
        <v>164</v>
      </c>
      <c r="E11" s="11">
        <v>125</v>
      </c>
      <c r="F11" s="11">
        <f t="shared" si="0"/>
        <v>20500</v>
      </c>
      <c r="G11" s="13">
        <f t="shared" si="1"/>
        <v>4100</v>
      </c>
    </row>
    <row r="12" spans="1:9" x14ac:dyDescent="0.3">
      <c r="A12" s="24" t="s">
        <v>82</v>
      </c>
      <c r="B12" s="6" t="s">
        <v>23</v>
      </c>
      <c r="C12" s="11">
        <v>150</v>
      </c>
      <c r="D12" s="11">
        <v>99</v>
      </c>
      <c r="E12" s="11">
        <v>220</v>
      </c>
      <c r="F12" s="11">
        <f t="shared" si="0"/>
        <v>21780</v>
      </c>
      <c r="G12" s="13">
        <f t="shared" si="1"/>
        <v>4356</v>
      </c>
    </row>
    <row r="13" spans="1:9" x14ac:dyDescent="0.3">
      <c r="A13" s="25"/>
      <c r="B13" s="6" t="s">
        <v>24</v>
      </c>
      <c r="C13" s="11">
        <v>200</v>
      </c>
      <c r="D13" s="11">
        <v>111</v>
      </c>
      <c r="E13" s="11">
        <v>110</v>
      </c>
      <c r="F13" s="11">
        <f t="shared" si="0"/>
        <v>12210</v>
      </c>
      <c r="G13" s="13">
        <f t="shared" si="1"/>
        <v>2442</v>
      </c>
    </row>
    <row r="14" spans="1:9" x14ac:dyDescent="0.3">
      <c r="A14" s="25"/>
      <c r="B14" s="6" t="s">
        <v>25</v>
      </c>
      <c r="C14" s="11">
        <v>250</v>
      </c>
      <c r="D14" s="11">
        <v>201</v>
      </c>
      <c r="E14" s="11">
        <v>130</v>
      </c>
      <c r="F14" s="11">
        <f t="shared" si="0"/>
        <v>26130</v>
      </c>
      <c r="G14" s="13">
        <f t="shared" si="1"/>
        <v>5226</v>
      </c>
    </row>
    <row r="15" spans="1:9" x14ac:dyDescent="0.3">
      <c r="A15" s="26"/>
      <c r="B15" s="6" t="s">
        <v>85</v>
      </c>
      <c r="C15" s="11">
        <v>200</v>
      </c>
      <c r="D15" s="11">
        <v>139</v>
      </c>
      <c r="E15" s="11">
        <v>125</v>
      </c>
      <c r="F15" s="11">
        <f t="shared" si="0"/>
        <v>17375</v>
      </c>
      <c r="G15" s="13">
        <f t="shared" si="1"/>
        <v>3475</v>
      </c>
    </row>
    <row r="16" spans="1:9" x14ac:dyDescent="0.3">
      <c r="A16" s="24" t="s">
        <v>79</v>
      </c>
      <c r="B16" s="6" t="s">
        <v>23</v>
      </c>
      <c r="C16" s="11">
        <v>150</v>
      </c>
      <c r="D16" s="11">
        <v>109</v>
      </c>
      <c r="E16" s="11">
        <v>220</v>
      </c>
      <c r="F16" s="11">
        <f t="shared" si="0"/>
        <v>23980</v>
      </c>
      <c r="G16" s="13">
        <f t="shared" si="1"/>
        <v>4796</v>
      </c>
    </row>
    <row r="17" spans="1:7" x14ac:dyDescent="0.3">
      <c r="A17" s="25"/>
      <c r="B17" s="6" t="s">
        <v>24</v>
      </c>
      <c r="C17" s="11">
        <v>120</v>
      </c>
      <c r="D17" s="11">
        <v>92</v>
      </c>
      <c r="E17" s="11">
        <v>110</v>
      </c>
      <c r="F17" s="11">
        <f t="shared" si="0"/>
        <v>10120</v>
      </c>
      <c r="G17" s="13">
        <f t="shared" si="1"/>
        <v>2024</v>
      </c>
    </row>
    <row r="18" spans="1:7" x14ac:dyDescent="0.3">
      <c r="A18" s="25"/>
      <c r="B18" s="6" t="s">
        <v>25</v>
      </c>
      <c r="C18" s="11">
        <v>150</v>
      </c>
      <c r="D18" s="11">
        <v>77</v>
      </c>
      <c r="E18" s="11">
        <v>130</v>
      </c>
      <c r="F18" s="11">
        <f t="shared" si="0"/>
        <v>10010</v>
      </c>
      <c r="G18" s="13">
        <f t="shared" si="1"/>
        <v>2002</v>
      </c>
    </row>
    <row r="19" spans="1:7" x14ac:dyDescent="0.3">
      <c r="A19" s="26"/>
      <c r="B19" s="6" t="s">
        <v>85</v>
      </c>
      <c r="C19" s="11">
        <v>200</v>
      </c>
      <c r="D19" s="11">
        <v>175</v>
      </c>
      <c r="E19" s="11">
        <v>235</v>
      </c>
      <c r="F19" s="11">
        <f t="shared" si="0"/>
        <v>41125</v>
      </c>
      <c r="G19" s="13">
        <f t="shared" si="1"/>
        <v>8225</v>
      </c>
    </row>
    <row r="20" spans="1:7" x14ac:dyDescent="0.3">
      <c r="A20" s="24" t="s">
        <v>83</v>
      </c>
      <c r="B20" s="15" t="s">
        <v>23</v>
      </c>
      <c r="C20" s="11">
        <v>100</v>
      </c>
      <c r="D20" s="11">
        <v>85</v>
      </c>
      <c r="E20" s="11">
        <v>220</v>
      </c>
      <c r="F20" s="11">
        <f t="shared" ref="F20:F23" si="2">D20*E20</f>
        <v>18700</v>
      </c>
      <c r="G20" s="13">
        <f t="shared" ref="G20:G23" si="3">F20*$I$4</f>
        <v>3740</v>
      </c>
    </row>
    <row r="21" spans="1:7" x14ac:dyDescent="0.3">
      <c r="A21" s="25"/>
      <c r="B21" s="15" t="s">
        <v>24</v>
      </c>
      <c r="C21" s="11">
        <v>110</v>
      </c>
      <c r="D21" s="11">
        <v>98</v>
      </c>
      <c r="E21" s="11">
        <v>110</v>
      </c>
      <c r="F21" s="11">
        <f t="shared" si="2"/>
        <v>10780</v>
      </c>
      <c r="G21" s="13">
        <f t="shared" si="3"/>
        <v>2156</v>
      </c>
    </row>
    <row r="22" spans="1:7" x14ac:dyDescent="0.3">
      <c r="A22" s="25"/>
      <c r="B22" s="15" t="s">
        <v>25</v>
      </c>
      <c r="C22" s="11">
        <v>125</v>
      </c>
      <c r="D22" s="11">
        <v>120</v>
      </c>
      <c r="E22" s="11">
        <v>130</v>
      </c>
      <c r="F22" s="11">
        <f t="shared" si="2"/>
        <v>15600</v>
      </c>
      <c r="G22" s="13">
        <f t="shared" si="3"/>
        <v>3120</v>
      </c>
    </row>
    <row r="23" spans="1:7" x14ac:dyDescent="0.3">
      <c r="A23" s="26"/>
      <c r="B23" s="15" t="s">
        <v>85</v>
      </c>
      <c r="C23" s="11">
        <v>150</v>
      </c>
      <c r="D23" s="11">
        <v>135</v>
      </c>
      <c r="E23" s="11">
        <v>125</v>
      </c>
      <c r="F23" s="11">
        <f t="shared" si="2"/>
        <v>16875</v>
      </c>
      <c r="G23" s="13">
        <f t="shared" si="3"/>
        <v>3375</v>
      </c>
    </row>
    <row r="24" spans="1:7" x14ac:dyDescent="0.3">
      <c r="A24" s="23" t="s">
        <v>6</v>
      </c>
      <c r="B24" s="23"/>
      <c r="C24" s="13">
        <f>SUM(C4:C23)</f>
        <v>3265</v>
      </c>
      <c r="D24" s="13">
        <f t="shared" ref="D24:G24" si="4">SUM(D4:D23)</f>
        <v>2408</v>
      </c>
      <c r="E24" s="13">
        <f t="shared" si="4"/>
        <v>3035</v>
      </c>
      <c r="F24" s="13">
        <f t="shared" si="4"/>
        <v>362425</v>
      </c>
      <c r="G24" s="13">
        <f t="shared" si="4"/>
        <v>72485</v>
      </c>
    </row>
  </sheetData>
  <mergeCells count="7">
    <mergeCell ref="A24:B24"/>
    <mergeCell ref="A20:A23"/>
    <mergeCell ref="A1:G1"/>
    <mergeCell ref="A4:A7"/>
    <mergeCell ref="A8:A11"/>
    <mergeCell ref="A12:A15"/>
    <mergeCell ref="A16:A19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E19"/>
  <sheetViews>
    <sheetView workbookViewId="0">
      <selection sqref="A1:E1"/>
    </sheetView>
  </sheetViews>
  <sheetFormatPr defaultRowHeight="16.5" x14ac:dyDescent="0.3"/>
  <cols>
    <col min="1" max="1" width="10.875" customWidth="1"/>
    <col min="2" max="2" width="11.75" customWidth="1"/>
    <col min="3" max="3" width="11.75" bestFit="1" customWidth="1"/>
    <col min="4" max="4" width="10.625" bestFit="1" customWidth="1"/>
    <col min="5" max="5" width="11.75" bestFit="1" customWidth="1"/>
  </cols>
  <sheetData>
    <row r="1" spans="1:5" ht="20.25" x14ac:dyDescent="0.3">
      <c r="A1" s="27" t="s">
        <v>77</v>
      </c>
      <c r="B1" s="27"/>
      <c r="C1" s="27"/>
      <c r="D1" s="27"/>
      <c r="E1" s="27"/>
    </row>
    <row r="3" spans="1:5" x14ac:dyDescent="0.3">
      <c r="A3" s="6" t="s">
        <v>12</v>
      </c>
      <c r="B3" s="6" t="s">
        <v>76</v>
      </c>
      <c r="C3" s="6" t="s">
        <v>78</v>
      </c>
      <c r="D3" s="6" t="s">
        <v>13</v>
      </c>
      <c r="E3" s="6" t="s">
        <v>75</v>
      </c>
    </row>
    <row r="4" spans="1:5" x14ac:dyDescent="0.3">
      <c r="A4" s="10">
        <v>45901</v>
      </c>
      <c r="B4" s="6" t="s">
        <v>70</v>
      </c>
      <c r="C4" s="11">
        <v>11250000</v>
      </c>
      <c r="D4" s="11">
        <v>1350000</v>
      </c>
      <c r="E4" s="11">
        <v>9900000</v>
      </c>
    </row>
    <row r="5" spans="1:5" x14ac:dyDescent="0.3">
      <c r="A5" s="10">
        <v>45902</v>
      </c>
      <c r="B5" s="6" t="s">
        <v>71</v>
      </c>
      <c r="C5" s="11">
        <v>14360000</v>
      </c>
      <c r="D5" s="11">
        <v>1720000</v>
      </c>
      <c r="E5" s="11">
        <v>12640000</v>
      </c>
    </row>
    <row r="6" spans="1:5" x14ac:dyDescent="0.3">
      <c r="A6" s="10">
        <v>45903</v>
      </c>
      <c r="B6" s="6" t="s">
        <v>72</v>
      </c>
      <c r="C6" s="11">
        <v>12990000</v>
      </c>
      <c r="D6" s="11">
        <v>1550000</v>
      </c>
      <c r="E6" s="11">
        <v>11440000</v>
      </c>
    </row>
    <row r="7" spans="1:5" x14ac:dyDescent="0.3">
      <c r="A7" s="10">
        <v>45907</v>
      </c>
      <c r="B7" s="6" t="s">
        <v>72</v>
      </c>
      <c r="C7" s="11">
        <v>15000000</v>
      </c>
      <c r="D7" s="11">
        <v>1800000</v>
      </c>
      <c r="E7" s="11">
        <v>13200000</v>
      </c>
    </row>
    <row r="8" spans="1:5" x14ac:dyDescent="0.3">
      <c r="A8" s="10">
        <v>45908</v>
      </c>
      <c r="B8" s="6" t="s">
        <v>70</v>
      </c>
      <c r="C8" s="11">
        <v>12400000</v>
      </c>
      <c r="D8" s="11">
        <v>1480000</v>
      </c>
      <c r="E8" s="11">
        <v>10920000</v>
      </c>
    </row>
    <row r="9" spans="1:5" x14ac:dyDescent="0.3">
      <c r="A9" s="10">
        <v>45911</v>
      </c>
      <c r="B9" s="6" t="s">
        <v>70</v>
      </c>
      <c r="C9" s="11">
        <v>13950000</v>
      </c>
      <c r="D9" s="11">
        <v>1670000</v>
      </c>
      <c r="E9" s="11">
        <v>12280000</v>
      </c>
    </row>
    <row r="10" spans="1:5" x14ac:dyDescent="0.3">
      <c r="A10" s="10">
        <v>45912</v>
      </c>
      <c r="B10" s="6" t="s">
        <v>72</v>
      </c>
      <c r="C10" s="11">
        <v>16040000</v>
      </c>
      <c r="D10" s="11">
        <v>1920000</v>
      </c>
      <c r="E10" s="11">
        <v>14120000</v>
      </c>
    </row>
    <row r="11" spans="1:5" x14ac:dyDescent="0.3">
      <c r="A11" s="10">
        <v>45913</v>
      </c>
      <c r="B11" s="6" t="s">
        <v>71</v>
      </c>
      <c r="C11" s="11">
        <v>13300000</v>
      </c>
      <c r="D11" s="11">
        <v>1590000</v>
      </c>
      <c r="E11" s="11">
        <v>11710000</v>
      </c>
    </row>
    <row r="12" spans="1:5" x14ac:dyDescent="0.3">
      <c r="A12" s="10">
        <v>45914</v>
      </c>
      <c r="B12" s="6" t="s">
        <v>70</v>
      </c>
      <c r="C12" s="11">
        <v>14420000</v>
      </c>
      <c r="D12" s="11">
        <v>1730000</v>
      </c>
      <c r="E12" s="11">
        <v>12690000</v>
      </c>
    </row>
    <row r="13" spans="1:5" x14ac:dyDescent="0.3">
      <c r="A13" s="10">
        <v>45915</v>
      </c>
      <c r="B13" s="6" t="s">
        <v>72</v>
      </c>
      <c r="C13" s="11">
        <v>13680000</v>
      </c>
      <c r="D13" s="11">
        <v>1640000</v>
      </c>
      <c r="E13" s="11">
        <v>12040000</v>
      </c>
    </row>
    <row r="14" spans="1:5" x14ac:dyDescent="0.3">
      <c r="A14" s="10">
        <v>45916</v>
      </c>
      <c r="B14" s="6" t="s">
        <v>71</v>
      </c>
      <c r="C14" s="11">
        <v>15550000</v>
      </c>
      <c r="D14" s="11">
        <v>1860000</v>
      </c>
      <c r="E14" s="11">
        <v>13690000</v>
      </c>
    </row>
    <row r="15" spans="1:5" x14ac:dyDescent="0.3">
      <c r="A15" s="10">
        <v>45919</v>
      </c>
      <c r="B15" s="6" t="s">
        <v>71</v>
      </c>
      <c r="C15" s="11">
        <v>11990000</v>
      </c>
      <c r="D15" s="11">
        <v>1430000</v>
      </c>
      <c r="E15" s="11">
        <v>10560000</v>
      </c>
    </row>
    <row r="16" spans="1:5" x14ac:dyDescent="0.3">
      <c r="A16" s="10">
        <v>45920</v>
      </c>
      <c r="B16" s="6" t="s">
        <v>72</v>
      </c>
      <c r="C16" s="11">
        <v>13000000</v>
      </c>
      <c r="D16" s="11">
        <v>1560000</v>
      </c>
      <c r="E16" s="11">
        <v>11440000</v>
      </c>
    </row>
    <row r="17" spans="1:5" x14ac:dyDescent="0.3">
      <c r="A17" s="10">
        <v>45922</v>
      </c>
      <c r="B17" s="6" t="s">
        <v>70</v>
      </c>
      <c r="C17" s="11">
        <v>14780000</v>
      </c>
      <c r="D17" s="11">
        <v>1770000</v>
      </c>
      <c r="E17" s="11">
        <v>13010000</v>
      </c>
    </row>
    <row r="18" spans="1:5" x14ac:dyDescent="0.3">
      <c r="A18" s="10">
        <v>44462</v>
      </c>
      <c r="B18" s="15" t="s">
        <v>73</v>
      </c>
      <c r="C18" s="11">
        <v>13580000</v>
      </c>
      <c r="D18" s="11">
        <v>1100000</v>
      </c>
      <c r="E18" s="11">
        <v>12480000</v>
      </c>
    </row>
    <row r="19" spans="1:5" x14ac:dyDescent="0.3">
      <c r="A19" s="10">
        <v>44464</v>
      </c>
      <c r="B19" s="15" t="s">
        <v>74</v>
      </c>
      <c r="C19" s="11">
        <v>15970000</v>
      </c>
      <c r="D19" s="11">
        <v>1250000</v>
      </c>
      <c r="E19" s="11">
        <v>14720000</v>
      </c>
    </row>
  </sheetData>
  <mergeCells count="1">
    <mergeCell ref="A1:E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E13"/>
  <sheetViews>
    <sheetView workbookViewId="0">
      <selection sqref="A1:E1"/>
    </sheetView>
  </sheetViews>
  <sheetFormatPr defaultRowHeight="16.5" x14ac:dyDescent="0.3"/>
  <cols>
    <col min="1" max="1" width="37.5" bestFit="1" customWidth="1"/>
  </cols>
  <sheetData>
    <row r="1" spans="1:5" ht="20.25" x14ac:dyDescent="0.3">
      <c r="A1" s="27" t="s">
        <v>97</v>
      </c>
      <c r="B1" s="27"/>
      <c r="C1" s="27"/>
      <c r="D1" s="27"/>
      <c r="E1" s="27"/>
    </row>
    <row r="3" spans="1:5" x14ac:dyDescent="0.3">
      <c r="A3" s="6" t="s">
        <v>26</v>
      </c>
      <c r="B3" s="6" t="s">
        <v>98</v>
      </c>
      <c r="C3" s="6" t="s">
        <v>99</v>
      </c>
      <c r="D3" s="6" t="s">
        <v>100</v>
      </c>
      <c r="E3" s="6" t="s">
        <v>96</v>
      </c>
    </row>
    <row r="4" spans="1:5" x14ac:dyDescent="0.3">
      <c r="A4" s="6" t="s">
        <v>86</v>
      </c>
      <c r="B4" s="16">
        <v>6513</v>
      </c>
      <c r="C4" s="16">
        <v>3966</v>
      </c>
      <c r="D4" s="16">
        <v>3066</v>
      </c>
      <c r="E4" s="16"/>
    </row>
    <row r="5" spans="1:5" x14ac:dyDescent="0.3">
      <c r="A5" s="6" t="s">
        <v>87</v>
      </c>
      <c r="B5" s="16">
        <v>5363</v>
      </c>
      <c r="C5" s="16">
        <v>3853</v>
      </c>
      <c r="D5" s="16">
        <v>3567</v>
      </c>
      <c r="E5" s="16"/>
    </row>
    <row r="6" spans="1:5" x14ac:dyDescent="0.3">
      <c r="A6" s="6" t="s">
        <v>88</v>
      </c>
      <c r="B6" s="16">
        <v>3538</v>
      </c>
      <c r="C6" s="16">
        <v>3361</v>
      </c>
      <c r="D6" s="16">
        <v>3679</v>
      </c>
      <c r="E6" s="16"/>
    </row>
    <row r="7" spans="1:5" x14ac:dyDescent="0.3">
      <c r="A7" s="6" t="s">
        <v>89</v>
      </c>
      <c r="B7" s="16">
        <v>3013</v>
      </c>
      <c r="C7" s="16">
        <v>3586</v>
      </c>
      <c r="D7" s="16">
        <v>3863</v>
      </c>
      <c r="E7" s="16"/>
    </row>
    <row r="8" spans="1:5" x14ac:dyDescent="0.3">
      <c r="A8" s="6" t="s">
        <v>90</v>
      </c>
      <c r="B8" s="16">
        <v>6150</v>
      </c>
      <c r="C8" s="16">
        <v>3576</v>
      </c>
      <c r="D8" s="16">
        <v>3369</v>
      </c>
      <c r="E8" s="16"/>
    </row>
    <row r="9" spans="1:5" x14ac:dyDescent="0.3">
      <c r="A9" s="6" t="s">
        <v>91</v>
      </c>
      <c r="B9" s="16">
        <v>5636</v>
      </c>
      <c r="C9" s="16">
        <v>5933</v>
      </c>
      <c r="D9" s="16">
        <v>5768</v>
      </c>
      <c r="E9" s="16"/>
    </row>
    <row r="10" spans="1:5" x14ac:dyDescent="0.3">
      <c r="A10" s="6" t="s">
        <v>92</v>
      </c>
      <c r="B10" s="16">
        <v>3555</v>
      </c>
      <c r="C10" s="16">
        <v>3837</v>
      </c>
      <c r="D10" s="16">
        <v>3061</v>
      </c>
      <c r="E10" s="16"/>
    </row>
    <row r="11" spans="1:5" x14ac:dyDescent="0.3">
      <c r="A11" s="6" t="s">
        <v>93</v>
      </c>
      <c r="B11" s="16">
        <v>3653</v>
      </c>
      <c r="C11" s="16">
        <v>3113</v>
      </c>
      <c r="D11" s="16">
        <v>3659</v>
      </c>
      <c r="E11" s="16"/>
    </row>
    <row r="12" spans="1:5" x14ac:dyDescent="0.3">
      <c r="A12" s="6" t="s">
        <v>94</v>
      </c>
      <c r="B12" s="16">
        <v>5350</v>
      </c>
      <c r="C12" s="16">
        <v>5839</v>
      </c>
      <c r="D12" s="16">
        <v>5676</v>
      </c>
      <c r="E12" s="16"/>
    </row>
    <row r="13" spans="1:5" x14ac:dyDescent="0.3">
      <c r="A13" s="8" t="s">
        <v>95</v>
      </c>
      <c r="B13" s="16">
        <v>1680</v>
      </c>
      <c r="C13" s="16">
        <v>5360</v>
      </c>
      <c r="D13" s="16">
        <v>3831</v>
      </c>
      <c r="E13" s="16"/>
    </row>
  </sheetData>
  <mergeCells count="1">
    <mergeCell ref="A1:E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F9"/>
  <sheetViews>
    <sheetView workbookViewId="0">
      <selection sqref="A1:F1"/>
    </sheetView>
  </sheetViews>
  <sheetFormatPr defaultRowHeight="16.5" x14ac:dyDescent="0.3"/>
  <cols>
    <col min="4" max="4" width="10.5" bestFit="1" customWidth="1"/>
  </cols>
  <sheetData>
    <row r="1" spans="1:6" ht="20.25" x14ac:dyDescent="0.3">
      <c r="A1" s="27" t="s">
        <v>101</v>
      </c>
      <c r="B1" s="27"/>
      <c r="C1" s="27"/>
      <c r="D1" s="27"/>
      <c r="E1" s="27"/>
      <c r="F1" s="27"/>
    </row>
    <row r="3" spans="1:6" x14ac:dyDescent="0.3">
      <c r="A3" s="19" t="s">
        <v>102</v>
      </c>
      <c r="B3" s="20" t="s">
        <v>103</v>
      </c>
      <c r="C3" s="20" t="s">
        <v>104</v>
      </c>
      <c r="D3" s="20" t="s">
        <v>105</v>
      </c>
      <c r="E3" s="20" t="s">
        <v>106</v>
      </c>
      <c r="F3" s="20" t="s">
        <v>107</v>
      </c>
    </row>
    <row r="4" spans="1:6" x14ac:dyDescent="0.3">
      <c r="A4" s="15" t="s">
        <v>108</v>
      </c>
      <c r="B4" s="15">
        <v>24</v>
      </c>
      <c r="C4" s="15">
        <v>18</v>
      </c>
      <c r="D4" s="15">
        <v>20</v>
      </c>
      <c r="E4" s="15">
        <v>21</v>
      </c>
      <c r="F4" s="15">
        <f>SUM(B4:E4)</f>
        <v>83</v>
      </c>
    </row>
    <row r="5" spans="1:6" x14ac:dyDescent="0.3">
      <c r="A5" s="15" t="s">
        <v>109</v>
      </c>
      <c r="B5" s="15">
        <v>18</v>
      </c>
      <c r="C5" s="15">
        <v>18</v>
      </c>
      <c r="D5" s="15">
        <v>17</v>
      </c>
      <c r="E5" s="15">
        <v>17</v>
      </c>
      <c r="F5" s="15">
        <f t="shared" ref="F5:F9" si="0">SUM(B5:E5)</f>
        <v>70</v>
      </c>
    </row>
    <row r="6" spans="1:6" x14ac:dyDescent="0.3">
      <c r="A6" s="15" t="s">
        <v>110</v>
      </c>
      <c r="B6" s="15">
        <v>23</v>
      </c>
      <c r="C6" s="15">
        <v>20</v>
      </c>
      <c r="D6" s="15">
        <v>13</v>
      </c>
      <c r="E6" s="15">
        <v>16</v>
      </c>
      <c r="F6" s="15">
        <f t="shared" si="0"/>
        <v>72</v>
      </c>
    </row>
    <row r="7" spans="1:6" x14ac:dyDescent="0.3">
      <c r="A7" s="15" t="s">
        <v>111</v>
      </c>
      <c r="B7" s="15">
        <v>21</v>
      </c>
      <c r="C7" s="15">
        <v>17</v>
      </c>
      <c r="D7" s="15">
        <v>21</v>
      </c>
      <c r="E7" s="15">
        <v>18</v>
      </c>
      <c r="F7" s="15">
        <f t="shared" si="0"/>
        <v>77</v>
      </c>
    </row>
    <row r="8" spans="1:6" x14ac:dyDescent="0.3">
      <c r="A8" s="15" t="s">
        <v>112</v>
      </c>
      <c r="B8" s="15">
        <v>17</v>
      </c>
      <c r="C8" s="15">
        <v>9</v>
      </c>
      <c r="D8" s="15">
        <v>8</v>
      </c>
      <c r="E8" s="15">
        <v>11</v>
      </c>
      <c r="F8" s="15">
        <f t="shared" si="0"/>
        <v>45</v>
      </c>
    </row>
    <row r="9" spans="1:6" x14ac:dyDescent="0.3">
      <c r="A9" s="15" t="s">
        <v>113</v>
      </c>
      <c r="B9" s="15">
        <v>20</v>
      </c>
      <c r="C9" s="15">
        <v>8</v>
      </c>
      <c r="D9" s="15">
        <v>7</v>
      </c>
      <c r="E9" s="15">
        <v>20</v>
      </c>
      <c r="F9" s="15">
        <f t="shared" si="0"/>
        <v>55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'기본작업-3'!채용결과발표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2021-03-11T05:14:31Z</dcterms:created>
  <dcterms:modified xsi:type="dcterms:W3CDTF">2024-01-17T11:41:57Z</dcterms:modified>
</cp:coreProperties>
</file>