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5년)\2급\상시공략집\2025컴활2급(상시)\상시공략문제\정답\"/>
    </mc:Choice>
  </mc:AlternateContent>
  <xr:revisionPtr revIDLastSave="0" documentId="13_ncr:1_{BB42478B-47A0-465D-B032-E19649FD9B66}" xr6:coauthVersionLast="47" xr6:coauthVersionMax="47" xr10:uidLastSave="{00000000-0000-0000-0000-000000000000}"/>
  <bookViews>
    <workbookView xWindow="16305" yWindow="1590" windowWidth="19080" windowHeight="14055" tabRatio="858" activeTab="2" xr2:uid="{00000000-000D-0000-FFFF-FFFF00000000}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분석작업-1" sheetId="4" r:id="rId5"/>
    <sheet name="분석작업-2" sheetId="5" r:id="rId6"/>
    <sheet name="매크로작업" sheetId="6" r:id="rId7"/>
    <sheet name="차트작업" sheetId="7" r:id="rId8"/>
  </sheets>
  <definedNames>
    <definedName name="_xlnm._FilterDatabase" localSheetId="2" hidden="1">'기본작업-3'!#REF!</definedName>
    <definedName name="_xlnm.Criteria" localSheetId="2">'기본작업-3'!#REF!</definedName>
    <definedName name="_xlnm.Extract" localSheetId="2">'기본작업-3'!#REF!</definedName>
    <definedName name="직원명">'기본작업-2'!$A$5:$A$14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3" l="1"/>
  <c r="E29" i="3"/>
  <c r="E30" i="3"/>
  <c r="E31" i="3"/>
  <c r="E32" i="3"/>
  <c r="E33" i="3"/>
  <c r="E34" i="3"/>
  <c r="E27" i="3"/>
  <c r="K3" i="3" l="1"/>
  <c r="K4" i="3"/>
  <c r="K5" i="3"/>
  <c r="K6" i="3"/>
  <c r="K7" i="3"/>
  <c r="K8" i="3"/>
  <c r="K9" i="3"/>
  <c r="F10" i="3"/>
  <c r="K10" i="3"/>
  <c r="F11" i="3"/>
  <c r="K11" i="3"/>
  <c r="F15" i="3"/>
  <c r="K15" i="3"/>
  <c r="F16" i="3"/>
  <c r="K16" i="3"/>
  <c r="F17" i="3"/>
  <c r="K17" i="3"/>
  <c r="F18" i="3"/>
  <c r="K18" i="3"/>
  <c r="F19" i="3"/>
  <c r="K19" i="3"/>
  <c r="F20" i="3"/>
  <c r="K20" i="3"/>
  <c r="F21" i="3"/>
  <c r="K21" i="3"/>
  <c r="F22" i="3"/>
  <c r="F23" i="3"/>
  <c r="F5" i="6" l="1"/>
  <c r="F6" i="6"/>
  <c r="F7" i="6"/>
  <c r="F8" i="6"/>
  <c r="F9" i="6"/>
  <c r="F10" i="6"/>
  <c r="F4" i="6"/>
  <c r="E8" i="7" l="1"/>
  <c r="E7" i="7"/>
  <c r="E6" i="7"/>
  <c r="E5" i="7"/>
  <c r="E4" i="7"/>
  <c r="B3" i="5" l="1"/>
  <c r="E3" i="5" s="1"/>
</calcChain>
</file>

<file path=xl/sharedStrings.xml><?xml version="1.0" encoding="utf-8"?>
<sst xmlns="http://schemas.openxmlformats.org/spreadsheetml/2006/main" count="325" uniqueCount="258">
  <si>
    <t>상공홈쇼핑 5월 판매현황</t>
    <phoneticPr fontId="1" type="noConversion"/>
  </si>
  <si>
    <t>2분기</t>
  </si>
  <si>
    <t>3분기</t>
  </si>
  <si>
    <t>4분기</t>
  </si>
  <si>
    <t>사원</t>
  </si>
  <si>
    <t>사원명</t>
  </si>
  <si>
    <t>성별</t>
  </si>
  <si>
    <t>남</t>
  </si>
  <si>
    <t>여</t>
  </si>
  <si>
    <t>[표1]</t>
    <phoneticPr fontId="1" type="noConversion"/>
  </si>
  <si>
    <t>신입사원 채용결과</t>
  </si>
  <si>
    <t>[표2]</t>
  </si>
  <si>
    <t>이름</t>
  </si>
  <si>
    <t>회원명</t>
  </si>
  <si>
    <t>가입년도</t>
  </si>
  <si>
    <t>주민등록번호</t>
  </si>
  <si>
    <t>2018년</t>
  </si>
  <si>
    <t>2016년</t>
  </si>
  <si>
    <t>2019년</t>
  </si>
  <si>
    <t>2017년</t>
  </si>
  <si>
    <t>송주혜</t>
  </si>
  <si>
    <t>931214-2******</t>
  </si>
  <si>
    <t>[표3]</t>
  </si>
  <si>
    <t>수강자명</t>
  </si>
  <si>
    <t>1주차</t>
  </si>
  <si>
    <t>2주차</t>
  </si>
  <si>
    <t>3주차</t>
  </si>
  <si>
    <t>4주차</t>
  </si>
  <si>
    <t>O</t>
  </si>
  <si>
    <t>김선호</t>
  </si>
  <si>
    <t>[표5]</t>
  </si>
  <si>
    <t>기본급</t>
  </si>
  <si>
    <t>수당</t>
  </si>
  <si>
    <t>세금</t>
  </si>
  <si>
    <t>실수령액</t>
  </si>
  <si>
    <t>회원 현황</t>
    <phoneticPr fontId="1" type="noConversion"/>
  </si>
  <si>
    <t>서류</t>
    <phoneticPr fontId="1" type="noConversion"/>
  </si>
  <si>
    <t>시험</t>
    <phoneticPr fontId="1" type="noConversion"/>
  </si>
  <si>
    <t>성별</t>
    <phoneticPr fontId="1" type="noConversion"/>
  </si>
  <si>
    <t>박영덕</t>
  </si>
  <si>
    <t>이민영</t>
  </si>
  <si>
    <t>990218-2******</t>
    <phoneticPr fontId="1" type="noConversion"/>
  </si>
  <si>
    <t>주민경</t>
  </si>
  <si>
    <t>도홍진</t>
  </si>
  <si>
    <t>010802-3******</t>
    <phoneticPr fontId="1" type="noConversion"/>
  </si>
  <si>
    <t>태진형</t>
  </si>
  <si>
    <t>박수진</t>
  </si>
  <si>
    <t>011115-4******</t>
    <phoneticPr fontId="1" type="noConversion"/>
  </si>
  <si>
    <t>최민수</t>
  </si>
  <si>
    <t>최만수</t>
  </si>
  <si>
    <t>980723-1******</t>
    <phoneticPr fontId="1" type="noConversion"/>
  </si>
  <si>
    <t>김평주</t>
  </si>
  <si>
    <t>조용덕</t>
  </si>
  <si>
    <t>991225-1******</t>
    <phoneticPr fontId="1" type="noConversion"/>
  </si>
  <si>
    <t>한서라</t>
  </si>
  <si>
    <t>여</t>
    <phoneticPr fontId="1" type="noConversion"/>
  </si>
  <si>
    <t>김태훈</t>
  </si>
  <si>
    <t>021222-3******</t>
    <phoneticPr fontId="1" type="noConversion"/>
  </si>
  <si>
    <t>이국선</t>
  </si>
  <si>
    <t>남</t>
    <phoneticPr fontId="1" type="noConversion"/>
  </si>
  <si>
    <t>편승주</t>
  </si>
  <si>
    <t>010123-3******</t>
    <phoneticPr fontId="1" type="noConversion"/>
  </si>
  <si>
    <t>민기영</t>
  </si>
  <si>
    <t>곽나래</t>
  </si>
  <si>
    <t>001015-4******</t>
    <phoneticPr fontId="1" type="noConversion"/>
  </si>
  <si>
    <t>박소연</t>
  </si>
  <si>
    <t>출석현황</t>
    <phoneticPr fontId="1" type="noConversion"/>
  </si>
  <si>
    <t>이후정</t>
  </si>
  <si>
    <t>백천경</t>
  </si>
  <si>
    <t>민경배</t>
  </si>
  <si>
    <t>김태하</t>
  </si>
  <si>
    <t>이사랑</t>
  </si>
  <si>
    <t>곽난영</t>
  </si>
  <si>
    <t>장채리</t>
  </si>
  <si>
    <t>봉전미</t>
  </si>
  <si>
    <t>성명</t>
  </si>
  <si>
    <t>김미정</t>
  </si>
  <si>
    <t>서진수</t>
  </si>
  <si>
    <t>박주영</t>
  </si>
  <si>
    <t>원영현</t>
  </si>
  <si>
    <t>오선영</t>
  </si>
  <si>
    <t>최은미</t>
  </si>
  <si>
    <t>박진희</t>
  </si>
  <si>
    <t>오은경</t>
    <phoneticPr fontId="1" type="noConversion"/>
  </si>
  <si>
    <t>급여명세서</t>
    <phoneticPr fontId="1" type="noConversion"/>
  </si>
  <si>
    <t>정기적금</t>
  </si>
  <si>
    <t>기간(년)</t>
    <phoneticPr fontId="1" type="noConversion"/>
  </si>
  <si>
    <t>TV</t>
    <phoneticPr fontId="1" type="noConversion"/>
  </si>
  <si>
    <t>구분</t>
    <phoneticPr fontId="1" type="noConversion"/>
  </si>
  <si>
    <t>간편식품</t>
    <phoneticPr fontId="1" type="noConversion"/>
  </si>
  <si>
    <t>신선식품</t>
    <phoneticPr fontId="1" type="noConversion"/>
  </si>
  <si>
    <t>신선식품</t>
    <phoneticPr fontId="1" type="noConversion"/>
  </si>
  <si>
    <t>건강식품</t>
    <phoneticPr fontId="1" type="noConversion"/>
  </si>
  <si>
    <t>건강식품</t>
    <phoneticPr fontId="1" type="noConversion"/>
  </si>
  <si>
    <t>판매코드</t>
    <phoneticPr fontId="1" type="noConversion"/>
  </si>
  <si>
    <t>KP-210</t>
    <phoneticPr fontId="1" type="noConversion"/>
  </si>
  <si>
    <t>SS-110</t>
    <phoneticPr fontId="1" type="noConversion"/>
  </si>
  <si>
    <t>SS-121</t>
    <phoneticPr fontId="1" type="noConversion"/>
  </si>
  <si>
    <t>KP-313</t>
    <phoneticPr fontId="1" type="noConversion"/>
  </si>
  <si>
    <t>KK-412</t>
    <phoneticPr fontId="1" type="noConversion"/>
  </si>
  <si>
    <t>KK-432</t>
    <phoneticPr fontId="1" type="noConversion"/>
  </si>
  <si>
    <t>상품명</t>
    <phoneticPr fontId="1" type="noConversion"/>
  </si>
  <si>
    <t>수제영양밥</t>
    <phoneticPr fontId="1" type="noConversion"/>
  </si>
  <si>
    <t>명가갈비탕</t>
    <phoneticPr fontId="1" type="noConversion"/>
  </si>
  <si>
    <t>한돈생삼겹</t>
    <phoneticPr fontId="1" type="noConversion"/>
  </si>
  <si>
    <t>진도활전복</t>
    <phoneticPr fontId="1" type="noConversion"/>
  </si>
  <si>
    <t>홍삼엑기스</t>
    <phoneticPr fontId="1" type="noConversion"/>
  </si>
  <si>
    <t>ABC주스</t>
    <phoneticPr fontId="1" type="noConversion"/>
  </si>
  <si>
    <t>판매가격</t>
    <phoneticPr fontId="1" type="noConversion"/>
  </si>
  <si>
    <t>판매수량</t>
    <phoneticPr fontId="1" type="noConversion"/>
  </si>
  <si>
    <t>방송횟수</t>
    <phoneticPr fontId="1" type="noConversion"/>
  </si>
  <si>
    <t>3회</t>
    <phoneticPr fontId="1" type="noConversion"/>
  </si>
  <si>
    <t>2회</t>
    <phoneticPr fontId="1" type="noConversion"/>
  </si>
  <si>
    <t>4회</t>
    <phoneticPr fontId="1" type="noConversion"/>
  </si>
  <si>
    <t>6회</t>
    <phoneticPr fontId="1" type="noConversion"/>
  </si>
  <si>
    <t>5회</t>
    <phoneticPr fontId="1" type="noConversion"/>
  </si>
  <si>
    <t>팀명</t>
    <phoneticPr fontId="1" type="noConversion"/>
  </si>
  <si>
    <t>직책</t>
    <phoneticPr fontId="1" type="noConversion"/>
  </si>
  <si>
    <t>년차</t>
    <phoneticPr fontId="1" type="noConversion"/>
  </si>
  <si>
    <t>김대희</t>
    <phoneticPr fontId="1" type="noConversion"/>
  </si>
  <si>
    <t>인사팀</t>
    <phoneticPr fontId="1" type="noConversion"/>
  </si>
  <si>
    <t>팀장</t>
    <phoneticPr fontId="1" type="noConversion"/>
  </si>
  <si>
    <t>서여진</t>
    <phoneticPr fontId="1" type="noConversion"/>
  </si>
  <si>
    <t>인사팀</t>
    <phoneticPr fontId="1" type="noConversion"/>
  </si>
  <si>
    <t>책임</t>
    <phoneticPr fontId="1" type="noConversion"/>
  </si>
  <si>
    <t>최진호</t>
    <phoneticPr fontId="1" type="noConversion"/>
  </si>
  <si>
    <t>인사팀</t>
    <phoneticPr fontId="1" type="noConversion"/>
  </si>
  <si>
    <t>선임</t>
    <phoneticPr fontId="1" type="noConversion"/>
  </si>
  <si>
    <t>이주연</t>
    <phoneticPr fontId="1" type="noConversion"/>
  </si>
  <si>
    <t>주임</t>
    <phoneticPr fontId="1" type="noConversion"/>
  </si>
  <si>
    <t>마인석</t>
    <phoneticPr fontId="1" type="noConversion"/>
  </si>
  <si>
    <t>재무팀</t>
    <phoneticPr fontId="1" type="noConversion"/>
  </si>
  <si>
    <t>재무팀</t>
    <phoneticPr fontId="1" type="noConversion"/>
  </si>
  <si>
    <t>팀장</t>
    <phoneticPr fontId="1" type="noConversion"/>
  </si>
  <si>
    <t>안나은</t>
    <phoneticPr fontId="1" type="noConversion"/>
  </si>
  <si>
    <t>책임</t>
    <phoneticPr fontId="1" type="noConversion"/>
  </si>
  <si>
    <t>민준희</t>
    <phoneticPr fontId="1" type="noConversion"/>
  </si>
  <si>
    <t>한수나</t>
    <phoneticPr fontId="1" type="noConversion"/>
  </si>
  <si>
    <t>주임</t>
    <phoneticPr fontId="1" type="noConversion"/>
  </si>
  <si>
    <t>최미진</t>
    <phoneticPr fontId="1" type="noConversion"/>
  </si>
  <si>
    <t>홍보팀</t>
    <phoneticPr fontId="1" type="noConversion"/>
  </si>
  <si>
    <t>김서연</t>
    <phoneticPr fontId="1" type="noConversion"/>
  </si>
  <si>
    <t>정유리</t>
    <phoneticPr fontId="1" type="noConversion"/>
  </si>
  <si>
    <t>유이지</t>
    <phoneticPr fontId="1" type="noConversion"/>
  </si>
  <si>
    <t>적립목표금액</t>
    <phoneticPr fontId="1" type="noConversion"/>
  </si>
  <si>
    <t>월불입액</t>
    <phoneticPr fontId="1" type="noConversion"/>
  </si>
  <si>
    <t>이자율(년)</t>
    <phoneticPr fontId="1" type="noConversion"/>
  </si>
  <si>
    <t>목표기간(년)</t>
    <phoneticPr fontId="1" type="noConversion"/>
  </si>
  <si>
    <t>드라마 주간 시청률</t>
    <phoneticPr fontId="1" type="noConversion"/>
  </si>
  <si>
    <t>(단위 : %)</t>
    <phoneticPr fontId="1" type="noConversion"/>
  </si>
  <si>
    <t>프로그램명</t>
    <phoneticPr fontId="1" type="noConversion"/>
  </si>
  <si>
    <t>1주</t>
    <phoneticPr fontId="1" type="noConversion"/>
  </si>
  <si>
    <t>2주</t>
    <phoneticPr fontId="1" type="noConversion"/>
  </si>
  <si>
    <t>3주</t>
    <phoneticPr fontId="1" type="noConversion"/>
  </si>
  <si>
    <t>4주</t>
    <phoneticPr fontId="1" type="noConversion"/>
  </si>
  <si>
    <t>케이 광자매</t>
    <phoneticPr fontId="1" type="noConversion"/>
  </si>
  <si>
    <t>해가 뜨는 강</t>
    <phoneticPr fontId="1" type="noConversion"/>
  </si>
  <si>
    <t>팬텀하우스</t>
    <phoneticPr fontId="1" type="noConversion"/>
  </si>
  <si>
    <t>반찬이 되어라</t>
    <phoneticPr fontId="1" type="noConversion"/>
  </si>
  <si>
    <t>누가 뭐라도</t>
    <phoneticPr fontId="1" type="noConversion"/>
  </si>
  <si>
    <t>미스터 몬테</t>
    <phoneticPr fontId="1" type="noConversion"/>
  </si>
  <si>
    <t>물새 2020</t>
    <phoneticPr fontId="1" type="noConversion"/>
  </si>
  <si>
    <t>가전제품 판매 목표/실적 현황</t>
    <phoneticPr fontId="1" type="noConversion"/>
  </si>
  <si>
    <t>제품명</t>
    <phoneticPr fontId="1" type="noConversion"/>
  </si>
  <si>
    <t>판매목표</t>
    <phoneticPr fontId="1" type="noConversion"/>
  </si>
  <si>
    <t>판매실적</t>
    <phoneticPr fontId="1" type="noConversion"/>
  </si>
  <si>
    <t>판매단가</t>
    <phoneticPr fontId="1" type="noConversion"/>
  </si>
  <si>
    <t>판매달성률</t>
    <phoneticPr fontId="1" type="noConversion"/>
  </si>
  <si>
    <t>냉장고</t>
    <phoneticPr fontId="1" type="noConversion"/>
  </si>
  <si>
    <t>드럼세탁기</t>
    <phoneticPr fontId="1" type="noConversion"/>
  </si>
  <si>
    <t>공기청정기</t>
    <phoneticPr fontId="1" type="noConversion"/>
  </si>
  <si>
    <t>무선청소기</t>
    <phoneticPr fontId="1" type="noConversion"/>
  </si>
  <si>
    <t>과장</t>
    <phoneticPr fontId="1" type="noConversion"/>
  </si>
  <si>
    <t>행 레이블</t>
  </si>
  <si>
    <t>선임</t>
  </si>
  <si>
    <t>주임</t>
  </si>
  <si>
    <t>책임</t>
  </si>
  <si>
    <t>팀장</t>
  </si>
  <si>
    <t>총합계</t>
  </si>
  <si>
    <t>열 레이블</t>
  </si>
  <si>
    <t>인사팀</t>
  </si>
  <si>
    <t>재무팀</t>
  </si>
  <si>
    <t>평균 : 실수령액</t>
  </si>
  <si>
    <t>월불입액</t>
    <phoneticPr fontId="1" type="noConversion"/>
  </si>
  <si>
    <t>참가번호</t>
    <phoneticPr fontId="1" type="noConversion"/>
  </si>
  <si>
    <t>선수명</t>
    <phoneticPr fontId="1" type="noConversion"/>
  </si>
  <si>
    <t>기록</t>
    <phoneticPr fontId="1" type="noConversion"/>
  </si>
  <si>
    <t>순위</t>
    <phoneticPr fontId="1" type="noConversion"/>
  </si>
  <si>
    <t>[표4]</t>
    <phoneticPr fontId="1" type="noConversion"/>
  </si>
  <si>
    <t>하프 마라톤 대회</t>
    <phoneticPr fontId="1" type="noConversion"/>
  </si>
  <si>
    <t>조현우</t>
    <phoneticPr fontId="9" type="noConversion"/>
  </si>
  <si>
    <t>김혁진</t>
    <phoneticPr fontId="9" type="noConversion"/>
  </si>
  <si>
    <t>민준수</t>
    <phoneticPr fontId="9" type="noConversion"/>
  </si>
  <si>
    <t>성도경</t>
    <phoneticPr fontId="1" type="noConversion"/>
  </si>
  <si>
    <t>곽승호</t>
    <phoneticPr fontId="1" type="noConversion"/>
  </si>
  <si>
    <t>서현국</t>
    <phoneticPr fontId="9" type="noConversion"/>
  </si>
  <si>
    <t>이정현</t>
    <phoneticPr fontId="9" type="noConversion"/>
  </si>
  <si>
    <t>비고</t>
    <phoneticPr fontId="1" type="noConversion"/>
  </si>
  <si>
    <t>성별</t>
    <phoneticPr fontId="1" type="noConversion"/>
  </si>
  <si>
    <t>비율</t>
    <phoneticPr fontId="1" type="noConversion"/>
  </si>
  <si>
    <t>평균</t>
    <phoneticPr fontId="1" type="noConversion"/>
  </si>
  <si>
    <t>직원명</t>
    <phoneticPr fontId="1" type="noConversion"/>
  </si>
  <si>
    <t>분기</t>
    <phoneticPr fontId="1" type="noConversion"/>
  </si>
  <si>
    <t>합계</t>
    <phoneticPr fontId="1" type="noConversion"/>
  </si>
  <si>
    <t>판매총액</t>
    <phoneticPr fontId="1" type="noConversion"/>
  </si>
  <si>
    <t>1분기</t>
    <phoneticPr fontId="1" type="noConversion"/>
  </si>
  <si>
    <t>이유진</t>
    <phoneticPr fontId="1" type="noConversion"/>
  </si>
  <si>
    <t>부장</t>
    <phoneticPr fontId="1" type="noConversion"/>
  </si>
  <si>
    <t>김한나</t>
    <phoneticPr fontId="1" type="noConversion"/>
  </si>
  <si>
    <t>차장</t>
    <phoneticPr fontId="1" type="noConversion"/>
  </si>
  <si>
    <t>차장</t>
    <phoneticPr fontId="1" type="noConversion"/>
  </si>
  <si>
    <t>이도원</t>
    <phoneticPr fontId="1" type="noConversion"/>
  </si>
  <si>
    <t>민병욱</t>
    <phoneticPr fontId="1" type="noConversion"/>
  </si>
  <si>
    <t>최영록</t>
    <phoneticPr fontId="1" type="noConversion"/>
  </si>
  <si>
    <t>김민숙</t>
    <phoneticPr fontId="1" type="noConversion"/>
  </si>
  <si>
    <t>대리</t>
    <phoneticPr fontId="1" type="noConversion"/>
  </si>
  <si>
    <t>대리</t>
    <phoneticPr fontId="1" type="noConversion"/>
  </si>
  <si>
    <t>오안국</t>
    <phoneticPr fontId="1" type="noConversion"/>
  </si>
  <si>
    <t>성경용</t>
    <phoneticPr fontId="1" type="noConversion"/>
  </si>
  <si>
    <t>한철수</t>
    <phoneticPr fontId="1" type="noConversion"/>
  </si>
  <si>
    <t>강영미</t>
    <phoneticPr fontId="1" type="noConversion"/>
  </si>
  <si>
    <t>♠직원별 제품 판매 현황♠</t>
    <phoneticPr fontId="1" type="noConversion"/>
  </si>
  <si>
    <t>職位</t>
    <phoneticPr fontId="1" type="noConversion"/>
  </si>
  <si>
    <t>시험시작</t>
    <phoneticPr fontId="1" type="noConversion"/>
  </si>
  <si>
    <t>시험종료</t>
    <phoneticPr fontId="1" type="noConversion"/>
  </si>
  <si>
    <t>ITQ 응시현황</t>
    <phoneticPr fontId="1" type="noConversion"/>
  </si>
  <si>
    <t>수험번호</t>
    <phoneticPr fontId="1" type="noConversion"/>
  </si>
  <si>
    <t>891056TT</t>
    <phoneticPr fontId="1" type="noConversion"/>
  </si>
  <si>
    <t>109823DD</t>
    <phoneticPr fontId="1" type="noConversion"/>
  </si>
  <si>
    <t>872619TT</t>
    <phoneticPr fontId="1" type="noConversion"/>
  </si>
  <si>
    <t>861830TT</t>
    <phoneticPr fontId="1" type="noConversion"/>
  </si>
  <si>
    <t>782761DD</t>
    <phoneticPr fontId="1" type="noConversion"/>
  </si>
  <si>
    <t>982711DD</t>
    <phoneticPr fontId="1" type="noConversion"/>
  </si>
  <si>
    <t>865123TT</t>
    <phoneticPr fontId="1" type="noConversion"/>
  </si>
  <si>
    <t>812350DD</t>
    <phoneticPr fontId="1" type="noConversion"/>
  </si>
  <si>
    <t>응시과목</t>
    <phoneticPr fontId="1" type="noConversion"/>
  </si>
  <si>
    <t>한글</t>
    <phoneticPr fontId="1" type="noConversion"/>
  </si>
  <si>
    <t>엑셀</t>
    <phoneticPr fontId="1" type="noConversion"/>
  </si>
  <si>
    <t>파워포인트</t>
    <phoneticPr fontId="1" type="noConversion"/>
  </si>
  <si>
    <t>인터넷</t>
    <phoneticPr fontId="1" type="noConversion"/>
  </si>
  <si>
    <t>액세스</t>
    <phoneticPr fontId="1" type="noConversion"/>
  </si>
  <si>
    <t>자격증 응시 결과</t>
    <phoneticPr fontId="1" type="noConversion"/>
  </si>
  <si>
    <t xml:space="preserve"> 응시과목</t>
  </si>
  <si>
    <t xml:space="preserve"> 점수</t>
  </si>
  <si>
    <t xml:space="preserve"> 결과</t>
  </si>
  <si>
    <t>김용학</t>
  </si>
  <si>
    <t xml:space="preserve"> 컴활1급</t>
  </si>
  <si>
    <t xml:space="preserve"> 합격</t>
  </si>
  <si>
    <t>김송민</t>
  </si>
  <si>
    <t xml:space="preserve"> 컴활2급</t>
  </si>
  <si>
    <t>최창수</t>
  </si>
  <si>
    <t xml:space="preserve"> 워드2급</t>
  </si>
  <si>
    <t xml:space="preserve"> 불합격</t>
  </si>
  <si>
    <t>김상규</t>
  </si>
  <si>
    <t xml:space="preserve"> 워드1급</t>
  </si>
  <si>
    <t>이재성</t>
  </si>
  <si>
    <t>황수지</t>
  </si>
  <si>
    <t>이남진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</si>
</sst>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0&quot;년&quot;"/>
    <numFmt numFmtId="178" formatCode="0.0"/>
    <numFmt numFmtId="179" formatCode="#,##0_ "/>
    <numFmt numFmtId="180" formatCode="#,##0&quot;(원)&quot;"/>
    <numFmt numFmtId="181" formatCode="h:mm;@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3F3F76"/>
      <name val="맑은 고딕"/>
      <family val="2"/>
      <charset val="129"/>
      <scheme val="minor"/>
    </font>
    <font>
      <sz val="17"/>
      <color theme="1"/>
      <name val="HY견고딕"/>
      <family val="1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rgb="FFFFCC99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4" borderId="10" applyNumberFormat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2" fontId="0" fillId="0" borderId="1" xfId="2" applyFont="1" applyBorder="1">
      <alignment vertical="center"/>
    </xf>
    <xf numFmtId="9" fontId="0" fillId="0" borderId="1" xfId="3" applyFont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9" fontId="0" fillId="0" borderId="0" xfId="0" applyNumberFormat="1">
      <alignment vertical="center"/>
    </xf>
    <xf numFmtId="42" fontId="0" fillId="0" borderId="1" xfId="2" applyNumberFormat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8" fillId="0" borderId="1" xfId="0" applyFont="1" applyFill="1" applyBorder="1" applyAlignment="1">
      <alignment horizontal="center"/>
    </xf>
    <xf numFmtId="0" fontId="10" fillId="4" borderId="10" xfId="5" applyAlignment="1">
      <alignment horizontal="center" vertical="center"/>
    </xf>
    <xf numFmtId="0" fontId="6" fillId="3" borderId="1" xfId="4" applyBorder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80" fontId="0" fillId="0" borderId="6" xfId="0" applyNumberFormat="1" applyBorder="1">
      <alignment vertical="center"/>
    </xf>
    <xf numFmtId="180" fontId="0" fillId="0" borderId="9" xfId="0" applyNumberFormat="1" applyBorder="1">
      <alignment vertical="center"/>
    </xf>
    <xf numFmtId="20" fontId="0" fillId="0" borderId="1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0" fontId="6" fillId="3" borderId="4" xfId="4" applyBorder="1" applyAlignment="1">
      <alignment horizontal="center" vertical="center"/>
    </xf>
    <xf numFmtId="0" fontId="6" fillId="3" borderId="6" xfId="4" applyBorder="1" applyAlignment="1">
      <alignment horizontal="center" vertical="center"/>
    </xf>
    <xf numFmtId="0" fontId="6" fillId="3" borderId="3" xfId="4" applyBorder="1" applyAlignment="1">
      <alignment horizontal="center" vertical="center"/>
    </xf>
    <xf numFmtId="0" fontId="6" fillId="3" borderId="1" xfId="4" applyBorder="1" applyAlignment="1">
      <alignment horizontal="center" vertical="center"/>
    </xf>
    <xf numFmtId="0" fontId="6" fillId="3" borderId="2" xfId="4" applyBorder="1" applyAlignment="1">
      <alignment horizontal="center" vertical="center"/>
    </xf>
    <xf numFmtId="0" fontId="6" fillId="3" borderId="5" xfId="4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6">
    <cellStyle name="강조색6" xfId="4" builtinId="49"/>
    <cellStyle name="백분율" xfId="3" builtinId="5"/>
    <cellStyle name="쉼표 [0]" xfId="1" builtinId="6"/>
    <cellStyle name="입력" xfId="5" builtinId="20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가전제품 판매 목표/실적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판매목표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드럼세탁기</c:v>
                </c:pt>
                <c:pt idx="2">
                  <c:v>TV</c:v>
                </c:pt>
                <c:pt idx="3">
                  <c:v>공기청정기</c:v>
                </c:pt>
                <c:pt idx="4">
                  <c:v>무선청소기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1050</c:v>
                </c:pt>
                <c:pt idx="1">
                  <c:v>1150</c:v>
                </c:pt>
                <c:pt idx="2">
                  <c:v>1250</c:v>
                </c:pt>
                <c:pt idx="3">
                  <c:v>950</c:v>
                </c:pt>
                <c:pt idx="4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9-4D59-99E8-57E0F2739B93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판매실적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39-4D59-99E8-57E0F2739B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드럼세탁기</c:v>
                </c:pt>
                <c:pt idx="2">
                  <c:v>TV</c:v>
                </c:pt>
                <c:pt idx="3">
                  <c:v>공기청정기</c:v>
                </c:pt>
                <c:pt idx="4">
                  <c:v>무선청소기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995</c:v>
                </c:pt>
                <c:pt idx="1">
                  <c:v>1209</c:v>
                </c:pt>
                <c:pt idx="2">
                  <c:v>1342</c:v>
                </c:pt>
                <c:pt idx="3">
                  <c:v>982</c:v>
                </c:pt>
                <c:pt idx="4">
                  <c:v>1320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39-4D59-99E8-57E0F2739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934240"/>
        <c:axId val="1583934656"/>
      </c:lineChart>
      <c:catAx>
        <c:axId val="158393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3934656"/>
        <c:crosses val="autoZero"/>
        <c:auto val="1"/>
        <c:lblAlgn val="ctr"/>
        <c:lblOffset val="100"/>
        <c:noMultiLvlLbl val="0"/>
      </c:catAx>
      <c:valAx>
        <c:axId val="158393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판매량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3934240"/>
        <c:crosses val="autoZero"/>
        <c:crossBetween val="between"/>
      </c:valAx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[0]!셀스타일" textlink="">
      <xdr:nvSpPr>
        <xdr:cNvPr id="2" name="오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037114" y="2503714"/>
          <a:ext cx="1393372" cy="44631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309.853932523147" createdVersion="7" refreshedVersion="7" minRefreshableVersion="3" recordCount="12" xr:uid="{7E6F32AE-65EF-4320-808D-B68E724ADD1A}">
  <cacheSource type="worksheet">
    <worksheetSource ref="A3:H15" sheet="분석작업-1"/>
  </cacheSource>
  <cacheFields count="8">
    <cacheField name="사원명" numFmtId="0">
      <sharedItems/>
    </cacheField>
    <cacheField name="팀명" numFmtId="0">
      <sharedItems count="3">
        <s v="인사팀"/>
        <s v="재무팀"/>
        <s v="홍보팀"/>
      </sharedItems>
    </cacheField>
    <cacheField name="직책" numFmtId="0">
      <sharedItems count="4">
        <s v="팀장"/>
        <s v="책임"/>
        <s v="선임"/>
        <s v="주임"/>
      </sharedItems>
    </cacheField>
    <cacheField name="년차" numFmtId="0">
      <sharedItems containsSemiMixedTypes="0" containsString="0" containsNumber="1" containsInteger="1" minValue="1" maxValue="15"/>
    </cacheField>
    <cacheField name="기본급" numFmtId="41">
      <sharedItems containsSemiMixedTypes="0" containsString="0" containsNumber="1" containsInteger="1" minValue="2400000" maxValue="4500000"/>
    </cacheField>
    <cacheField name="수당" numFmtId="41">
      <sharedItems containsSemiMixedTypes="0" containsString="0" containsNumber="1" containsInteger="1" minValue="810000" maxValue="1700000"/>
    </cacheField>
    <cacheField name="세금" numFmtId="41">
      <sharedItems containsSemiMixedTypes="0" containsString="0" containsNumber="1" containsInteger="1" minValue="550000" maxValue="1300000"/>
    </cacheField>
    <cacheField name="실수령액" numFmtId="41">
      <sharedItems containsSemiMixedTypes="0" containsString="0" containsNumber="1" containsInteger="1" minValue="2670000" maxValue="49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김대희"/>
    <x v="0"/>
    <x v="0"/>
    <n v="15"/>
    <n v="4500000"/>
    <n v="1700000"/>
    <n v="1300000"/>
    <n v="4900000"/>
  </r>
  <r>
    <s v="서여진"/>
    <x v="0"/>
    <x v="1"/>
    <n v="9"/>
    <n v="3900000"/>
    <n v="1500000"/>
    <n v="1100000"/>
    <n v="4300000"/>
  </r>
  <r>
    <s v="최진호"/>
    <x v="0"/>
    <x v="2"/>
    <n v="5"/>
    <n v="3300000"/>
    <n v="950000"/>
    <n v="950000"/>
    <n v="3300000"/>
  </r>
  <r>
    <s v="이주연"/>
    <x v="0"/>
    <x v="3"/>
    <n v="2"/>
    <n v="2600000"/>
    <n v="850000"/>
    <n v="650000"/>
    <n v="2800000"/>
  </r>
  <r>
    <s v="마인석"/>
    <x v="1"/>
    <x v="0"/>
    <n v="12"/>
    <n v="4200000"/>
    <n v="1300000"/>
    <n v="1100000"/>
    <n v="4400000"/>
  </r>
  <r>
    <s v="안나은"/>
    <x v="1"/>
    <x v="1"/>
    <n v="8"/>
    <n v="3600000"/>
    <n v="1400000"/>
    <n v="1000000"/>
    <n v="4000000"/>
  </r>
  <r>
    <s v="민준희"/>
    <x v="1"/>
    <x v="2"/>
    <n v="3"/>
    <n v="3100000"/>
    <n v="850000"/>
    <n v="850000"/>
    <n v="3100000"/>
  </r>
  <r>
    <s v="한수나"/>
    <x v="1"/>
    <x v="3"/>
    <n v="1"/>
    <n v="2400000"/>
    <n v="820000"/>
    <n v="550000"/>
    <n v="2670000"/>
  </r>
  <r>
    <s v="최미진"/>
    <x v="2"/>
    <x v="0"/>
    <n v="10"/>
    <n v="4000000"/>
    <n v="1500000"/>
    <n v="1100000"/>
    <n v="4400000"/>
  </r>
  <r>
    <s v="김서연"/>
    <x v="2"/>
    <x v="1"/>
    <n v="7"/>
    <n v="3500000"/>
    <n v="1350000"/>
    <n v="1020000"/>
    <n v="3830000"/>
  </r>
  <r>
    <s v="정유리"/>
    <x v="2"/>
    <x v="2"/>
    <n v="4"/>
    <n v="3200000"/>
    <n v="900000"/>
    <n v="930000"/>
    <n v="3170000"/>
  </r>
  <r>
    <s v="유이지"/>
    <x v="2"/>
    <x v="3"/>
    <n v="2"/>
    <n v="2600000"/>
    <n v="810000"/>
    <n v="600000"/>
    <n v="281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295801-F355-46F2-B8F2-63C9B0230C3D}" name="피벗 테이블2" cacheId="0" applyNumberFormats="0" applyBorderFormats="0" applyFontFormats="0" applyPatternFormats="0" applyAlignmentFormats="0" applyWidthHeightFormats="1" dataCaption="값" updatedVersion="7" minRefreshableVersion="3" useAutoFormatting="1" rowGrandTotals="0" itemPrintTitles="1" createdVersion="7" indent="0" outline="1" outlineData="1" multipleFieldFilters="0">
  <location ref="A20:D25" firstHeaderRow="1" firstDataRow="2" firstDataCol="1"/>
  <pivotFields count="8">
    <pivotField showAll="0"/>
    <pivotField axis="axisCol" showAll="0">
      <items count="4">
        <item x="0"/>
        <item x="1"/>
        <item h="1" x="2"/>
        <item t="default"/>
      </items>
    </pivotField>
    <pivotField axis="axisRow" showAll="0">
      <items count="5">
        <item x="2"/>
        <item x="3"/>
        <item x="1"/>
        <item x="0"/>
        <item t="default"/>
      </items>
    </pivotField>
    <pivotField showAll="0"/>
    <pivotField numFmtId="41" showAll="0"/>
    <pivotField numFmtId="41" showAll="0"/>
    <pivotField numFmtId="41" showAll="0"/>
    <pivotField dataField="1" numFmtId="41" showAll="0"/>
  </pivotFields>
  <rowFields count="1">
    <field x="2"/>
  </rowFields>
  <rowItems count="4">
    <i>
      <x/>
    </i>
    <i>
      <x v="1"/>
    </i>
    <i>
      <x v="2"/>
    </i>
    <i>
      <x v="3"/>
    </i>
  </rowItems>
  <colFields count="1">
    <field x="1"/>
  </colFields>
  <colItems count="3">
    <i>
      <x/>
    </i>
    <i>
      <x v="1"/>
    </i>
    <i t="grand">
      <x/>
    </i>
  </colItems>
  <dataFields count="1">
    <dataField name="평균 : 실수령액" fld="7" subtotal="average" baseField="2" baseItem="0" numFmtId="17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9"/>
  <sheetViews>
    <sheetView workbookViewId="0"/>
  </sheetViews>
  <sheetFormatPr defaultRowHeight="16.5" x14ac:dyDescent="0.3"/>
  <cols>
    <col min="3" max="3" width="10.5" bestFit="1" customWidth="1"/>
  </cols>
  <sheetData>
    <row r="1" spans="1:6" x14ac:dyDescent="0.3">
      <c r="A1" t="s">
        <v>0</v>
      </c>
    </row>
    <row r="3" spans="1:6" x14ac:dyDescent="0.3">
      <c r="A3" t="s">
        <v>88</v>
      </c>
      <c r="B3" t="s">
        <v>94</v>
      </c>
      <c r="C3" t="s">
        <v>101</v>
      </c>
      <c r="D3" t="s">
        <v>108</v>
      </c>
      <c r="E3" t="s">
        <v>109</v>
      </c>
      <c r="F3" t="s">
        <v>110</v>
      </c>
    </row>
    <row r="4" spans="1:6" x14ac:dyDescent="0.3">
      <c r="A4" t="s">
        <v>89</v>
      </c>
      <c r="B4" t="s">
        <v>95</v>
      </c>
      <c r="C4" t="s">
        <v>102</v>
      </c>
      <c r="D4">
        <v>28000</v>
      </c>
      <c r="E4">
        <v>3500</v>
      </c>
      <c r="F4" t="s">
        <v>111</v>
      </c>
    </row>
    <row r="5" spans="1:6" x14ac:dyDescent="0.3">
      <c r="A5" t="s">
        <v>89</v>
      </c>
      <c r="B5" t="s">
        <v>98</v>
      </c>
      <c r="C5" t="s">
        <v>103</v>
      </c>
      <c r="D5">
        <v>33000</v>
      </c>
      <c r="E5">
        <v>2700</v>
      </c>
      <c r="F5" t="s">
        <v>114</v>
      </c>
    </row>
    <row r="6" spans="1:6" x14ac:dyDescent="0.3">
      <c r="A6" t="s">
        <v>90</v>
      </c>
      <c r="B6" t="s">
        <v>96</v>
      </c>
      <c r="C6" t="s">
        <v>104</v>
      </c>
      <c r="D6">
        <v>45000</v>
      </c>
      <c r="E6">
        <v>1500</v>
      </c>
      <c r="F6" t="s">
        <v>111</v>
      </c>
    </row>
    <row r="7" spans="1:6" x14ac:dyDescent="0.3">
      <c r="A7" t="s">
        <v>91</v>
      </c>
      <c r="B7" t="s">
        <v>97</v>
      </c>
      <c r="C7" t="s">
        <v>105</v>
      </c>
      <c r="D7">
        <v>50000</v>
      </c>
      <c r="E7">
        <v>1000</v>
      </c>
      <c r="F7" t="s">
        <v>113</v>
      </c>
    </row>
    <row r="8" spans="1:6" x14ac:dyDescent="0.3">
      <c r="A8" t="s">
        <v>92</v>
      </c>
      <c r="B8" t="s">
        <v>99</v>
      </c>
      <c r="C8" t="s">
        <v>106</v>
      </c>
      <c r="D8">
        <v>65000</v>
      </c>
      <c r="E8">
        <v>1100</v>
      </c>
      <c r="F8" t="s">
        <v>115</v>
      </c>
    </row>
    <row r="9" spans="1:6" x14ac:dyDescent="0.3">
      <c r="A9" t="s">
        <v>93</v>
      </c>
      <c r="B9" t="s">
        <v>100</v>
      </c>
      <c r="C9" t="s">
        <v>107</v>
      </c>
      <c r="D9">
        <v>55000</v>
      </c>
      <c r="E9">
        <v>1250</v>
      </c>
      <c r="F9" t="s">
        <v>112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4"/>
  <sheetViews>
    <sheetView workbookViewId="0"/>
  </sheetViews>
  <sheetFormatPr defaultRowHeight="16.5" x14ac:dyDescent="0.3"/>
  <cols>
    <col min="8" max="8" width="12.625" bestFit="1" customWidth="1"/>
  </cols>
  <sheetData>
    <row r="1" spans="1:8" ht="21.75" x14ac:dyDescent="0.3">
      <c r="A1" s="28" t="s">
        <v>221</v>
      </c>
      <c r="B1" s="28"/>
      <c r="C1" s="28"/>
      <c r="D1" s="28"/>
      <c r="E1" s="28"/>
      <c r="F1" s="28"/>
      <c r="G1" s="28"/>
      <c r="H1" s="28"/>
    </row>
    <row r="2" spans="1:8" ht="17.25" thickBot="1" x14ac:dyDescent="0.35"/>
    <row r="3" spans="1:8" x14ac:dyDescent="0.3">
      <c r="A3" s="37" t="s">
        <v>201</v>
      </c>
      <c r="B3" s="35" t="s">
        <v>222</v>
      </c>
      <c r="C3" s="35" t="s">
        <v>202</v>
      </c>
      <c r="D3" s="35"/>
      <c r="E3" s="35"/>
      <c r="F3" s="35"/>
      <c r="G3" s="35" t="s">
        <v>203</v>
      </c>
      <c r="H3" s="33" t="s">
        <v>204</v>
      </c>
    </row>
    <row r="4" spans="1:8" x14ac:dyDescent="0.3">
      <c r="A4" s="38"/>
      <c r="B4" s="36"/>
      <c r="C4" s="27" t="s">
        <v>205</v>
      </c>
      <c r="D4" s="27" t="s">
        <v>1</v>
      </c>
      <c r="E4" s="27" t="s">
        <v>2</v>
      </c>
      <c r="F4" s="27" t="s">
        <v>3</v>
      </c>
      <c r="G4" s="36"/>
      <c r="H4" s="34"/>
    </row>
    <row r="5" spans="1:8" x14ac:dyDescent="0.3">
      <c r="A5" s="14" t="s">
        <v>206</v>
      </c>
      <c r="B5" s="2" t="s">
        <v>207</v>
      </c>
      <c r="C5" s="7">
        <v>216</v>
      </c>
      <c r="D5" s="7">
        <v>177</v>
      </c>
      <c r="E5" s="7">
        <v>292</v>
      </c>
      <c r="F5" s="7">
        <v>250</v>
      </c>
      <c r="G5" s="7">
        <v>935</v>
      </c>
      <c r="H5" s="29">
        <v>3833500</v>
      </c>
    </row>
    <row r="6" spans="1:8" x14ac:dyDescent="0.3">
      <c r="A6" s="14" t="s">
        <v>208</v>
      </c>
      <c r="B6" s="2" t="s">
        <v>210</v>
      </c>
      <c r="C6" s="7">
        <v>166</v>
      </c>
      <c r="D6" s="7">
        <v>214</v>
      </c>
      <c r="E6" s="7">
        <v>228</v>
      </c>
      <c r="F6" s="7">
        <v>224</v>
      </c>
      <c r="G6" s="7">
        <v>832</v>
      </c>
      <c r="H6" s="29">
        <v>3411200</v>
      </c>
    </row>
    <row r="7" spans="1:8" x14ac:dyDescent="0.3">
      <c r="A7" s="14" t="s">
        <v>211</v>
      </c>
      <c r="B7" s="2" t="s">
        <v>209</v>
      </c>
      <c r="C7" s="7">
        <v>254</v>
      </c>
      <c r="D7" s="7">
        <v>300</v>
      </c>
      <c r="E7" s="7">
        <v>227</v>
      </c>
      <c r="F7" s="7">
        <v>272</v>
      </c>
      <c r="G7" s="7">
        <v>1053</v>
      </c>
      <c r="H7" s="29">
        <v>4317300</v>
      </c>
    </row>
    <row r="8" spans="1:8" x14ac:dyDescent="0.3">
      <c r="A8" s="14" t="s">
        <v>212</v>
      </c>
      <c r="B8" s="2" t="s">
        <v>172</v>
      </c>
      <c r="C8" s="7">
        <v>221</v>
      </c>
      <c r="D8" s="7">
        <v>241</v>
      </c>
      <c r="E8" s="7">
        <v>214</v>
      </c>
      <c r="F8" s="7">
        <v>174</v>
      </c>
      <c r="G8" s="7">
        <v>850</v>
      </c>
      <c r="H8" s="29">
        <v>3485000</v>
      </c>
    </row>
    <row r="9" spans="1:8" x14ac:dyDescent="0.3">
      <c r="A9" s="14" t="s">
        <v>213</v>
      </c>
      <c r="B9" s="2" t="s">
        <v>172</v>
      </c>
      <c r="C9" s="7">
        <v>204</v>
      </c>
      <c r="D9" s="7">
        <v>210</v>
      </c>
      <c r="E9" s="7">
        <v>234</v>
      </c>
      <c r="F9" s="7">
        <v>230</v>
      </c>
      <c r="G9" s="7">
        <v>878</v>
      </c>
      <c r="H9" s="29">
        <v>3599800</v>
      </c>
    </row>
    <row r="10" spans="1:8" x14ac:dyDescent="0.3">
      <c r="A10" s="14" t="s">
        <v>214</v>
      </c>
      <c r="B10" s="2" t="s">
        <v>216</v>
      </c>
      <c r="C10" s="7">
        <v>159</v>
      </c>
      <c r="D10" s="7">
        <v>141</v>
      </c>
      <c r="E10" s="7">
        <v>168</v>
      </c>
      <c r="F10" s="7">
        <v>138</v>
      </c>
      <c r="G10" s="7">
        <v>606</v>
      </c>
      <c r="H10" s="29">
        <v>2484600</v>
      </c>
    </row>
    <row r="11" spans="1:8" x14ac:dyDescent="0.3">
      <c r="A11" s="14" t="s">
        <v>217</v>
      </c>
      <c r="B11" s="2" t="s">
        <v>215</v>
      </c>
      <c r="C11" s="7">
        <v>260</v>
      </c>
      <c r="D11" s="7">
        <v>280</v>
      </c>
      <c r="E11" s="7">
        <v>288</v>
      </c>
      <c r="F11" s="7">
        <v>237</v>
      </c>
      <c r="G11" s="7">
        <v>1065</v>
      </c>
      <c r="H11" s="29">
        <v>4366500</v>
      </c>
    </row>
    <row r="12" spans="1:8" x14ac:dyDescent="0.3">
      <c r="A12" s="14" t="s">
        <v>218</v>
      </c>
      <c r="B12" s="2" t="s">
        <v>4</v>
      </c>
      <c r="C12" s="7">
        <v>168</v>
      </c>
      <c r="D12" s="7">
        <v>187</v>
      </c>
      <c r="E12" s="7">
        <v>195</v>
      </c>
      <c r="F12" s="7">
        <v>212</v>
      </c>
      <c r="G12" s="7">
        <v>762</v>
      </c>
      <c r="H12" s="29">
        <v>3124200</v>
      </c>
    </row>
    <row r="13" spans="1:8" x14ac:dyDescent="0.3">
      <c r="A13" s="14" t="s">
        <v>219</v>
      </c>
      <c r="B13" s="2" t="s">
        <v>4</v>
      </c>
      <c r="C13" s="7">
        <v>217</v>
      </c>
      <c r="D13" s="7">
        <v>214</v>
      </c>
      <c r="E13" s="7">
        <v>238</v>
      </c>
      <c r="F13" s="7">
        <v>212</v>
      </c>
      <c r="G13" s="7">
        <v>881</v>
      </c>
      <c r="H13" s="29">
        <v>3612100</v>
      </c>
    </row>
    <row r="14" spans="1:8" ht="17.25" thickBot="1" x14ac:dyDescent="0.35">
      <c r="A14" s="15" t="s">
        <v>220</v>
      </c>
      <c r="B14" s="16" t="s">
        <v>4</v>
      </c>
      <c r="C14" s="17">
        <v>141</v>
      </c>
      <c r="D14" s="17">
        <v>159</v>
      </c>
      <c r="E14" s="17">
        <v>148</v>
      </c>
      <c r="F14" s="17">
        <v>154</v>
      </c>
      <c r="G14" s="17">
        <v>602</v>
      </c>
      <c r="H14" s="30">
        <v>2468200</v>
      </c>
    </row>
  </sheetData>
  <mergeCells count="5">
    <mergeCell ref="H3:H4"/>
    <mergeCell ref="G3:G4"/>
    <mergeCell ref="C3:F3"/>
    <mergeCell ref="B3:B4"/>
    <mergeCell ref="A3:A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0"/>
  <sheetViews>
    <sheetView tabSelected="1" workbookViewId="0"/>
  </sheetViews>
  <sheetFormatPr defaultRowHeight="16.5" x14ac:dyDescent="0.3"/>
  <sheetData>
    <row r="1" spans="1:4" x14ac:dyDescent="0.3">
      <c r="A1" t="s">
        <v>241</v>
      </c>
    </row>
    <row r="3" spans="1:4" x14ac:dyDescent="0.3">
      <c r="A3" t="s">
        <v>12</v>
      </c>
      <c r="B3" t="s">
        <v>242</v>
      </c>
      <c r="C3" t="s">
        <v>243</v>
      </c>
      <c r="D3" t="s">
        <v>244</v>
      </c>
    </row>
    <row r="4" spans="1:4" x14ac:dyDescent="0.3">
      <c r="A4" t="s">
        <v>245</v>
      </c>
      <c r="B4" t="s">
        <v>246</v>
      </c>
      <c r="C4">
        <v>75</v>
      </c>
      <c r="D4" t="s">
        <v>247</v>
      </c>
    </row>
    <row r="5" spans="1:4" x14ac:dyDescent="0.3">
      <c r="A5" t="s">
        <v>248</v>
      </c>
      <c r="B5" t="s">
        <v>249</v>
      </c>
      <c r="C5">
        <v>80</v>
      </c>
      <c r="D5" t="s">
        <v>247</v>
      </c>
    </row>
    <row r="6" spans="1:4" x14ac:dyDescent="0.3">
      <c r="A6" t="s">
        <v>250</v>
      </c>
      <c r="B6" t="s">
        <v>251</v>
      </c>
      <c r="C6">
        <v>55</v>
      </c>
      <c r="D6" t="s">
        <v>252</v>
      </c>
    </row>
    <row r="7" spans="1:4" x14ac:dyDescent="0.3">
      <c r="A7" t="s">
        <v>253</v>
      </c>
      <c r="B7" t="s">
        <v>254</v>
      </c>
      <c r="C7">
        <v>97</v>
      </c>
      <c r="D7" t="s">
        <v>247</v>
      </c>
    </row>
    <row r="8" spans="1:4" x14ac:dyDescent="0.3">
      <c r="A8" t="s">
        <v>255</v>
      </c>
      <c r="B8" t="s">
        <v>249</v>
      </c>
      <c r="C8">
        <v>50</v>
      </c>
      <c r="D8" t="s">
        <v>252</v>
      </c>
    </row>
    <row r="9" spans="1:4" x14ac:dyDescent="0.3">
      <c r="A9" t="s">
        <v>256</v>
      </c>
      <c r="B9" t="s">
        <v>246</v>
      </c>
      <c r="C9">
        <v>85</v>
      </c>
      <c r="D9" t="s">
        <v>247</v>
      </c>
    </row>
    <row r="10" spans="1:4" x14ac:dyDescent="0.3">
      <c r="A10" t="s">
        <v>257</v>
      </c>
      <c r="B10" t="s">
        <v>246</v>
      </c>
      <c r="C10">
        <v>68</v>
      </c>
      <c r="D10" t="s">
        <v>252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4"/>
  <sheetViews>
    <sheetView workbookViewId="0"/>
  </sheetViews>
  <sheetFormatPr defaultRowHeight="16.5" x14ac:dyDescent="0.3"/>
  <cols>
    <col min="1" max="1" width="11.625" customWidth="1"/>
    <col min="3" max="3" width="11" bestFit="1" customWidth="1"/>
    <col min="4" max="5" width="10.625" customWidth="1"/>
    <col min="7" max="7" width="8.25" customWidth="1"/>
    <col min="9" max="9" width="10.875" customWidth="1"/>
    <col min="10" max="11" width="13.625" bestFit="1" customWidth="1"/>
  </cols>
  <sheetData>
    <row r="1" spans="1:11" x14ac:dyDescent="0.3">
      <c r="A1" s="4" t="s">
        <v>9</v>
      </c>
      <c r="B1" s="5" t="s">
        <v>10</v>
      </c>
      <c r="H1" s="4" t="s">
        <v>11</v>
      </c>
      <c r="I1" s="5" t="s">
        <v>35</v>
      </c>
    </row>
    <row r="2" spans="1:11" x14ac:dyDescent="0.3">
      <c r="A2" s="2" t="s">
        <v>12</v>
      </c>
      <c r="B2" s="2" t="s">
        <v>6</v>
      </c>
      <c r="C2" s="2" t="s">
        <v>36</v>
      </c>
      <c r="D2" s="2" t="s">
        <v>37</v>
      </c>
      <c r="H2" s="2" t="s">
        <v>13</v>
      </c>
      <c r="I2" s="2" t="s">
        <v>14</v>
      </c>
      <c r="J2" s="2" t="s">
        <v>15</v>
      </c>
      <c r="K2" s="6" t="s">
        <v>38</v>
      </c>
    </row>
    <row r="3" spans="1:11" x14ac:dyDescent="0.3">
      <c r="A3" s="2" t="s">
        <v>39</v>
      </c>
      <c r="B3" s="2" t="s">
        <v>7</v>
      </c>
      <c r="C3" s="2">
        <v>86</v>
      </c>
      <c r="D3" s="2">
        <v>70</v>
      </c>
      <c r="H3" s="2" t="s">
        <v>40</v>
      </c>
      <c r="I3" s="2" t="s">
        <v>16</v>
      </c>
      <c r="J3" s="2" t="s">
        <v>41</v>
      </c>
      <c r="K3" s="2" t="str">
        <f>IF(MOD(MID(J3,8,1),2)=1,"남자","여자")</f>
        <v>여자</v>
      </c>
    </row>
    <row r="4" spans="1:11" x14ac:dyDescent="0.3">
      <c r="A4" s="2" t="s">
        <v>42</v>
      </c>
      <c r="B4" s="2" t="s">
        <v>8</v>
      </c>
      <c r="C4" s="2">
        <v>94</v>
      </c>
      <c r="D4" s="2">
        <v>90</v>
      </c>
      <c r="H4" s="2" t="s">
        <v>43</v>
      </c>
      <c r="I4" s="2" t="s">
        <v>17</v>
      </c>
      <c r="J4" s="2" t="s">
        <v>44</v>
      </c>
      <c r="K4" s="2" t="str">
        <f t="shared" ref="K4:K11" si="0">IF(MOD(MID(J4,8,1),2)=1,"남자","여자")</f>
        <v>남자</v>
      </c>
    </row>
    <row r="5" spans="1:11" x14ac:dyDescent="0.3">
      <c r="A5" s="2" t="s">
        <v>45</v>
      </c>
      <c r="B5" s="2" t="s">
        <v>7</v>
      </c>
      <c r="C5" s="2">
        <v>91</v>
      </c>
      <c r="D5" s="2">
        <v>86</v>
      </c>
      <c r="H5" s="2" t="s">
        <v>46</v>
      </c>
      <c r="I5" s="2" t="s">
        <v>18</v>
      </c>
      <c r="J5" s="2" t="s">
        <v>47</v>
      </c>
      <c r="K5" s="2" t="str">
        <f t="shared" si="0"/>
        <v>여자</v>
      </c>
    </row>
    <row r="6" spans="1:11" x14ac:dyDescent="0.3">
      <c r="A6" s="2" t="s">
        <v>48</v>
      </c>
      <c r="B6" s="2" t="s">
        <v>7</v>
      </c>
      <c r="C6" s="2">
        <v>76</v>
      </c>
      <c r="D6" s="2">
        <v>75</v>
      </c>
      <c r="H6" s="2" t="s">
        <v>49</v>
      </c>
      <c r="I6" s="2" t="s">
        <v>16</v>
      </c>
      <c r="J6" s="2" t="s">
        <v>50</v>
      </c>
      <c r="K6" s="2" t="str">
        <f t="shared" si="0"/>
        <v>남자</v>
      </c>
    </row>
    <row r="7" spans="1:11" x14ac:dyDescent="0.3">
      <c r="A7" s="2" t="s">
        <v>51</v>
      </c>
      <c r="B7" s="2" t="s">
        <v>8</v>
      </c>
      <c r="C7" s="2">
        <v>68</v>
      </c>
      <c r="D7" s="2">
        <v>73</v>
      </c>
      <c r="H7" s="2" t="s">
        <v>52</v>
      </c>
      <c r="I7" s="2" t="s">
        <v>19</v>
      </c>
      <c r="J7" s="2" t="s">
        <v>53</v>
      </c>
      <c r="K7" s="2" t="str">
        <f t="shared" si="0"/>
        <v>남자</v>
      </c>
    </row>
    <row r="8" spans="1:11" x14ac:dyDescent="0.3">
      <c r="A8" s="2" t="s">
        <v>54</v>
      </c>
      <c r="B8" s="2" t="s">
        <v>55</v>
      </c>
      <c r="C8" s="2">
        <v>97</v>
      </c>
      <c r="D8" s="2">
        <v>99</v>
      </c>
      <c r="H8" s="2" t="s">
        <v>56</v>
      </c>
      <c r="I8" s="2" t="s">
        <v>17</v>
      </c>
      <c r="J8" s="2" t="s">
        <v>57</v>
      </c>
      <c r="K8" s="2" t="str">
        <f t="shared" si="0"/>
        <v>남자</v>
      </c>
    </row>
    <row r="9" spans="1:11" x14ac:dyDescent="0.3">
      <c r="A9" s="2" t="s">
        <v>58</v>
      </c>
      <c r="B9" s="2" t="s">
        <v>59</v>
      </c>
      <c r="C9" s="2">
        <v>58</v>
      </c>
      <c r="D9" s="2">
        <v>54</v>
      </c>
      <c r="E9" s="23" t="s">
        <v>198</v>
      </c>
      <c r="F9" s="22" t="s">
        <v>199</v>
      </c>
      <c r="H9" s="2" t="s">
        <v>60</v>
      </c>
      <c r="I9" s="2" t="s">
        <v>16</v>
      </c>
      <c r="J9" s="2" t="s">
        <v>61</v>
      </c>
      <c r="K9" s="2" t="str">
        <f t="shared" si="0"/>
        <v>남자</v>
      </c>
    </row>
    <row r="10" spans="1:11" x14ac:dyDescent="0.3">
      <c r="A10" s="2" t="s">
        <v>62</v>
      </c>
      <c r="B10" s="2" t="s">
        <v>59</v>
      </c>
      <c r="C10" s="2">
        <v>92</v>
      </c>
      <c r="D10" s="2">
        <v>82</v>
      </c>
      <c r="E10" s="2" t="s">
        <v>7</v>
      </c>
      <c r="F10" s="9">
        <f>COUNTIFS($B$3:$B$11,E10,$D$3:$D$11,"&gt;=70",$D$3:$D$11,"&lt;80")/COUNT($D$3:$D$11)</f>
        <v>0.22222222222222221</v>
      </c>
      <c r="H10" s="2" t="s">
        <v>63</v>
      </c>
      <c r="I10" s="2" t="s">
        <v>18</v>
      </c>
      <c r="J10" s="2" t="s">
        <v>64</v>
      </c>
      <c r="K10" s="2" t="str">
        <f t="shared" si="0"/>
        <v>여자</v>
      </c>
    </row>
    <row r="11" spans="1:11" x14ac:dyDescent="0.3">
      <c r="A11" s="2" t="s">
        <v>65</v>
      </c>
      <c r="B11" s="2" t="s">
        <v>8</v>
      </c>
      <c r="C11" s="2">
        <v>93</v>
      </c>
      <c r="D11" s="2">
        <v>87</v>
      </c>
      <c r="E11" s="2" t="s">
        <v>8</v>
      </c>
      <c r="F11" s="9">
        <f>COUNTIFS($B$3:$B$11,E11,$D$3:$D$11,"&gt;=70",$D$3:$D$11,"&lt;80")/COUNT($D$3:$D$11)</f>
        <v>0.1111111111111111</v>
      </c>
      <c r="H11" s="2" t="s">
        <v>20</v>
      </c>
      <c r="I11" s="2" t="s">
        <v>19</v>
      </c>
      <c r="J11" s="2" t="s">
        <v>21</v>
      </c>
      <c r="K11" s="2" t="str">
        <f t="shared" si="0"/>
        <v>여자</v>
      </c>
    </row>
    <row r="13" spans="1:11" x14ac:dyDescent="0.3">
      <c r="A13" s="4" t="s">
        <v>22</v>
      </c>
      <c r="B13" s="5" t="s">
        <v>66</v>
      </c>
      <c r="H13" s="4" t="s">
        <v>188</v>
      </c>
      <c r="I13" s="5" t="s">
        <v>189</v>
      </c>
    </row>
    <row r="14" spans="1:11" x14ac:dyDescent="0.3">
      <c r="A14" s="2" t="s">
        <v>23</v>
      </c>
      <c r="B14" s="2" t="s">
        <v>24</v>
      </c>
      <c r="C14" s="2" t="s">
        <v>25</v>
      </c>
      <c r="D14" s="2" t="s">
        <v>26</v>
      </c>
      <c r="E14" s="2" t="s">
        <v>27</v>
      </c>
      <c r="F14" s="6" t="s">
        <v>197</v>
      </c>
      <c r="H14" s="2" t="s">
        <v>184</v>
      </c>
      <c r="I14" s="2" t="s">
        <v>185</v>
      </c>
      <c r="J14" s="2" t="s">
        <v>186</v>
      </c>
      <c r="K14" s="22" t="s">
        <v>187</v>
      </c>
    </row>
    <row r="15" spans="1:11" x14ac:dyDescent="0.3">
      <c r="A15" s="2" t="s">
        <v>67</v>
      </c>
      <c r="B15" s="2" t="s">
        <v>28</v>
      </c>
      <c r="C15" s="2" t="s">
        <v>28</v>
      </c>
      <c r="D15" s="2" t="s">
        <v>28</v>
      </c>
      <c r="E15" s="2" t="s">
        <v>28</v>
      </c>
      <c r="F15" s="2" t="str">
        <f>CHOOSE(COUNTA(B15:E15),"D","C","B","A")</f>
        <v>A</v>
      </c>
      <c r="H15" s="2">
        <v>5001</v>
      </c>
      <c r="I15" s="25" t="s">
        <v>190</v>
      </c>
      <c r="J15" s="24">
        <v>6.6122685185185187E-2</v>
      </c>
      <c r="K15" s="2">
        <f>IFERROR(_xlfn.RANK.EQ(J15,$J$15:$J$21,1),"실격")</f>
        <v>5</v>
      </c>
    </row>
    <row r="16" spans="1:11" x14ac:dyDescent="0.3">
      <c r="A16" s="2" t="s">
        <v>68</v>
      </c>
      <c r="B16" s="2"/>
      <c r="C16" s="2" t="s">
        <v>28</v>
      </c>
      <c r="D16" s="2" t="s">
        <v>28</v>
      </c>
      <c r="E16" s="2" t="s">
        <v>28</v>
      </c>
      <c r="F16" s="2" t="str">
        <f t="shared" ref="F16:F23" si="1">CHOOSE(COUNTA(B16:E16),"D","C","B","A")</f>
        <v>B</v>
      </c>
      <c r="H16" s="2">
        <v>5002</v>
      </c>
      <c r="I16" s="25" t="s">
        <v>191</v>
      </c>
      <c r="J16" s="24">
        <v>5.9803240740740747E-2</v>
      </c>
      <c r="K16" s="2">
        <f t="shared" ref="K16:K21" si="2">IFERROR(_xlfn.RANK.EQ(J16,$J$15:$J$21,1),"실격")</f>
        <v>1</v>
      </c>
    </row>
    <row r="17" spans="1:11" x14ac:dyDescent="0.3">
      <c r="A17" s="2" t="s">
        <v>69</v>
      </c>
      <c r="B17" s="2" t="s">
        <v>28</v>
      </c>
      <c r="C17" s="2" t="s">
        <v>28</v>
      </c>
      <c r="D17" s="2" t="s">
        <v>28</v>
      </c>
      <c r="E17" s="2" t="s">
        <v>28</v>
      </c>
      <c r="F17" s="2" t="str">
        <f t="shared" si="1"/>
        <v>A</v>
      </c>
      <c r="H17" s="2">
        <v>5003</v>
      </c>
      <c r="I17" s="25" t="s">
        <v>192</v>
      </c>
      <c r="J17" s="24">
        <v>6.9722222222222227E-2</v>
      </c>
      <c r="K17" s="2">
        <f t="shared" si="2"/>
        <v>6</v>
      </c>
    </row>
    <row r="18" spans="1:11" x14ac:dyDescent="0.3">
      <c r="A18" s="2" t="s">
        <v>70</v>
      </c>
      <c r="B18" s="2" t="s">
        <v>28</v>
      </c>
      <c r="C18" s="2"/>
      <c r="D18" s="2" t="s">
        <v>28</v>
      </c>
      <c r="E18" s="2" t="s">
        <v>28</v>
      </c>
      <c r="F18" s="2" t="str">
        <f t="shared" si="1"/>
        <v>B</v>
      </c>
      <c r="H18" s="2">
        <v>5004</v>
      </c>
      <c r="I18" s="25" t="s">
        <v>193</v>
      </c>
      <c r="J18" s="24"/>
      <c r="K18" s="2" t="str">
        <f t="shared" si="2"/>
        <v>실격</v>
      </c>
    </row>
    <row r="19" spans="1:11" x14ac:dyDescent="0.3">
      <c r="A19" s="2" t="s">
        <v>71</v>
      </c>
      <c r="B19" s="2" t="s">
        <v>28</v>
      </c>
      <c r="C19" s="2" t="s">
        <v>28</v>
      </c>
      <c r="D19" s="2"/>
      <c r="E19" s="2" t="s">
        <v>28</v>
      </c>
      <c r="F19" s="2" t="str">
        <f t="shared" si="1"/>
        <v>B</v>
      </c>
      <c r="H19" s="2">
        <v>5005</v>
      </c>
      <c r="I19" s="25" t="s">
        <v>194</v>
      </c>
      <c r="J19" s="24">
        <v>6.010416666666666E-2</v>
      </c>
      <c r="K19" s="2">
        <f t="shared" si="2"/>
        <v>2</v>
      </c>
    </row>
    <row r="20" spans="1:11" x14ac:dyDescent="0.3">
      <c r="A20" s="2" t="s">
        <v>72</v>
      </c>
      <c r="B20" s="2"/>
      <c r="C20" s="2"/>
      <c r="D20" s="2"/>
      <c r="E20" s="2" t="s">
        <v>28</v>
      </c>
      <c r="F20" s="2" t="str">
        <f t="shared" si="1"/>
        <v>D</v>
      </c>
      <c r="H20" s="2">
        <v>5006</v>
      </c>
      <c r="I20" s="25" t="s">
        <v>195</v>
      </c>
      <c r="J20" s="24">
        <v>6.2430555555555552E-2</v>
      </c>
      <c r="K20" s="2">
        <f t="shared" si="2"/>
        <v>4</v>
      </c>
    </row>
    <row r="21" spans="1:11" x14ac:dyDescent="0.3">
      <c r="A21" s="2" t="s">
        <v>73</v>
      </c>
      <c r="B21" s="2" t="s">
        <v>28</v>
      </c>
      <c r="C21" s="2" t="s">
        <v>28</v>
      </c>
      <c r="D21" s="2" t="s">
        <v>28</v>
      </c>
      <c r="E21" s="2" t="s">
        <v>28</v>
      </c>
      <c r="F21" s="2" t="str">
        <f t="shared" si="1"/>
        <v>A</v>
      </c>
      <c r="H21" s="2">
        <v>5007</v>
      </c>
      <c r="I21" s="25" t="s">
        <v>196</v>
      </c>
      <c r="J21" s="24">
        <v>6.1469907407407404E-2</v>
      </c>
      <c r="K21" s="2">
        <f t="shared" si="2"/>
        <v>3</v>
      </c>
    </row>
    <row r="22" spans="1:11" x14ac:dyDescent="0.3">
      <c r="A22" s="2" t="s">
        <v>74</v>
      </c>
      <c r="B22" s="2" t="s">
        <v>28</v>
      </c>
      <c r="C22" s="2"/>
      <c r="D22" s="2" t="s">
        <v>28</v>
      </c>
      <c r="E22" s="2"/>
      <c r="F22" s="2" t="str">
        <f t="shared" si="1"/>
        <v>C</v>
      </c>
    </row>
    <row r="23" spans="1:11" x14ac:dyDescent="0.3">
      <c r="A23" s="2" t="s">
        <v>29</v>
      </c>
      <c r="B23" s="2" t="s">
        <v>28</v>
      </c>
      <c r="C23" s="2" t="s">
        <v>28</v>
      </c>
      <c r="D23" s="2" t="s">
        <v>28</v>
      </c>
      <c r="E23" s="2" t="s">
        <v>28</v>
      </c>
      <c r="F23" s="2" t="str">
        <f t="shared" si="1"/>
        <v>A</v>
      </c>
    </row>
    <row r="25" spans="1:11" x14ac:dyDescent="0.3">
      <c r="A25" s="4" t="s">
        <v>30</v>
      </c>
      <c r="B25" s="5" t="s">
        <v>225</v>
      </c>
    </row>
    <row r="26" spans="1:11" x14ac:dyDescent="0.3">
      <c r="A26" s="2" t="s">
        <v>226</v>
      </c>
      <c r="B26" s="2" t="s">
        <v>75</v>
      </c>
      <c r="C26" s="2" t="s">
        <v>235</v>
      </c>
      <c r="D26" s="2" t="s">
        <v>223</v>
      </c>
      <c r="E26" s="6" t="s">
        <v>224</v>
      </c>
    </row>
    <row r="27" spans="1:11" x14ac:dyDescent="0.3">
      <c r="A27" s="2" t="s">
        <v>227</v>
      </c>
      <c r="B27" s="2" t="s">
        <v>76</v>
      </c>
      <c r="C27" s="2" t="s">
        <v>236</v>
      </c>
      <c r="D27" s="31">
        <v>0.375</v>
      </c>
      <c r="E27" s="32">
        <f>D27+IF(RIGHT(A27,2)="TT",TIME(,80,),TIME(,60,))</f>
        <v>0.43055555555555558</v>
      </c>
    </row>
    <row r="28" spans="1:11" x14ac:dyDescent="0.3">
      <c r="A28" s="2" t="s">
        <v>228</v>
      </c>
      <c r="B28" s="2" t="s">
        <v>77</v>
      </c>
      <c r="C28" s="2" t="s">
        <v>237</v>
      </c>
      <c r="D28" s="31">
        <v>0.4375</v>
      </c>
      <c r="E28" s="32">
        <f t="shared" ref="E28:E34" si="3">D28+IF(RIGHT(A28,2)="TT",TIME(,80,),TIME(,60,))</f>
        <v>0.47916666666666669</v>
      </c>
    </row>
    <row r="29" spans="1:11" x14ac:dyDescent="0.3">
      <c r="A29" s="2" t="s">
        <v>229</v>
      </c>
      <c r="B29" s="2" t="s">
        <v>78</v>
      </c>
      <c r="C29" s="2" t="s">
        <v>238</v>
      </c>
      <c r="D29" s="31">
        <v>0.5</v>
      </c>
      <c r="E29" s="32">
        <f t="shared" si="3"/>
        <v>0.55555555555555558</v>
      </c>
    </row>
    <row r="30" spans="1:11" x14ac:dyDescent="0.3">
      <c r="A30" s="2" t="s">
        <v>230</v>
      </c>
      <c r="B30" s="2" t="s">
        <v>79</v>
      </c>
      <c r="C30" s="2" t="s">
        <v>239</v>
      </c>
      <c r="D30" s="31">
        <v>0.5</v>
      </c>
      <c r="E30" s="32">
        <f t="shared" si="3"/>
        <v>0.55555555555555558</v>
      </c>
    </row>
    <row r="31" spans="1:11" x14ac:dyDescent="0.3">
      <c r="A31" s="2" t="s">
        <v>231</v>
      </c>
      <c r="B31" s="2" t="s">
        <v>80</v>
      </c>
      <c r="C31" s="2" t="s">
        <v>240</v>
      </c>
      <c r="D31" s="31">
        <v>0.4375</v>
      </c>
      <c r="E31" s="32">
        <f t="shared" si="3"/>
        <v>0.47916666666666669</v>
      </c>
    </row>
    <row r="32" spans="1:11" x14ac:dyDescent="0.3">
      <c r="A32" s="2" t="s">
        <v>232</v>
      </c>
      <c r="B32" s="2" t="s">
        <v>81</v>
      </c>
      <c r="C32" s="2" t="s">
        <v>236</v>
      </c>
      <c r="D32" s="31">
        <v>0.375</v>
      </c>
      <c r="E32" s="32">
        <f t="shared" si="3"/>
        <v>0.41666666666666669</v>
      </c>
    </row>
    <row r="33" spans="1:5" x14ac:dyDescent="0.3">
      <c r="A33" s="2" t="s">
        <v>233</v>
      </c>
      <c r="B33" s="2" t="s">
        <v>82</v>
      </c>
      <c r="C33" s="2" t="s">
        <v>237</v>
      </c>
      <c r="D33" s="31">
        <v>0.5</v>
      </c>
      <c r="E33" s="32">
        <f t="shared" si="3"/>
        <v>0.55555555555555558</v>
      </c>
    </row>
    <row r="34" spans="1:5" x14ac:dyDescent="0.3">
      <c r="A34" s="2" t="s">
        <v>234</v>
      </c>
      <c r="B34" s="2" t="s">
        <v>83</v>
      </c>
      <c r="C34" s="2" t="s">
        <v>239</v>
      </c>
      <c r="D34" s="31">
        <v>0.4375</v>
      </c>
      <c r="E34" s="32">
        <f t="shared" si="3"/>
        <v>0.47916666666666669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5"/>
  <sheetViews>
    <sheetView workbookViewId="0">
      <selection sqref="A1:H1"/>
    </sheetView>
  </sheetViews>
  <sheetFormatPr defaultRowHeight="16.5" x14ac:dyDescent="0.3"/>
  <cols>
    <col min="1" max="1" width="15.25" bestFit="1" customWidth="1"/>
    <col min="2" max="2" width="11.875" bestFit="1" customWidth="1"/>
    <col min="3" max="5" width="9.875" bestFit="1" customWidth="1"/>
    <col min="6" max="8" width="10.625" bestFit="1" customWidth="1"/>
  </cols>
  <sheetData>
    <row r="1" spans="1:8" ht="20.25" x14ac:dyDescent="0.3">
      <c r="A1" s="39" t="s">
        <v>84</v>
      </c>
      <c r="B1" s="39"/>
      <c r="C1" s="39"/>
      <c r="D1" s="39"/>
      <c r="E1" s="39"/>
      <c r="F1" s="39"/>
      <c r="G1" s="39"/>
      <c r="H1" s="39"/>
    </row>
    <row r="3" spans="1:8" x14ac:dyDescent="0.3">
      <c r="A3" s="2" t="s">
        <v>5</v>
      </c>
      <c r="B3" s="2" t="s">
        <v>116</v>
      </c>
      <c r="C3" s="2" t="s">
        <v>117</v>
      </c>
      <c r="D3" s="2" t="s">
        <v>118</v>
      </c>
      <c r="E3" s="2" t="s">
        <v>31</v>
      </c>
      <c r="F3" s="2" t="s">
        <v>32</v>
      </c>
      <c r="G3" s="2" t="s">
        <v>33</v>
      </c>
      <c r="H3" s="2" t="s">
        <v>34</v>
      </c>
    </row>
    <row r="4" spans="1:8" x14ac:dyDescent="0.3">
      <c r="A4" s="2" t="s">
        <v>119</v>
      </c>
      <c r="B4" s="2" t="s">
        <v>120</v>
      </c>
      <c r="C4" s="2" t="s">
        <v>121</v>
      </c>
      <c r="D4" s="2">
        <v>15</v>
      </c>
      <c r="E4" s="3">
        <v>4500000</v>
      </c>
      <c r="F4" s="3">
        <v>1700000</v>
      </c>
      <c r="G4" s="3">
        <v>1300000</v>
      </c>
      <c r="H4" s="3">
        <v>4900000</v>
      </c>
    </row>
    <row r="5" spans="1:8" x14ac:dyDescent="0.3">
      <c r="A5" s="2" t="s">
        <v>122</v>
      </c>
      <c r="B5" s="2" t="s">
        <v>123</v>
      </c>
      <c r="C5" s="2" t="s">
        <v>124</v>
      </c>
      <c r="D5" s="2">
        <v>9</v>
      </c>
      <c r="E5" s="3">
        <v>3900000</v>
      </c>
      <c r="F5" s="3">
        <v>1500000</v>
      </c>
      <c r="G5" s="3">
        <v>1100000</v>
      </c>
      <c r="H5" s="3">
        <v>4300000</v>
      </c>
    </row>
    <row r="6" spans="1:8" x14ac:dyDescent="0.3">
      <c r="A6" s="2" t="s">
        <v>125</v>
      </c>
      <c r="B6" s="2" t="s">
        <v>126</v>
      </c>
      <c r="C6" s="2" t="s">
        <v>127</v>
      </c>
      <c r="D6" s="2">
        <v>5</v>
      </c>
      <c r="E6" s="3">
        <v>3300000</v>
      </c>
      <c r="F6" s="3">
        <v>950000</v>
      </c>
      <c r="G6" s="3">
        <v>950000</v>
      </c>
      <c r="H6" s="3">
        <v>3300000</v>
      </c>
    </row>
    <row r="7" spans="1:8" x14ac:dyDescent="0.3">
      <c r="A7" s="2" t="s">
        <v>128</v>
      </c>
      <c r="B7" s="2" t="s">
        <v>123</v>
      </c>
      <c r="C7" s="2" t="s">
        <v>129</v>
      </c>
      <c r="D7" s="2">
        <v>2</v>
      </c>
      <c r="E7" s="3">
        <v>2600000</v>
      </c>
      <c r="F7" s="3">
        <v>850000</v>
      </c>
      <c r="G7" s="3">
        <v>650000</v>
      </c>
      <c r="H7" s="3">
        <v>2800000</v>
      </c>
    </row>
    <row r="8" spans="1:8" x14ac:dyDescent="0.3">
      <c r="A8" s="2" t="s">
        <v>130</v>
      </c>
      <c r="B8" s="2" t="s">
        <v>132</v>
      </c>
      <c r="C8" s="2" t="s">
        <v>133</v>
      </c>
      <c r="D8" s="2">
        <v>12</v>
      </c>
      <c r="E8" s="3">
        <v>4200000</v>
      </c>
      <c r="F8" s="3">
        <v>1300000</v>
      </c>
      <c r="G8" s="3">
        <v>1100000</v>
      </c>
      <c r="H8" s="3">
        <v>4400000</v>
      </c>
    </row>
    <row r="9" spans="1:8" x14ac:dyDescent="0.3">
      <c r="A9" s="2" t="s">
        <v>134</v>
      </c>
      <c r="B9" s="2" t="s">
        <v>132</v>
      </c>
      <c r="C9" s="2" t="s">
        <v>135</v>
      </c>
      <c r="D9" s="2">
        <v>8</v>
      </c>
      <c r="E9" s="3">
        <v>3600000</v>
      </c>
      <c r="F9" s="3">
        <v>1400000</v>
      </c>
      <c r="G9" s="3">
        <v>1000000</v>
      </c>
      <c r="H9" s="3">
        <v>4000000</v>
      </c>
    </row>
    <row r="10" spans="1:8" x14ac:dyDescent="0.3">
      <c r="A10" s="2" t="s">
        <v>136</v>
      </c>
      <c r="B10" s="2" t="s">
        <v>131</v>
      </c>
      <c r="C10" s="2" t="s">
        <v>127</v>
      </c>
      <c r="D10" s="2">
        <v>3</v>
      </c>
      <c r="E10" s="3">
        <v>3100000</v>
      </c>
      <c r="F10" s="3">
        <v>850000</v>
      </c>
      <c r="G10" s="3">
        <v>850000</v>
      </c>
      <c r="H10" s="3">
        <v>3100000</v>
      </c>
    </row>
    <row r="11" spans="1:8" x14ac:dyDescent="0.3">
      <c r="A11" s="2" t="s">
        <v>137</v>
      </c>
      <c r="B11" s="2" t="s">
        <v>132</v>
      </c>
      <c r="C11" s="2" t="s">
        <v>138</v>
      </c>
      <c r="D11" s="2">
        <v>1</v>
      </c>
      <c r="E11" s="3">
        <v>2400000</v>
      </c>
      <c r="F11" s="3">
        <v>820000</v>
      </c>
      <c r="G11" s="3">
        <v>550000</v>
      </c>
      <c r="H11" s="3">
        <v>2670000</v>
      </c>
    </row>
    <row r="12" spans="1:8" x14ac:dyDescent="0.3">
      <c r="A12" s="2" t="s">
        <v>139</v>
      </c>
      <c r="B12" s="2" t="s">
        <v>140</v>
      </c>
      <c r="C12" s="2" t="s">
        <v>121</v>
      </c>
      <c r="D12" s="2">
        <v>10</v>
      </c>
      <c r="E12" s="3">
        <v>4000000</v>
      </c>
      <c r="F12" s="3">
        <v>1500000</v>
      </c>
      <c r="G12" s="3">
        <v>1100000</v>
      </c>
      <c r="H12" s="3">
        <v>4400000</v>
      </c>
    </row>
    <row r="13" spans="1:8" x14ac:dyDescent="0.3">
      <c r="A13" s="2" t="s">
        <v>141</v>
      </c>
      <c r="B13" s="2" t="s">
        <v>140</v>
      </c>
      <c r="C13" s="2" t="s">
        <v>124</v>
      </c>
      <c r="D13" s="2">
        <v>7</v>
      </c>
      <c r="E13" s="3">
        <v>3500000</v>
      </c>
      <c r="F13" s="3">
        <v>1350000</v>
      </c>
      <c r="G13" s="3">
        <v>1020000</v>
      </c>
      <c r="H13" s="3">
        <v>3830000</v>
      </c>
    </row>
    <row r="14" spans="1:8" x14ac:dyDescent="0.3">
      <c r="A14" s="2" t="s">
        <v>142</v>
      </c>
      <c r="B14" s="2" t="s">
        <v>140</v>
      </c>
      <c r="C14" s="2" t="s">
        <v>127</v>
      </c>
      <c r="D14" s="2">
        <v>4</v>
      </c>
      <c r="E14" s="3">
        <v>3200000</v>
      </c>
      <c r="F14" s="3">
        <v>900000</v>
      </c>
      <c r="G14" s="3">
        <v>930000</v>
      </c>
      <c r="H14" s="3">
        <v>3170000</v>
      </c>
    </row>
    <row r="15" spans="1:8" x14ac:dyDescent="0.3">
      <c r="A15" s="2" t="s">
        <v>143</v>
      </c>
      <c r="B15" s="2" t="s">
        <v>140</v>
      </c>
      <c r="C15" s="2" t="s">
        <v>138</v>
      </c>
      <c r="D15" s="2">
        <v>2</v>
      </c>
      <c r="E15" s="3">
        <v>2600000</v>
      </c>
      <c r="F15" s="3">
        <v>810000</v>
      </c>
      <c r="G15" s="3">
        <v>600000</v>
      </c>
      <c r="H15" s="3">
        <v>2810000</v>
      </c>
    </row>
    <row r="20" spans="1:4" x14ac:dyDescent="0.3">
      <c r="A20" s="18" t="s">
        <v>182</v>
      </c>
      <c r="B20" s="18" t="s">
        <v>179</v>
      </c>
    </row>
    <row r="21" spans="1:4" x14ac:dyDescent="0.3">
      <c r="A21" s="18" t="s">
        <v>173</v>
      </c>
      <c r="B21" t="s">
        <v>180</v>
      </c>
      <c r="C21" t="s">
        <v>181</v>
      </c>
      <c r="D21" t="s">
        <v>178</v>
      </c>
    </row>
    <row r="22" spans="1:4" x14ac:dyDescent="0.3">
      <c r="A22" s="19" t="s">
        <v>174</v>
      </c>
      <c r="B22" s="20">
        <v>3300000</v>
      </c>
      <c r="C22" s="20">
        <v>3100000</v>
      </c>
      <c r="D22" s="20">
        <v>3200000</v>
      </c>
    </row>
    <row r="23" spans="1:4" x14ac:dyDescent="0.3">
      <c r="A23" s="19" t="s">
        <v>175</v>
      </c>
      <c r="B23" s="20">
        <v>2800000</v>
      </c>
      <c r="C23" s="20">
        <v>2670000</v>
      </c>
      <c r="D23" s="20">
        <v>2735000</v>
      </c>
    </row>
    <row r="24" spans="1:4" x14ac:dyDescent="0.3">
      <c r="A24" s="19" t="s">
        <v>176</v>
      </c>
      <c r="B24" s="20">
        <v>4300000</v>
      </c>
      <c r="C24" s="20">
        <v>4000000</v>
      </c>
      <c r="D24" s="20">
        <v>4150000</v>
      </c>
    </row>
    <row r="25" spans="1:4" x14ac:dyDescent="0.3">
      <c r="A25" s="19" t="s">
        <v>177</v>
      </c>
      <c r="B25" s="20">
        <v>4900000</v>
      </c>
      <c r="C25" s="20">
        <v>4400000</v>
      </c>
      <c r="D25" s="20">
        <v>4650000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"/>
  <sheetViews>
    <sheetView workbookViewId="0">
      <selection sqref="A1:B1"/>
    </sheetView>
  </sheetViews>
  <sheetFormatPr defaultRowHeight="16.5" x14ac:dyDescent="0.3"/>
  <cols>
    <col min="1" max="1" width="12.375" bestFit="1" customWidth="1"/>
    <col min="2" max="2" width="13.25" bestFit="1" customWidth="1"/>
    <col min="5" max="5" width="12.125" bestFit="1" customWidth="1"/>
  </cols>
  <sheetData>
    <row r="1" spans="1:5" ht="20.25" x14ac:dyDescent="0.3">
      <c r="A1" s="39" t="s">
        <v>85</v>
      </c>
      <c r="B1" s="39"/>
    </row>
    <row r="2" spans="1:5" x14ac:dyDescent="0.3">
      <c r="A2" s="7" t="s">
        <v>144</v>
      </c>
      <c r="B2" s="8">
        <v>40000000</v>
      </c>
      <c r="D2" s="1"/>
      <c r="E2" s="2" t="s">
        <v>183</v>
      </c>
    </row>
    <row r="3" spans="1:5" x14ac:dyDescent="0.3">
      <c r="A3" s="7" t="s">
        <v>145</v>
      </c>
      <c r="B3" s="8">
        <f>PMT(B4/12,B5*12,,-B2)</f>
        <v>804317.87643979234</v>
      </c>
      <c r="D3" s="2" t="s">
        <v>86</v>
      </c>
      <c r="E3" s="21">
        <f>B3</f>
        <v>804317.87643979234</v>
      </c>
    </row>
    <row r="4" spans="1:5" x14ac:dyDescent="0.3">
      <c r="A4" s="7" t="s">
        <v>146</v>
      </c>
      <c r="B4" s="12">
        <v>1.7999999999999999E-2</v>
      </c>
      <c r="D4" s="11">
        <v>1</v>
      </c>
      <c r="E4" s="8">
        <f t="dataTable" ref="E4:E10" dt2D="0" dtr="0" r1="B5"/>
        <v>3305922.6408841587</v>
      </c>
    </row>
    <row r="5" spans="1:5" x14ac:dyDescent="0.3">
      <c r="A5" s="7" t="s">
        <v>147</v>
      </c>
      <c r="B5" s="10">
        <v>4</v>
      </c>
      <c r="D5" s="11">
        <v>2</v>
      </c>
      <c r="E5" s="8">
        <v>1638096.2156565201</v>
      </c>
    </row>
    <row r="6" spans="1:5" x14ac:dyDescent="0.3">
      <c r="D6" s="11">
        <v>3</v>
      </c>
      <c r="E6" s="8">
        <v>1082214.0208778658</v>
      </c>
    </row>
    <row r="7" spans="1:5" x14ac:dyDescent="0.3">
      <c r="D7" s="11">
        <v>4</v>
      </c>
      <c r="E7" s="8">
        <v>804317.87643979234</v>
      </c>
    </row>
    <row r="8" spans="1:5" x14ac:dyDescent="0.3">
      <c r="D8" s="11">
        <v>5</v>
      </c>
      <c r="E8" s="8">
        <v>637616.14399556699</v>
      </c>
    </row>
    <row r="9" spans="1:5" x14ac:dyDescent="0.3">
      <c r="D9" s="11">
        <v>6</v>
      </c>
      <c r="E9" s="8">
        <v>526511.60882697057</v>
      </c>
    </row>
    <row r="10" spans="1:5" x14ac:dyDescent="0.3">
      <c r="D10" s="11">
        <v>7.0000000000000009</v>
      </c>
      <c r="E10" s="8">
        <v>447176.89153994102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0"/>
  <sheetViews>
    <sheetView workbookViewId="0">
      <selection sqref="A1:F1"/>
    </sheetView>
  </sheetViews>
  <sheetFormatPr defaultRowHeight="16.5" x14ac:dyDescent="0.3"/>
  <cols>
    <col min="1" max="1" width="12.375" bestFit="1" customWidth="1"/>
  </cols>
  <sheetData>
    <row r="1" spans="1:6" ht="20.25" x14ac:dyDescent="0.3">
      <c r="A1" s="39" t="s">
        <v>148</v>
      </c>
      <c r="B1" s="39"/>
      <c r="C1" s="39"/>
      <c r="D1" s="39"/>
      <c r="E1" s="39"/>
      <c r="F1" s="39"/>
    </row>
    <row r="2" spans="1:6" x14ac:dyDescent="0.3">
      <c r="F2" t="s">
        <v>149</v>
      </c>
    </row>
    <row r="3" spans="1:6" x14ac:dyDescent="0.3">
      <c r="A3" s="26" t="s">
        <v>150</v>
      </c>
      <c r="B3" s="26" t="s">
        <v>151</v>
      </c>
      <c r="C3" s="26" t="s">
        <v>152</v>
      </c>
      <c r="D3" s="26" t="s">
        <v>153</v>
      </c>
      <c r="E3" s="26" t="s">
        <v>154</v>
      </c>
      <c r="F3" s="26" t="s">
        <v>200</v>
      </c>
    </row>
    <row r="4" spans="1:6" x14ac:dyDescent="0.3">
      <c r="A4" s="2" t="s">
        <v>155</v>
      </c>
      <c r="B4" s="2">
        <v>21.2</v>
      </c>
      <c r="C4" s="2">
        <v>20.3</v>
      </c>
      <c r="D4" s="2">
        <v>23.4</v>
      </c>
      <c r="E4" s="2">
        <v>22.7</v>
      </c>
      <c r="F4" s="13">
        <f>AVERAGE(B4:E4)</f>
        <v>21.900000000000002</v>
      </c>
    </row>
    <row r="5" spans="1:6" x14ac:dyDescent="0.3">
      <c r="A5" s="2" t="s">
        <v>156</v>
      </c>
      <c r="B5" s="2">
        <v>8.9</v>
      </c>
      <c r="C5" s="2">
        <v>8.6999999999999993</v>
      </c>
      <c r="D5" s="2">
        <v>8.4</v>
      </c>
      <c r="E5" s="2">
        <v>8.1</v>
      </c>
      <c r="F5" s="13">
        <f t="shared" ref="F5:F10" si="0">AVERAGE(B5:E5)</f>
        <v>8.5250000000000004</v>
      </c>
    </row>
    <row r="6" spans="1:6" x14ac:dyDescent="0.3">
      <c r="A6" s="2" t="s">
        <v>157</v>
      </c>
      <c r="B6" s="2">
        <v>20.100000000000001</v>
      </c>
      <c r="C6" s="2">
        <v>20.6</v>
      </c>
      <c r="D6" s="2">
        <v>21.7</v>
      </c>
      <c r="E6" s="2">
        <v>22.2</v>
      </c>
      <c r="F6" s="13">
        <f t="shared" si="0"/>
        <v>21.150000000000002</v>
      </c>
    </row>
    <row r="7" spans="1:6" x14ac:dyDescent="0.3">
      <c r="A7" s="2" t="s">
        <v>158</v>
      </c>
      <c r="B7" s="2">
        <v>6.2</v>
      </c>
      <c r="C7" s="2">
        <v>6.7</v>
      </c>
      <c r="D7" s="2">
        <v>7.3</v>
      </c>
      <c r="E7" s="2">
        <v>7.7</v>
      </c>
      <c r="F7" s="13">
        <f t="shared" si="0"/>
        <v>6.9749999999999996</v>
      </c>
    </row>
    <row r="8" spans="1:6" x14ac:dyDescent="0.3">
      <c r="A8" s="2" t="s">
        <v>159</v>
      </c>
      <c r="B8" s="2">
        <v>19.100000000000001</v>
      </c>
      <c r="C8" s="2">
        <v>18.899999999999999</v>
      </c>
      <c r="D8" s="2">
        <v>17.2</v>
      </c>
      <c r="E8" s="2">
        <v>18.2</v>
      </c>
      <c r="F8" s="13">
        <f t="shared" si="0"/>
        <v>18.350000000000001</v>
      </c>
    </row>
    <row r="9" spans="1:6" x14ac:dyDescent="0.3">
      <c r="A9" s="2" t="s">
        <v>160</v>
      </c>
      <c r="B9" s="2">
        <v>16.100000000000001</v>
      </c>
      <c r="C9" s="2">
        <v>15.9</v>
      </c>
      <c r="D9" s="2">
        <v>16.600000000000001</v>
      </c>
      <c r="E9" s="2">
        <v>16.3</v>
      </c>
      <c r="F9" s="13">
        <f t="shared" si="0"/>
        <v>16.225000000000001</v>
      </c>
    </row>
    <row r="10" spans="1:6" x14ac:dyDescent="0.3">
      <c r="A10" s="2" t="s">
        <v>161</v>
      </c>
      <c r="B10" s="2">
        <v>6.5</v>
      </c>
      <c r="C10" s="2">
        <v>5.8</v>
      </c>
      <c r="D10" s="2">
        <v>5.0999999999999996</v>
      </c>
      <c r="E10" s="2">
        <v>4.5</v>
      </c>
      <c r="F10" s="13">
        <f t="shared" si="0"/>
        <v>5.4749999999999996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평균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workbookViewId="0">
      <selection sqref="A1:E1"/>
    </sheetView>
  </sheetViews>
  <sheetFormatPr defaultRowHeight="16.5" x14ac:dyDescent="0.3"/>
  <cols>
    <col min="1" max="1" width="10.5" bestFit="1" customWidth="1"/>
    <col min="4" max="4" width="10.625" bestFit="1" customWidth="1"/>
    <col min="5" max="5" width="10.5" bestFit="1" customWidth="1"/>
  </cols>
  <sheetData>
    <row r="1" spans="1:5" ht="20.25" x14ac:dyDescent="0.3">
      <c r="A1" s="39" t="s">
        <v>162</v>
      </c>
      <c r="B1" s="39"/>
      <c r="C1" s="39"/>
      <c r="D1" s="39"/>
      <c r="E1" s="39"/>
    </row>
    <row r="3" spans="1:5" x14ac:dyDescent="0.3">
      <c r="A3" s="2" t="s">
        <v>163</v>
      </c>
      <c r="B3" s="2" t="s">
        <v>164</v>
      </c>
      <c r="C3" s="2" t="s">
        <v>165</v>
      </c>
      <c r="D3" s="2" t="s">
        <v>166</v>
      </c>
      <c r="E3" s="2" t="s">
        <v>167</v>
      </c>
    </row>
    <row r="4" spans="1:5" x14ac:dyDescent="0.3">
      <c r="A4" s="2" t="s">
        <v>168</v>
      </c>
      <c r="B4" s="3">
        <v>1050</v>
      </c>
      <c r="C4" s="3">
        <v>995</v>
      </c>
      <c r="D4" s="3">
        <v>1190000</v>
      </c>
      <c r="E4" s="9">
        <f>C4/B4</f>
        <v>0.94761904761904758</v>
      </c>
    </row>
    <row r="5" spans="1:5" x14ac:dyDescent="0.3">
      <c r="A5" s="2" t="s">
        <v>169</v>
      </c>
      <c r="B5" s="3">
        <v>1150</v>
      </c>
      <c r="C5" s="3">
        <v>1209</v>
      </c>
      <c r="D5" s="3">
        <v>1050000</v>
      </c>
      <c r="E5" s="9">
        <f t="shared" ref="E5:E8" si="0">C5/B5</f>
        <v>1.0513043478260871</v>
      </c>
    </row>
    <row r="6" spans="1:5" x14ac:dyDescent="0.3">
      <c r="A6" s="2" t="s">
        <v>87</v>
      </c>
      <c r="B6" s="3">
        <v>1250</v>
      </c>
      <c r="C6" s="3">
        <v>1342</v>
      </c>
      <c r="D6" s="3">
        <v>1250000</v>
      </c>
      <c r="E6" s="9">
        <f t="shared" si="0"/>
        <v>1.0736000000000001</v>
      </c>
    </row>
    <row r="7" spans="1:5" x14ac:dyDescent="0.3">
      <c r="A7" s="2" t="s">
        <v>170</v>
      </c>
      <c r="B7" s="3">
        <v>950</v>
      </c>
      <c r="C7" s="3">
        <v>982</v>
      </c>
      <c r="D7" s="3">
        <v>880000</v>
      </c>
      <c r="E7" s="9">
        <f t="shared" si="0"/>
        <v>1.0336842105263158</v>
      </c>
    </row>
    <row r="8" spans="1:5" x14ac:dyDescent="0.3">
      <c r="A8" s="2" t="s">
        <v>171</v>
      </c>
      <c r="B8" s="3">
        <v>1100</v>
      </c>
      <c r="C8" s="3">
        <v>1320</v>
      </c>
      <c r="D8" s="3">
        <v>950000</v>
      </c>
      <c r="E8" s="9">
        <f t="shared" si="0"/>
        <v>1.2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직원명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2024-07-04T11:42:18Z</dcterms:modified>
</cp:coreProperties>
</file>