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B3BE182D-B466-4657-8FC3-1AB37865323E}" xr6:coauthVersionLast="47" xr6:coauthVersionMax="47" xr10:uidLastSave="{00000000-0000-0000-0000-000000000000}"/>
  <bookViews>
    <workbookView xWindow="345" yWindow="960" windowWidth="18765" windowHeight="1452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10" r:id="rId4"/>
    <sheet name="분석작업-1" sheetId="9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B5" i="6"/>
  <c r="B7" i="6" l="1"/>
  <c r="B10" i="6" s="1"/>
  <c r="C7" i="8"/>
  <c r="C4" i="8"/>
</calcChain>
</file>

<file path=xl/sharedStrings.xml><?xml version="1.0" encoding="utf-8"?>
<sst xmlns="http://schemas.openxmlformats.org/spreadsheetml/2006/main" count="340" uniqueCount="272">
  <si>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</si>
  <si>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</si>
  <si>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</si>
  <si>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</si>
  <si>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</si>
  <si>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</si>
  <si>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</si>
  <si>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</si>
  <si>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ID번호</t>
  </si>
  <si>
    <t>성명</t>
  </si>
  <si>
    <t>교육차수</t>
  </si>
  <si>
    <t>인공지능</t>
  </si>
  <si>
    <t>빅데이터분석</t>
  </si>
  <si>
    <t>로봇공학</t>
  </si>
  <si>
    <t>사물인터넷</t>
  </si>
  <si>
    <t>3D프린팅</t>
  </si>
  <si>
    <t>A0145</t>
  </si>
  <si>
    <t>김서연</t>
  </si>
  <si>
    <t>B0256</t>
  </si>
  <si>
    <t>정정희</t>
  </si>
  <si>
    <t>D0489</t>
  </si>
  <si>
    <t>강주미</t>
  </si>
  <si>
    <t>A0134</t>
  </si>
  <si>
    <t>고인철</t>
  </si>
  <si>
    <t>C0317</t>
  </si>
  <si>
    <t>최우빈</t>
  </si>
  <si>
    <t>C0364</t>
  </si>
  <si>
    <t>박사랑</t>
  </si>
  <si>
    <t>E0535</t>
  </si>
  <si>
    <t>지연우</t>
  </si>
  <si>
    <t>A0154</t>
  </si>
  <si>
    <t>소희진</t>
  </si>
  <si>
    <t>C0374</t>
  </si>
  <si>
    <t>조병헌</t>
  </si>
  <si>
    <t>D0428</t>
  </si>
  <si>
    <t>윤병동</t>
  </si>
  <si>
    <t>A0164</t>
  </si>
  <si>
    <t>변순용</t>
  </si>
  <si>
    <t>E0568</t>
  </si>
  <si>
    <t>이지혜</t>
  </si>
  <si>
    <t>B0288</t>
  </si>
  <si>
    <t>권영수</t>
  </si>
  <si>
    <t>A0141</t>
  </si>
  <si>
    <t>허재두</t>
  </si>
  <si>
    <t>C0321</t>
  </si>
  <si>
    <t>류미영</t>
  </si>
  <si>
    <t>B0219</t>
  </si>
  <si>
    <t>최헌준</t>
  </si>
  <si>
    <t>D0439</t>
  </si>
  <si>
    <t>송영미</t>
  </si>
  <si>
    <t>판매수량</t>
    <phoneticPr fontId="1" type="noConversion"/>
  </si>
  <si>
    <t>매출액</t>
    <phoneticPr fontId="1" type="noConversion"/>
  </si>
  <si>
    <t>판매수익</t>
    <phoneticPr fontId="1" type="noConversion"/>
  </si>
  <si>
    <t>상공 고객관리 현황</t>
    <phoneticPr fontId="1" type="noConversion"/>
  </si>
  <si>
    <t>응시번호</t>
    <phoneticPr fontId="1" type="noConversion"/>
  </si>
  <si>
    <t>합계</t>
    <phoneticPr fontId="1" type="noConversion"/>
  </si>
  <si>
    <t>이름</t>
    <phoneticPr fontId="1" type="noConversion"/>
  </si>
  <si>
    <t>강민주</t>
    <phoneticPr fontId="1" type="noConversion"/>
  </si>
  <si>
    <t>김봉수</t>
    <phoneticPr fontId="1" type="noConversion"/>
  </si>
  <si>
    <t>류대수</t>
    <phoneticPr fontId="1" type="noConversion"/>
  </si>
  <si>
    <t>박승태</t>
    <phoneticPr fontId="1" type="noConversion"/>
  </si>
  <si>
    <t>박송이</t>
    <phoneticPr fontId="1" type="noConversion"/>
  </si>
  <si>
    <t>이상현</t>
    <phoneticPr fontId="1" type="noConversion"/>
  </si>
  <si>
    <t>하나윤</t>
    <phoneticPr fontId="1" type="noConversion"/>
  </si>
  <si>
    <t>민호성</t>
    <phoneticPr fontId="1" type="noConversion"/>
  </si>
  <si>
    <t>김윤하</t>
    <phoneticPr fontId="1" type="noConversion"/>
  </si>
  <si>
    <t>김재연</t>
    <phoneticPr fontId="1" type="noConversion"/>
  </si>
  <si>
    <t>박성진</t>
    <phoneticPr fontId="1" type="noConversion"/>
  </si>
  <si>
    <t>이도원</t>
    <phoneticPr fontId="1" type="noConversion"/>
  </si>
  <si>
    <t>면접</t>
    <phoneticPr fontId="1" type="noConversion"/>
  </si>
  <si>
    <t>신입사원 채용 평가 점수</t>
    <phoneticPr fontId="1" type="noConversion"/>
  </si>
  <si>
    <t>필기</t>
    <phoneticPr fontId="1" type="noConversion"/>
  </si>
  <si>
    <t>서류전형</t>
    <phoneticPr fontId="1" type="noConversion"/>
  </si>
  <si>
    <t>실무전형</t>
    <phoneticPr fontId="1" type="noConversion"/>
  </si>
  <si>
    <t>제품명</t>
  </si>
  <si>
    <t>판매수량</t>
  </si>
  <si>
    <t>판매금액</t>
  </si>
  <si>
    <t>제품코드</t>
    <phoneticPr fontId="1" type="noConversion"/>
  </si>
  <si>
    <t>구분</t>
    <phoneticPr fontId="1" type="noConversion"/>
  </si>
  <si>
    <t>제품명</t>
    <phoneticPr fontId="1" type="noConversion"/>
  </si>
  <si>
    <t>내용량</t>
    <phoneticPr fontId="1" type="noConversion"/>
  </si>
  <si>
    <t>가격</t>
    <phoneticPr fontId="1" type="noConversion"/>
  </si>
  <si>
    <t>판매수량</t>
    <phoneticPr fontId="1" type="noConversion"/>
  </si>
  <si>
    <t>기초영양</t>
    <phoneticPr fontId="1" type="noConversion"/>
  </si>
  <si>
    <t>데일리츄어블</t>
    <phoneticPr fontId="1" type="noConversion"/>
  </si>
  <si>
    <t>푸로틴</t>
    <phoneticPr fontId="1" type="noConversion"/>
  </si>
  <si>
    <t>아세로라 C</t>
    <phoneticPr fontId="1" type="noConversion"/>
  </si>
  <si>
    <t>100정</t>
    <phoneticPr fontId="1" type="noConversion"/>
  </si>
  <si>
    <t>밸런스 위드인</t>
    <phoneticPr fontId="1" type="noConversion"/>
  </si>
  <si>
    <t>30포</t>
    <phoneticPr fontId="1" type="noConversion"/>
  </si>
  <si>
    <t>120정</t>
    <phoneticPr fontId="1" type="noConversion"/>
  </si>
  <si>
    <t>1일 2회, 1회 2정</t>
    <phoneticPr fontId="1" type="noConversion"/>
  </si>
  <si>
    <t>1일 2회, 1회 300cc</t>
    <phoneticPr fontId="1" type="noConversion"/>
  </si>
  <si>
    <t>450g</t>
    <phoneticPr fontId="1" type="noConversion"/>
  </si>
  <si>
    <t>1일 3회, 1회 1정</t>
    <phoneticPr fontId="1" type="noConversion"/>
  </si>
  <si>
    <t>1일 1회, 1회 1포</t>
    <phoneticPr fontId="1" type="noConversion"/>
  </si>
  <si>
    <t>기능성</t>
    <phoneticPr fontId="1" type="noConversion"/>
  </si>
  <si>
    <t>오메가 3</t>
    <phoneticPr fontId="1" type="noConversion"/>
  </si>
  <si>
    <t>루바블렌드</t>
    <phoneticPr fontId="1" type="noConversion"/>
  </si>
  <si>
    <t>30정</t>
    <phoneticPr fontId="1" type="noConversion"/>
  </si>
  <si>
    <t>1일 1회, 1회 1정</t>
    <phoneticPr fontId="1" type="noConversion"/>
  </si>
  <si>
    <t>쏘팔메토 블렌드</t>
    <phoneticPr fontId="1" type="noConversion"/>
  </si>
  <si>
    <t>90캡슐</t>
    <phoneticPr fontId="1" type="noConversion"/>
  </si>
  <si>
    <t>1일 3회, 1회 1캡슐</t>
    <phoneticPr fontId="1" type="noConversion"/>
  </si>
  <si>
    <t>코큐텐</t>
    <phoneticPr fontId="1" type="noConversion"/>
  </si>
  <si>
    <t>90캡슐</t>
    <phoneticPr fontId="1" type="noConversion"/>
  </si>
  <si>
    <t>1일 3회, 1회 1캡슐</t>
    <phoneticPr fontId="1" type="noConversion"/>
  </si>
  <si>
    <t>90캡슐</t>
    <phoneticPr fontId="1" type="noConversion"/>
  </si>
  <si>
    <t>1일 2회, 1회 2캡슐</t>
    <phoneticPr fontId="1" type="noConversion"/>
  </si>
  <si>
    <t>A4298K</t>
    <phoneticPr fontId="1" type="noConversion"/>
  </si>
  <si>
    <t>299632K</t>
    <phoneticPr fontId="1" type="noConversion"/>
  </si>
  <si>
    <t>106093K</t>
    <phoneticPr fontId="1" type="noConversion"/>
  </si>
  <si>
    <t>105684K</t>
    <phoneticPr fontId="1" type="noConversion"/>
  </si>
  <si>
    <t>B2654C</t>
    <phoneticPr fontId="1" type="noConversion"/>
  </si>
  <si>
    <t>D85962C</t>
    <phoneticPr fontId="1" type="noConversion"/>
  </si>
  <si>
    <t>E1586C</t>
    <phoneticPr fontId="1" type="noConversion"/>
  </si>
  <si>
    <t>H2586C</t>
    <phoneticPr fontId="1" type="noConversion"/>
  </si>
  <si>
    <t>이스티 비</t>
    <phoneticPr fontId="1" type="noConversion"/>
  </si>
  <si>
    <t>85정</t>
    <phoneticPr fontId="1" type="noConversion"/>
  </si>
  <si>
    <t>A4450K</t>
    <phoneticPr fontId="1" type="noConversion"/>
  </si>
  <si>
    <t>1일 3회, 1회 1정</t>
    <phoneticPr fontId="1" type="noConversion"/>
  </si>
  <si>
    <t>F옥타코사놀</t>
    <phoneticPr fontId="1" type="noConversion"/>
  </si>
  <si>
    <t>60캡슐</t>
    <phoneticPr fontId="1" type="noConversion"/>
  </si>
  <si>
    <t>1일 2회, 1회 1캡슐</t>
    <phoneticPr fontId="1" type="noConversion"/>
  </si>
  <si>
    <t>101800K</t>
    <phoneticPr fontId="1" type="noConversion"/>
  </si>
  <si>
    <t>건강보조식품 판매 현황</t>
    <phoneticPr fontId="1" type="noConversion"/>
  </si>
  <si>
    <t>과목별 성적 처리</t>
    <phoneticPr fontId="1" type="noConversion"/>
  </si>
  <si>
    <t>[표1] 4월 판매내역</t>
    <phoneticPr fontId="1" type="noConversion"/>
  </si>
  <si>
    <t>[표2] 5월 판매내역</t>
    <phoneticPr fontId="1" type="noConversion"/>
  </si>
  <si>
    <t>브랜드명</t>
    <phoneticPr fontId="1" type="noConversion"/>
  </si>
  <si>
    <t>나이키</t>
    <phoneticPr fontId="1" type="noConversion"/>
  </si>
  <si>
    <t>테니스화</t>
    <phoneticPr fontId="1" type="noConversion"/>
  </si>
  <si>
    <t>아식스</t>
    <phoneticPr fontId="1" type="noConversion"/>
  </si>
  <si>
    <t>윌슨</t>
    <phoneticPr fontId="1" type="noConversion"/>
  </si>
  <si>
    <t>테니스라켓</t>
    <phoneticPr fontId="1" type="noConversion"/>
  </si>
  <si>
    <t>헤드</t>
    <phoneticPr fontId="1" type="noConversion"/>
  </si>
  <si>
    <t>테니스공(36캔)</t>
    <phoneticPr fontId="1" type="noConversion"/>
  </si>
  <si>
    <t>스타</t>
    <phoneticPr fontId="1" type="noConversion"/>
  </si>
  <si>
    <t>테니스공(12캔)</t>
    <phoneticPr fontId="1" type="noConversion"/>
  </si>
  <si>
    <t>휠라</t>
    <phoneticPr fontId="1" type="noConversion"/>
  </si>
  <si>
    <t>테니스 가방</t>
    <phoneticPr fontId="1" type="noConversion"/>
  </si>
  <si>
    <t>그립</t>
    <phoneticPr fontId="1" type="noConversion"/>
  </si>
  <si>
    <t>[표3] 6월 판매내역</t>
    <phoneticPr fontId="1" type="noConversion"/>
  </si>
  <si>
    <t>아디다스</t>
    <phoneticPr fontId="1" type="noConversion"/>
  </si>
  <si>
    <t>프린스</t>
    <phoneticPr fontId="1" type="noConversion"/>
  </si>
  <si>
    <t>테니스 스커트</t>
    <phoneticPr fontId="1" type="noConversion"/>
  </si>
  <si>
    <t>카페 10월 판매수익</t>
    <phoneticPr fontId="1" type="noConversion"/>
  </si>
  <si>
    <t>판매단가와 판매수량 변동에 따른 판매수익 계산</t>
    <phoneticPr fontId="1" type="noConversion"/>
  </si>
  <si>
    <t>판매단가</t>
    <phoneticPr fontId="1" type="noConversion"/>
  </si>
  <si>
    <t>판매단가</t>
    <phoneticPr fontId="1" type="noConversion"/>
  </si>
  <si>
    <t>판매원가</t>
    <phoneticPr fontId="1" type="noConversion"/>
  </si>
  <si>
    <t>세금</t>
    <phoneticPr fontId="4" type="noConversion"/>
  </si>
  <si>
    <t>인건비</t>
    <phoneticPr fontId="1" type="noConversion"/>
  </si>
  <si>
    <t>임대료</t>
    <phoneticPr fontId="1" type="noConversion"/>
  </si>
  <si>
    <t>가전제품 판매현황</t>
    <phoneticPr fontId="1" type="noConversion"/>
  </si>
  <si>
    <t>[표1]</t>
    <phoneticPr fontId="1" type="noConversion"/>
  </si>
  <si>
    <t>연말 인센티브 현황</t>
    <phoneticPr fontId="1" type="noConversion"/>
  </si>
  <si>
    <t>[표2]</t>
    <phoneticPr fontId="1" type="noConversion"/>
  </si>
  <si>
    <t>지원서 접수현황</t>
    <phoneticPr fontId="1" type="noConversion"/>
  </si>
  <si>
    <t>성명</t>
    <phoneticPr fontId="1" type="noConversion"/>
  </si>
  <si>
    <t>성별</t>
    <phoneticPr fontId="1" type="noConversion"/>
  </si>
  <si>
    <t>직책</t>
    <phoneticPr fontId="1" type="noConversion"/>
  </si>
  <si>
    <t>성과등급</t>
    <phoneticPr fontId="1" type="noConversion"/>
  </si>
  <si>
    <t>인센티브</t>
    <phoneticPr fontId="1" type="noConversion"/>
  </si>
  <si>
    <t>접수일자</t>
    <phoneticPr fontId="1" type="noConversion"/>
  </si>
  <si>
    <t>지역</t>
    <phoneticPr fontId="1" type="noConversion"/>
  </si>
  <si>
    <t>졸업학교</t>
    <phoneticPr fontId="1" type="noConversion"/>
  </si>
  <si>
    <t>수험생명</t>
    <phoneticPr fontId="1" type="noConversion"/>
  </si>
  <si>
    <t>비고</t>
    <phoneticPr fontId="1" type="noConversion"/>
  </si>
  <si>
    <t>최은영</t>
    <phoneticPr fontId="9" type="noConversion"/>
  </si>
  <si>
    <t>여</t>
    <phoneticPr fontId="1" type="noConversion"/>
  </si>
  <si>
    <t>점장</t>
    <phoneticPr fontId="1" type="noConversion"/>
  </si>
  <si>
    <t>S</t>
    <phoneticPr fontId="1" type="noConversion"/>
  </si>
  <si>
    <t>제주</t>
    <phoneticPr fontId="1" type="noConversion"/>
  </si>
  <si>
    <t>미성고</t>
    <phoneticPr fontId="1" type="noConversion"/>
  </si>
  <si>
    <t>임지훈</t>
    <phoneticPr fontId="9" type="noConversion"/>
  </si>
  <si>
    <t>김성철</t>
    <phoneticPr fontId="9" type="noConversion"/>
  </si>
  <si>
    <t>남</t>
    <phoneticPr fontId="1" type="noConversion"/>
  </si>
  <si>
    <t>매니저</t>
    <phoneticPr fontId="1" type="noConversion"/>
  </si>
  <si>
    <t>A</t>
    <phoneticPr fontId="1" type="noConversion"/>
  </si>
  <si>
    <t>서울</t>
    <phoneticPr fontId="1" type="noConversion"/>
  </si>
  <si>
    <t>제일여고</t>
    <phoneticPr fontId="1" type="noConversion"/>
  </si>
  <si>
    <t>원영만</t>
    <phoneticPr fontId="9" type="noConversion"/>
  </si>
  <si>
    <t>김진혁</t>
    <phoneticPr fontId="9" type="noConversion"/>
  </si>
  <si>
    <t>남</t>
    <phoneticPr fontId="1" type="noConversion"/>
  </si>
  <si>
    <t>매니저</t>
    <phoneticPr fontId="1" type="noConversion"/>
  </si>
  <si>
    <t>창원</t>
    <phoneticPr fontId="1" type="noConversion"/>
  </si>
  <si>
    <t>상록고</t>
    <phoneticPr fontId="1" type="noConversion"/>
  </si>
  <si>
    <t>도지원</t>
    <phoneticPr fontId="9" type="noConversion"/>
  </si>
  <si>
    <t>이진아</t>
    <phoneticPr fontId="9" type="noConversion"/>
  </si>
  <si>
    <t>울산</t>
    <phoneticPr fontId="1" type="noConversion"/>
  </si>
  <si>
    <t>한성고</t>
    <phoneticPr fontId="1" type="noConversion"/>
  </si>
  <si>
    <t>감주영</t>
    <phoneticPr fontId="9" type="noConversion"/>
  </si>
  <si>
    <t>진성우</t>
    <phoneticPr fontId="9" type="noConversion"/>
  </si>
  <si>
    <t>B</t>
    <phoneticPr fontId="1" type="noConversion"/>
  </si>
  <si>
    <t>대구</t>
    <phoneticPr fontId="1" type="noConversion"/>
  </si>
  <si>
    <t>장홍고</t>
    <phoneticPr fontId="1" type="noConversion"/>
  </si>
  <si>
    <t>남정민</t>
    <phoneticPr fontId="9" type="noConversion"/>
  </si>
  <si>
    <t>이민우</t>
    <phoneticPr fontId="9" type="noConversion"/>
  </si>
  <si>
    <t>인천</t>
    <phoneticPr fontId="1" type="noConversion"/>
  </si>
  <si>
    <t>다산고</t>
    <phoneticPr fontId="1" type="noConversion"/>
  </si>
  <si>
    <t>임철수</t>
    <phoneticPr fontId="9" type="noConversion"/>
  </si>
  <si>
    <t>김철민</t>
    <phoneticPr fontId="9" type="noConversion"/>
  </si>
  <si>
    <t>B</t>
    <phoneticPr fontId="1" type="noConversion"/>
  </si>
  <si>
    <t>광주</t>
    <phoneticPr fontId="1" type="noConversion"/>
  </si>
  <si>
    <t>여산고</t>
    <phoneticPr fontId="1" type="noConversion"/>
  </si>
  <si>
    <t>오성환</t>
    <phoneticPr fontId="9" type="noConversion"/>
  </si>
  <si>
    <t>박사랑</t>
    <phoneticPr fontId="9" type="noConversion"/>
  </si>
  <si>
    <t>서울</t>
    <phoneticPr fontId="1" type="noConversion"/>
  </si>
  <si>
    <t>창덕고</t>
    <phoneticPr fontId="1" type="noConversion"/>
  </si>
  <si>
    <t>정철환</t>
    <phoneticPr fontId="9" type="noConversion"/>
  </si>
  <si>
    <t>김봉수</t>
    <phoneticPr fontId="9" type="noConversion"/>
  </si>
  <si>
    <t>최서은</t>
    <phoneticPr fontId="9" type="noConversion"/>
  </si>
  <si>
    <t>여</t>
    <phoneticPr fontId="1" type="noConversion"/>
  </si>
  <si>
    <t>직책이 매니저인 여직원 인센티브 평균</t>
    <phoneticPr fontId="1" type="noConversion"/>
  </si>
  <si>
    <t xml:space="preserve">[표3] </t>
    <phoneticPr fontId="1" type="noConversion"/>
  </si>
  <si>
    <t>면접시험 응시현황</t>
    <phoneticPr fontId="1" type="noConversion"/>
  </si>
  <si>
    <t>[표4]</t>
    <phoneticPr fontId="1" type="noConversion"/>
  </si>
  <si>
    <t>시즌전적</t>
    <phoneticPr fontId="1" type="noConversion"/>
  </si>
  <si>
    <t>지원번호</t>
    <phoneticPr fontId="1" type="noConversion"/>
  </si>
  <si>
    <t>성별</t>
  </si>
  <si>
    <t>응시여부</t>
    <phoneticPr fontId="1" type="noConversion"/>
  </si>
  <si>
    <t>면접결과</t>
    <phoneticPr fontId="1" type="noConversion"/>
  </si>
  <si>
    <t>결시율</t>
  </si>
  <si>
    <t>승리</t>
    <phoneticPr fontId="1" type="noConversion"/>
  </si>
  <si>
    <t>패배</t>
    <phoneticPr fontId="1" type="noConversion"/>
  </si>
  <si>
    <t>게이머명</t>
    <phoneticPr fontId="1" type="noConversion"/>
  </si>
  <si>
    <t>A21-101</t>
    <phoneticPr fontId="1" type="noConversion"/>
  </si>
  <si>
    <t>O</t>
  </si>
  <si>
    <t>마블맨</t>
    <phoneticPr fontId="1" type="noConversion"/>
  </si>
  <si>
    <t>A21-102</t>
  </si>
  <si>
    <t>퍼스트</t>
    <phoneticPr fontId="1" type="noConversion"/>
  </si>
  <si>
    <t>A21-103</t>
  </si>
  <si>
    <t>파워맨</t>
    <phoneticPr fontId="1" type="noConversion"/>
  </si>
  <si>
    <t>A21-104</t>
  </si>
  <si>
    <t>울트라</t>
    <phoneticPr fontId="1" type="noConversion"/>
  </si>
  <si>
    <t>A21-105</t>
  </si>
  <si>
    <t>핵펀치</t>
    <phoneticPr fontId="1" type="noConversion"/>
  </si>
  <si>
    <t>A21-106</t>
  </si>
  <si>
    <t>사냥꾼</t>
    <phoneticPr fontId="1" type="noConversion"/>
  </si>
  <si>
    <t>A21-107</t>
  </si>
  <si>
    <t>마법사</t>
    <phoneticPr fontId="1" type="noConversion"/>
  </si>
  <si>
    <t>승률이 가장 높은 게이머명</t>
    <phoneticPr fontId="1" type="noConversion"/>
  </si>
  <si>
    <t>A21-108</t>
  </si>
  <si>
    <t>스나이퍼</t>
    <phoneticPr fontId="1" type="noConversion"/>
  </si>
  <si>
    <t>A21-109</t>
  </si>
  <si>
    <t>A21-110</t>
  </si>
  <si>
    <t>[표5]</t>
    <phoneticPr fontId="1" type="noConversion"/>
  </si>
  <si>
    <t>성명</t>
    <phoneticPr fontId="1" type="noConversion"/>
  </si>
  <si>
    <t>주민등록번호</t>
    <phoneticPr fontId="1" type="noConversion"/>
  </si>
  <si>
    <t>성별</t>
    <phoneticPr fontId="1" type="noConversion"/>
  </si>
  <si>
    <t>생년월일</t>
    <phoneticPr fontId="1" type="noConversion"/>
  </si>
  <si>
    <t>최은영</t>
    <phoneticPr fontId="9" type="noConversion"/>
  </si>
  <si>
    <t>880808-2******</t>
    <phoneticPr fontId="1" type="noConversion"/>
  </si>
  <si>
    <t>920214-1******</t>
    <phoneticPr fontId="1" type="noConversion"/>
  </si>
  <si>
    <t>김진혁</t>
    <phoneticPr fontId="9" type="noConversion"/>
  </si>
  <si>
    <t>900513-1******</t>
    <phoneticPr fontId="1" type="noConversion"/>
  </si>
  <si>
    <t>이진아</t>
    <phoneticPr fontId="9" type="noConversion"/>
  </si>
  <si>
    <t>980624-2******</t>
    <phoneticPr fontId="1" type="noConversion"/>
  </si>
  <si>
    <t>880507-2******</t>
  </si>
  <si>
    <t>이민우</t>
    <phoneticPr fontId="9" type="noConversion"/>
  </si>
  <si>
    <t>780923-1******</t>
    <phoneticPr fontId="1" type="noConversion"/>
  </si>
  <si>
    <t>김철민</t>
    <phoneticPr fontId="9" type="noConversion"/>
  </si>
  <si>
    <t>010819-3******</t>
    <phoneticPr fontId="1" type="noConversion"/>
  </si>
  <si>
    <t>박사랑</t>
    <phoneticPr fontId="9" type="noConversion"/>
  </si>
  <si>
    <t>020901-4******</t>
    <phoneticPr fontId="1" type="noConversion"/>
  </si>
  <si>
    <t>김봉수</t>
    <phoneticPr fontId="9" type="noConversion"/>
  </si>
  <si>
    <t>850505-1******</t>
    <phoneticPr fontId="1" type="noConversion"/>
  </si>
  <si>
    <t>최서은</t>
    <phoneticPr fontId="9" type="noConversion"/>
  </si>
  <si>
    <t>990909-2******</t>
    <phoneticPr fontId="1" type="noConversion"/>
  </si>
  <si>
    <t>1일 총 섭취량</t>
    <phoneticPr fontId="1" type="noConversion"/>
  </si>
  <si>
    <t>[표4] 2분기 판매내역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</si>
</sst>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/>
    <xf numFmtId="0" fontId="0" fillId="0" borderId="0" xfId="0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41" fontId="6" fillId="0" borderId="0" xfId="3" applyFont="1" applyAlignment="1">
      <alignment vertical="center"/>
    </xf>
    <xf numFmtId="41" fontId="6" fillId="0" borderId="1" xfId="3" applyFont="1" applyBorder="1" applyAlignment="1">
      <alignment horizontal="center" vertical="center"/>
    </xf>
    <xf numFmtId="41" fontId="6" fillId="0" borderId="1" xfId="3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41" fontId="6" fillId="0" borderId="1" xfId="3" applyNumberFormat="1" applyFont="1" applyBorder="1" applyAlignment="1">
      <alignment vertical="center"/>
    </xf>
    <xf numFmtId="0" fontId="0" fillId="0" borderId="1" xfId="0" applyBorder="1">
      <alignment vertical="center"/>
    </xf>
    <xf numFmtId="0" fontId="8" fillId="0" borderId="0" xfId="4" applyFont="1" applyAlignment="1">
      <alignment vertical="center"/>
    </xf>
    <xf numFmtId="0" fontId="3" fillId="0" borderId="0" xfId="4" applyFont="1" applyAlignment="1">
      <alignment vertical="center"/>
    </xf>
    <xf numFmtId="0" fontId="8" fillId="0" borderId="0" xfId="0" applyFont="1">
      <alignment vertical="center"/>
    </xf>
    <xf numFmtId="0" fontId="8" fillId="0" borderId="0" xfId="5" applyFont="1">
      <alignment vertical="center"/>
    </xf>
    <xf numFmtId="0" fontId="3" fillId="0" borderId="0" xfId="5" applyFont="1">
      <alignment vertical="center"/>
    </xf>
    <xf numFmtId="0" fontId="8" fillId="0" borderId="1" xfId="4" applyNumberFormat="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6" applyNumberFormat="1" applyFont="1" applyBorder="1" applyAlignment="1">
      <alignment horizontal="center" vertical="center"/>
    </xf>
    <xf numFmtId="41" fontId="8" fillId="0" borderId="1" xfId="6" applyFont="1" applyBorder="1" applyAlignment="1">
      <alignment horizontal="center" vertical="center"/>
    </xf>
    <xf numFmtId="14" fontId="11" fillId="0" borderId="1" xfId="7" applyNumberFormat="1" applyFont="1" applyFill="1" applyBorder="1" applyAlignment="1">
      <alignment horizontal="center" vertical="center" shrinkToFit="1"/>
    </xf>
    <xf numFmtId="0" fontId="8" fillId="0" borderId="1" xfId="6" applyNumberFormat="1" applyFont="1" applyFill="1" applyBorder="1" applyAlignment="1">
      <alignment horizontal="center" vertical="center"/>
    </xf>
    <xf numFmtId="41" fontId="8" fillId="0" borderId="1" xfId="6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8" fillId="3" borderId="4" xfId="4" applyFont="1" applyFill="1" applyBorder="1" applyAlignment="1">
      <alignment horizontal="center" vertical="center"/>
    </xf>
    <xf numFmtId="0" fontId="8" fillId="3" borderId="5" xfId="4" applyFont="1" applyFill="1" applyBorder="1" applyAlignment="1">
      <alignment horizontal="center" vertical="center"/>
    </xf>
    <xf numFmtId="0" fontId="8" fillId="3" borderId="6" xfId="4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  <xf numFmtId="0" fontId="5" fillId="0" borderId="0" xfId="0" applyFont="1" applyAlignment="1">
      <alignment horizontal="center" vertical="center"/>
    </xf>
  </cellXfs>
  <cellStyles count="8">
    <cellStyle name="쉼표 [0]" xfId="1" builtinId="6"/>
    <cellStyle name="쉼표 [0] 2" xfId="3" xr:uid="{00000000-0005-0000-0000-000001000000}"/>
    <cellStyle name="쉼표 [0] 2 2" xfId="6" xr:uid="{00000000-0005-0000-0000-000002000000}"/>
    <cellStyle name="표준" xfId="0" builtinId="0"/>
    <cellStyle name="표준 2" xfId="2" xr:uid="{00000000-0005-0000-0000-000004000000}"/>
    <cellStyle name="표준 2 3" xfId="7" xr:uid="{00000000-0005-0000-0000-000005000000}"/>
    <cellStyle name="표준 3" xfId="4" xr:uid="{00000000-0005-0000-0000-000006000000}"/>
    <cellStyle name="표준 3 2" xfId="5" xr:uid="{00000000-0005-0000-0000-000007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3-4B5F-BA29-83567622744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할인금액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C3-4B5F-BA29-835676227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55989232"/>
        <c:axId val="855993808"/>
      </c:barChart>
      <c:catAx>
        <c:axId val="85598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93808"/>
        <c:crosses val="autoZero"/>
        <c:auto val="1"/>
        <c:lblAlgn val="ctr"/>
        <c:lblOffset val="100"/>
        <c:noMultiLvlLbl val="0"/>
      </c:catAx>
      <c:valAx>
        <c:axId val="8559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/>
  <cols>
    <col min="1" max="1" width="10.625" customWidth="1"/>
    <col min="3" max="4" width="13.625" bestFit="1" customWidth="1"/>
    <col min="5" max="6" width="13.875" bestFit="1" customWidth="1"/>
  </cols>
  <sheetData>
    <row r="1" spans="1:1">
      <c r="A1" t="s">
        <v>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/>
  </sheetViews>
  <sheetFormatPr defaultRowHeight="16.5"/>
  <cols>
    <col min="3" max="3" width="15" bestFit="1" customWidth="1"/>
    <col min="5" max="5" width="17.25" style="8" bestFit="1" customWidth="1"/>
  </cols>
  <sheetData>
    <row r="1" spans="1:7">
      <c r="A1" t="s">
        <v>125</v>
      </c>
    </row>
    <row r="3" spans="1:7">
      <c r="A3" t="s">
        <v>77</v>
      </c>
      <c r="B3" t="s">
        <v>78</v>
      </c>
      <c r="C3" t="s">
        <v>79</v>
      </c>
      <c r="D3" t="s">
        <v>80</v>
      </c>
      <c r="E3" s="8" t="s">
        <v>270</v>
      </c>
      <c r="F3" t="s">
        <v>81</v>
      </c>
      <c r="G3" t="s">
        <v>82</v>
      </c>
    </row>
    <row r="4" spans="1:7">
      <c r="A4" t="s">
        <v>114</v>
      </c>
      <c r="B4" t="s">
        <v>83</v>
      </c>
      <c r="C4" t="s">
        <v>84</v>
      </c>
      <c r="D4" t="s">
        <v>90</v>
      </c>
      <c r="E4" s="8" t="s">
        <v>91</v>
      </c>
      <c r="F4">
        <v>35000</v>
      </c>
      <c r="G4">
        <v>3510</v>
      </c>
    </row>
    <row r="5" spans="1:7">
      <c r="A5" t="s">
        <v>113</v>
      </c>
      <c r="C5" t="s">
        <v>85</v>
      </c>
      <c r="D5" t="s">
        <v>93</v>
      </c>
      <c r="E5" s="8" t="s">
        <v>92</v>
      </c>
      <c r="F5">
        <v>44000</v>
      </c>
      <c r="G5">
        <v>1570</v>
      </c>
    </row>
    <row r="6" spans="1:7">
      <c r="A6" t="s">
        <v>115</v>
      </c>
      <c r="C6" t="s">
        <v>86</v>
      </c>
      <c r="D6" t="s">
        <v>87</v>
      </c>
      <c r="E6" s="8" t="s">
        <v>94</v>
      </c>
      <c r="F6">
        <v>29000</v>
      </c>
      <c r="G6">
        <v>2154</v>
      </c>
    </row>
    <row r="7" spans="1:7">
      <c r="A7" t="s">
        <v>116</v>
      </c>
      <c r="C7" t="s">
        <v>88</v>
      </c>
      <c r="D7" t="s">
        <v>89</v>
      </c>
      <c r="E7" s="8" t="s">
        <v>95</v>
      </c>
      <c r="F7">
        <v>69000</v>
      </c>
      <c r="G7">
        <v>850</v>
      </c>
    </row>
    <row r="8" spans="1:7" s="8" customFormat="1">
      <c r="A8" s="8" t="s">
        <v>119</v>
      </c>
      <c r="C8" s="8" t="s">
        <v>117</v>
      </c>
      <c r="D8" s="8" t="s">
        <v>118</v>
      </c>
      <c r="E8" s="8" t="s">
        <v>120</v>
      </c>
      <c r="F8" s="8">
        <v>30000</v>
      </c>
      <c r="G8" s="8">
        <v>6241</v>
      </c>
    </row>
    <row r="9" spans="1:7">
      <c r="A9" t="s">
        <v>109</v>
      </c>
      <c r="B9" t="s">
        <v>96</v>
      </c>
      <c r="C9" t="s">
        <v>97</v>
      </c>
      <c r="D9" t="s">
        <v>107</v>
      </c>
      <c r="E9" s="8" t="s">
        <v>108</v>
      </c>
      <c r="F9">
        <v>37000</v>
      </c>
      <c r="G9">
        <v>8500</v>
      </c>
    </row>
    <row r="10" spans="1:7">
      <c r="A10" t="s">
        <v>110</v>
      </c>
      <c r="C10" t="s">
        <v>98</v>
      </c>
      <c r="D10" t="s">
        <v>99</v>
      </c>
      <c r="E10" s="8" t="s">
        <v>100</v>
      </c>
      <c r="F10">
        <v>45000</v>
      </c>
      <c r="G10">
        <v>1260</v>
      </c>
    </row>
    <row r="11" spans="1:7">
      <c r="A11" t="s">
        <v>111</v>
      </c>
      <c r="C11" t="s">
        <v>101</v>
      </c>
      <c r="D11" t="s">
        <v>102</v>
      </c>
      <c r="E11" s="8" t="s">
        <v>103</v>
      </c>
      <c r="F11">
        <v>42000</v>
      </c>
      <c r="G11">
        <v>3160</v>
      </c>
    </row>
    <row r="12" spans="1:7">
      <c r="A12" t="s">
        <v>112</v>
      </c>
      <c r="C12" t="s">
        <v>104</v>
      </c>
      <c r="D12" t="s">
        <v>105</v>
      </c>
      <c r="E12" s="8" t="s">
        <v>106</v>
      </c>
      <c r="F12">
        <v>45000</v>
      </c>
      <c r="G12">
        <v>2740</v>
      </c>
    </row>
    <row r="13" spans="1:7">
      <c r="A13" t="s">
        <v>124</v>
      </c>
      <c r="C13" t="s">
        <v>121</v>
      </c>
      <c r="D13" t="s">
        <v>122</v>
      </c>
      <c r="E13" s="8" t="s">
        <v>123</v>
      </c>
      <c r="F13">
        <v>43000</v>
      </c>
      <c r="G13">
        <v>4520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0"/>
  <sheetViews>
    <sheetView workbookViewId="0"/>
  </sheetViews>
  <sheetFormatPr defaultRowHeight="16.5"/>
  <cols>
    <col min="3" max="4" width="8.5" bestFit="1" customWidth="1"/>
    <col min="5" max="5" width="12.375" bestFit="1" customWidth="1"/>
    <col min="6" max="6" width="8.5" bestFit="1" customWidth="1"/>
    <col min="7" max="7" width="10.375" bestFit="1" customWidth="1"/>
    <col min="8" max="8" width="9" bestFit="1" customWidth="1"/>
  </cols>
  <sheetData>
    <row r="1" spans="1:8" s="8" customFormat="1">
      <c r="A1" s="8" t="s">
        <v>126</v>
      </c>
    </row>
    <row r="2" spans="1:8" s="8" customFormat="1"/>
    <row r="3" spans="1:8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 t="s">
        <v>14</v>
      </c>
      <c r="H3" s="1" t="s">
        <v>15</v>
      </c>
    </row>
    <row r="4" spans="1:8">
      <c r="A4" s="1" t="s">
        <v>16</v>
      </c>
      <c r="B4" s="1" t="s">
        <v>17</v>
      </c>
      <c r="C4" s="3">
        <v>2</v>
      </c>
      <c r="D4" s="3">
        <v>94</v>
      </c>
      <c r="E4" s="3">
        <v>93</v>
      </c>
      <c r="F4" s="3">
        <v>95</v>
      </c>
      <c r="G4" s="3">
        <v>98</v>
      </c>
      <c r="H4" s="3">
        <v>94</v>
      </c>
    </row>
    <row r="5" spans="1:8">
      <c r="A5" s="1" t="s">
        <v>18</v>
      </c>
      <c r="B5" s="1" t="s">
        <v>19</v>
      </c>
      <c r="C5" s="3">
        <v>3</v>
      </c>
      <c r="D5" s="3">
        <v>93</v>
      </c>
      <c r="E5" s="3">
        <v>90</v>
      </c>
      <c r="F5" s="3">
        <v>80</v>
      </c>
      <c r="G5" s="3">
        <v>85</v>
      </c>
      <c r="H5" s="3">
        <v>81</v>
      </c>
    </row>
    <row r="6" spans="1:8">
      <c r="A6" s="1" t="s">
        <v>20</v>
      </c>
      <c r="B6" s="1" t="s">
        <v>21</v>
      </c>
      <c r="C6" s="3">
        <v>1</v>
      </c>
      <c r="D6" s="3">
        <v>95</v>
      </c>
      <c r="E6" s="3">
        <v>89</v>
      </c>
      <c r="F6" s="3">
        <v>98</v>
      </c>
      <c r="G6" s="3">
        <v>84</v>
      </c>
      <c r="H6" s="3">
        <v>90</v>
      </c>
    </row>
    <row r="7" spans="1:8">
      <c r="A7" s="1" t="s">
        <v>22</v>
      </c>
      <c r="B7" s="1" t="s">
        <v>23</v>
      </c>
      <c r="C7" s="3">
        <v>4</v>
      </c>
      <c r="D7" s="3">
        <v>85</v>
      </c>
      <c r="E7" s="3">
        <v>80</v>
      </c>
      <c r="F7" s="3">
        <v>93</v>
      </c>
      <c r="G7" s="3">
        <v>72</v>
      </c>
      <c r="H7" s="3">
        <v>73</v>
      </c>
    </row>
    <row r="8" spans="1:8">
      <c r="A8" s="1" t="s">
        <v>24</v>
      </c>
      <c r="B8" s="1" t="s">
        <v>25</v>
      </c>
      <c r="C8" s="3">
        <v>2</v>
      </c>
      <c r="D8" s="3">
        <v>88</v>
      </c>
      <c r="E8" s="3">
        <v>90</v>
      </c>
      <c r="F8" s="3">
        <v>86</v>
      </c>
      <c r="G8" s="3">
        <v>92</v>
      </c>
      <c r="H8" s="3">
        <v>77</v>
      </c>
    </row>
    <row r="9" spans="1:8">
      <c r="A9" s="1" t="s">
        <v>26</v>
      </c>
      <c r="B9" s="1" t="s">
        <v>27</v>
      </c>
      <c r="C9" s="3">
        <v>1</v>
      </c>
      <c r="D9" s="3">
        <v>85</v>
      </c>
      <c r="E9" s="3">
        <v>80</v>
      </c>
      <c r="F9" s="3">
        <v>95</v>
      </c>
      <c r="G9" s="3">
        <v>73</v>
      </c>
      <c r="H9" s="3">
        <v>91</v>
      </c>
    </row>
    <row r="10" spans="1:8">
      <c r="A10" s="1" t="s">
        <v>28</v>
      </c>
      <c r="B10" s="1" t="s">
        <v>29</v>
      </c>
      <c r="C10" s="3">
        <v>4</v>
      </c>
      <c r="D10" s="3">
        <v>89</v>
      </c>
      <c r="E10" s="3">
        <v>90</v>
      </c>
      <c r="F10" s="3">
        <v>88</v>
      </c>
      <c r="G10" s="3">
        <v>91</v>
      </c>
      <c r="H10" s="3">
        <v>80</v>
      </c>
    </row>
    <row r="11" spans="1:8">
      <c r="A11" s="1" t="s">
        <v>30</v>
      </c>
      <c r="B11" s="1" t="s">
        <v>31</v>
      </c>
      <c r="C11" s="3">
        <v>2</v>
      </c>
      <c r="D11" s="3">
        <v>93</v>
      </c>
      <c r="E11" s="3">
        <v>80</v>
      </c>
      <c r="F11" s="3">
        <v>81</v>
      </c>
      <c r="G11" s="3">
        <v>77</v>
      </c>
      <c r="H11" s="3">
        <v>85</v>
      </c>
    </row>
    <row r="12" spans="1:8">
      <c r="A12" s="1" t="s">
        <v>32</v>
      </c>
      <c r="B12" s="1" t="s">
        <v>33</v>
      </c>
      <c r="C12" s="3">
        <v>3</v>
      </c>
      <c r="D12" s="3">
        <v>95</v>
      </c>
      <c r="E12" s="3">
        <v>73</v>
      </c>
      <c r="F12" s="3">
        <v>86</v>
      </c>
      <c r="G12" s="3">
        <v>89</v>
      </c>
      <c r="H12" s="3">
        <v>83</v>
      </c>
    </row>
    <row r="13" spans="1:8">
      <c r="A13" s="1" t="s">
        <v>34</v>
      </c>
      <c r="B13" s="1" t="s">
        <v>35</v>
      </c>
      <c r="C13" s="3">
        <v>2</v>
      </c>
      <c r="D13" s="3">
        <v>84</v>
      </c>
      <c r="E13" s="3">
        <v>95</v>
      </c>
      <c r="F13" s="3">
        <v>80</v>
      </c>
      <c r="G13" s="3">
        <v>98</v>
      </c>
      <c r="H13" s="3">
        <v>86</v>
      </c>
    </row>
    <row r="14" spans="1:8">
      <c r="A14" s="1" t="s">
        <v>36</v>
      </c>
      <c r="B14" s="1" t="s">
        <v>37</v>
      </c>
      <c r="C14" s="3">
        <v>1</v>
      </c>
      <c r="D14" s="3">
        <v>77</v>
      </c>
      <c r="E14" s="3">
        <v>90</v>
      </c>
      <c r="F14" s="3">
        <v>92</v>
      </c>
      <c r="G14" s="3">
        <v>79</v>
      </c>
      <c r="H14" s="3">
        <v>91</v>
      </c>
    </row>
    <row r="15" spans="1:8">
      <c r="A15" s="1" t="s">
        <v>38</v>
      </c>
      <c r="B15" s="1" t="s">
        <v>39</v>
      </c>
      <c r="C15" s="3">
        <v>2</v>
      </c>
      <c r="D15" s="3">
        <v>81</v>
      </c>
      <c r="E15" s="3">
        <v>72</v>
      </c>
      <c r="F15" s="3">
        <v>90</v>
      </c>
      <c r="G15" s="3">
        <v>88</v>
      </c>
      <c r="H15" s="3">
        <v>95</v>
      </c>
    </row>
    <row r="16" spans="1:8">
      <c r="A16" s="1" t="s">
        <v>40</v>
      </c>
      <c r="B16" s="1" t="s">
        <v>41</v>
      </c>
      <c r="C16" s="3">
        <v>4</v>
      </c>
      <c r="D16" s="3">
        <v>85</v>
      </c>
      <c r="E16" s="3">
        <v>95</v>
      </c>
      <c r="F16" s="3">
        <v>91</v>
      </c>
      <c r="G16" s="3">
        <v>84</v>
      </c>
      <c r="H16" s="3">
        <v>73</v>
      </c>
    </row>
    <row r="17" spans="1:8">
      <c r="A17" s="1" t="s">
        <v>42</v>
      </c>
      <c r="B17" s="1" t="s">
        <v>43</v>
      </c>
      <c r="C17" s="3">
        <v>2</v>
      </c>
      <c r="D17" s="3">
        <v>81</v>
      </c>
      <c r="E17" s="3">
        <v>80</v>
      </c>
      <c r="F17" s="3">
        <v>72</v>
      </c>
      <c r="G17" s="3">
        <v>88</v>
      </c>
      <c r="H17" s="3">
        <v>85</v>
      </c>
    </row>
    <row r="18" spans="1:8">
      <c r="A18" s="1" t="s">
        <v>44</v>
      </c>
      <c r="B18" s="1" t="s">
        <v>45</v>
      </c>
      <c r="C18" s="3">
        <v>3</v>
      </c>
      <c r="D18" s="3">
        <v>95</v>
      </c>
      <c r="E18" s="3">
        <v>73</v>
      </c>
      <c r="F18" s="3">
        <v>80</v>
      </c>
      <c r="G18" s="3">
        <v>93</v>
      </c>
      <c r="H18" s="3">
        <v>88</v>
      </c>
    </row>
    <row r="19" spans="1:8">
      <c r="A19" s="1" t="s">
        <v>46</v>
      </c>
      <c r="B19" s="1" t="s">
        <v>47</v>
      </c>
      <c r="C19" s="3">
        <v>1</v>
      </c>
      <c r="D19" s="3">
        <v>90</v>
      </c>
      <c r="E19" s="3">
        <v>89</v>
      </c>
      <c r="F19" s="3">
        <v>92</v>
      </c>
      <c r="G19" s="3">
        <v>81</v>
      </c>
      <c r="H19" s="3">
        <v>77</v>
      </c>
    </row>
    <row r="20" spans="1:8">
      <c r="A20" s="1" t="s">
        <v>48</v>
      </c>
      <c r="B20" s="1" t="s">
        <v>49</v>
      </c>
      <c r="C20" s="3">
        <v>3</v>
      </c>
      <c r="D20" s="3">
        <v>93</v>
      </c>
      <c r="E20" s="3">
        <v>98</v>
      </c>
      <c r="F20" s="3">
        <v>95</v>
      </c>
      <c r="G20" s="3">
        <v>89</v>
      </c>
      <c r="H20" s="3">
        <v>94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2"/>
  <sheetViews>
    <sheetView workbookViewId="0"/>
  </sheetViews>
  <sheetFormatPr defaultColWidth="8.625" defaultRowHeight="16.5"/>
  <cols>
    <col min="1" max="1" width="8.625" style="8"/>
    <col min="2" max="2" width="13.625" style="8" customWidth="1"/>
    <col min="3" max="4" width="8.625" style="8"/>
    <col min="5" max="5" width="10.625" style="8" bestFit="1" customWidth="1"/>
    <col min="6" max="6" width="8.625" style="8"/>
    <col min="7" max="7" width="10.625" style="8" customWidth="1"/>
    <col min="8" max="9" width="8.625" style="8"/>
    <col min="10" max="11" width="12.625" style="8" customWidth="1"/>
    <col min="12" max="16384" width="8.625" style="8"/>
  </cols>
  <sheetData>
    <row r="1" spans="1:11">
      <c r="A1" s="18" t="s">
        <v>155</v>
      </c>
      <c r="B1" s="19" t="s">
        <v>156</v>
      </c>
      <c r="C1" s="18"/>
      <c r="D1" s="18"/>
      <c r="E1" s="18"/>
      <c r="F1" s="20"/>
      <c r="G1" s="21" t="s">
        <v>157</v>
      </c>
      <c r="H1" s="22" t="s">
        <v>158</v>
      </c>
      <c r="I1" s="21"/>
      <c r="J1" s="21"/>
      <c r="K1" s="21"/>
    </row>
    <row r="2" spans="1:11">
      <c r="A2" s="23" t="s">
        <v>159</v>
      </c>
      <c r="B2" s="23" t="s">
        <v>160</v>
      </c>
      <c r="C2" s="23" t="s">
        <v>161</v>
      </c>
      <c r="D2" s="23" t="s">
        <v>162</v>
      </c>
      <c r="E2" s="23" t="s">
        <v>163</v>
      </c>
      <c r="F2" s="20"/>
      <c r="G2" s="24" t="s">
        <v>164</v>
      </c>
      <c r="H2" s="24" t="s">
        <v>165</v>
      </c>
      <c r="I2" s="24" t="s">
        <v>166</v>
      </c>
      <c r="J2" s="24" t="s">
        <v>167</v>
      </c>
      <c r="K2" s="25" t="s">
        <v>168</v>
      </c>
    </row>
    <row r="3" spans="1:11">
      <c r="A3" s="26" t="s">
        <v>169</v>
      </c>
      <c r="B3" s="23" t="s">
        <v>170</v>
      </c>
      <c r="C3" s="27" t="s">
        <v>171</v>
      </c>
      <c r="D3" s="27" t="s">
        <v>172</v>
      </c>
      <c r="E3" s="28">
        <v>8500000</v>
      </c>
      <c r="F3" s="20"/>
      <c r="G3" s="29">
        <v>45387</v>
      </c>
      <c r="H3" s="24" t="s">
        <v>173</v>
      </c>
      <c r="I3" s="24" t="s">
        <v>174</v>
      </c>
      <c r="J3" s="26" t="s">
        <v>175</v>
      </c>
      <c r="K3" s="24"/>
    </row>
    <row r="4" spans="1:11">
      <c r="A4" s="26" t="s">
        <v>176</v>
      </c>
      <c r="B4" s="23" t="s">
        <v>177</v>
      </c>
      <c r="C4" s="30" t="s">
        <v>178</v>
      </c>
      <c r="D4" s="30" t="s">
        <v>179</v>
      </c>
      <c r="E4" s="28">
        <v>6000000</v>
      </c>
      <c r="F4" s="20"/>
      <c r="G4" s="29">
        <v>45607</v>
      </c>
      <c r="H4" s="24" t="s">
        <v>180</v>
      </c>
      <c r="I4" s="24" t="s">
        <v>181</v>
      </c>
      <c r="J4" s="26" t="s">
        <v>182</v>
      </c>
      <c r="K4" s="24"/>
    </row>
    <row r="5" spans="1:11">
      <c r="A5" s="26" t="s">
        <v>183</v>
      </c>
      <c r="B5" s="23" t="s">
        <v>184</v>
      </c>
      <c r="C5" s="30" t="s">
        <v>185</v>
      </c>
      <c r="D5" s="30" t="s">
        <v>172</v>
      </c>
      <c r="E5" s="31">
        <v>7000000</v>
      </c>
      <c r="F5" s="20"/>
      <c r="G5" s="29">
        <v>45374</v>
      </c>
      <c r="H5" s="24" t="s">
        <v>186</v>
      </c>
      <c r="I5" s="24" t="s">
        <v>187</v>
      </c>
      <c r="J5" s="26" t="s">
        <v>188</v>
      </c>
      <c r="K5" s="24"/>
    </row>
    <row r="6" spans="1:11">
      <c r="A6" s="26" t="s">
        <v>189</v>
      </c>
      <c r="B6" s="23" t="s">
        <v>170</v>
      </c>
      <c r="C6" s="30" t="s">
        <v>185</v>
      </c>
      <c r="D6" s="27" t="s">
        <v>172</v>
      </c>
      <c r="E6" s="31">
        <v>7000000</v>
      </c>
      <c r="F6" s="20"/>
      <c r="G6" s="29">
        <v>45638</v>
      </c>
      <c r="H6" s="24" t="s">
        <v>190</v>
      </c>
      <c r="I6" s="24" t="s">
        <v>191</v>
      </c>
      <c r="J6" s="26" t="s">
        <v>192</v>
      </c>
      <c r="K6" s="24"/>
    </row>
    <row r="7" spans="1:11">
      <c r="A7" s="26" t="s">
        <v>193</v>
      </c>
      <c r="B7" s="23" t="s">
        <v>184</v>
      </c>
      <c r="C7" s="30" t="s">
        <v>185</v>
      </c>
      <c r="D7" s="27" t="s">
        <v>194</v>
      </c>
      <c r="E7" s="28">
        <v>5000000</v>
      </c>
      <c r="F7" s="20"/>
      <c r="G7" s="29">
        <v>45420</v>
      </c>
      <c r="H7" s="24" t="s">
        <v>195</v>
      </c>
      <c r="I7" s="24" t="s">
        <v>196</v>
      </c>
      <c r="J7" s="26" t="s">
        <v>197</v>
      </c>
      <c r="K7" s="24"/>
    </row>
    <row r="8" spans="1:11">
      <c r="A8" s="26" t="s">
        <v>198</v>
      </c>
      <c r="B8" s="23" t="s">
        <v>184</v>
      </c>
      <c r="C8" s="30" t="s">
        <v>171</v>
      </c>
      <c r="D8" s="30" t="s">
        <v>179</v>
      </c>
      <c r="E8" s="31">
        <v>7500000</v>
      </c>
      <c r="F8" s="20"/>
      <c r="G8" s="29">
        <v>45550</v>
      </c>
      <c r="H8" s="24" t="s">
        <v>199</v>
      </c>
      <c r="I8" s="24" t="s">
        <v>200</v>
      </c>
      <c r="J8" s="26" t="s">
        <v>201</v>
      </c>
      <c r="K8" s="24"/>
    </row>
    <row r="9" spans="1:11">
      <c r="A9" s="26" t="s">
        <v>202</v>
      </c>
      <c r="B9" s="23" t="s">
        <v>184</v>
      </c>
      <c r="C9" s="30" t="s">
        <v>185</v>
      </c>
      <c r="D9" s="30" t="s">
        <v>203</v>
      </c>
      <c r="E9" s="28">
        <v>5000000</v>
      </c>
      <c r="F9" s="20"/>
      <c r="G9" s="29">
        <v>45410</v>
      </c>
      <c r="H9" s="24" t="s">
        <v>204</v>
      </c>
      <c r="I9" s="24" t="s">
        <v>205</v>
      </c>
      <c r="J9" s="26" t="s">
        <v>206</v>
      </c>
      <c r="K9" s="24"/>
    </row>
    <row r="10" spans="1:11">
      <c r="A10" s="26" t="s">
        <v>207</v>
      </c>
      <c r="B10" s="23" t="s">
        <v>170</v>
      </c>
      <c r="C10" s="30" t="s">
        <v>185</v>
      </c>
      <c r="D10" s="27" t="s">
        <v>179</v>
      </c>
      <c r="E10" s="28">
        <v>6000000</v>
      </c>
      <c r="F10" s="20"/>
      <c r="G10" s="29">
        <v>45548</v>
      </c>
      <c r="H10" s="24" t="s">
        <v>208</v>
      </c>
      <c r="I10" s="24" t="s">
        <v>209</v>
      </c>
      <c r="J10" s="26" t="s">
        <v>210</v>
      </c>
      <c r="K10" s="24"/>
    </row>
    <row r="11" spans="1:11">
      <c r="A11" s="26" t="s">
        <v>211</v>
      </c>
      <c r="B11" s="23" t="s">
        <v>184</v>
      </c>
      <c r="C11" s="30" t="s">
        <v>171</v>
      </c>
      <c r="D11" s="30" t="s">
        <v>203</v>
      </c>
      <c r="E11" s="31">
        <v>6500000</v>
      </c>
      <c r="F11" s="20"/>
      <c r="G11" s="20"/>
      <c r="H11" s="20"/>
      <c r="I11" s="20"/>
      <c r="J11" s="20"/>
      <c r="K11" s="20"/>
    </row>
    <row r="12" spans="1:11">
      <c r="A12" s="26" t="s">
        <v>212</v>
      </c>
      <c r="B12" s="23" t="s">
        <v>213</v>
      </c>
      <c r="C12" s="30" t="s">
        <v>185</v>
      </c>
      <c r="D12" s="30" t="s">
        <v>203</v>
      </c>
      <c r="E12" s="28">
        <v>5000000</v>
      </c>
      <c r="F12" s="20"/>
      <c r="G12" s="20"/>
      <c r="H12" s="20"/>
      <c r="I12" s="20"/>
      <c r="J12" s="20"/>
      <c r="K12" s="20"/>
    </row>
    <row r="13" spans="1:11">
      <c r="A13" s="40" t="s">
        <v>214</v>
      </c>
      <c r="B13" s="41"/>
      <c r="C13" s="41"/>
      <c r="D13" s="42"/>
      <c r="E13" s="28"/>
      <c r="F13" s="20"/>
      <c r="G13" s="20"/>
      <c r="H13" s="20"/>
      <c r="I13" s="20"/>
      <c r="J13" s="20"/>
      <c r="K13" s="20"/>
    </row>
    <row r="14" spans="1:1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</row>
    <row r="15" spans="1:11">
      <c r="A15" s="20" t="s">
        <v>215</v>
      </c>
      <c r="B15" s="32" t="s">
        <v>216</v>
      </c>
      <c r="C15" s="20"/>
      <c r="D15" s="20"/>
      <c r="E15" s="20"/>
      <c r="F15" s="20"/>
      <c r="G15" s="20" t="s">
        <v>217</v>
      </c>
      <c r="H15" s="32" t="s">
        <v>218</v>
      </c>
      <c r="I15" s="20"/>
      <c r="J15" s="20"/>
      <c r="K15" s="20"/>
    </row>
    <row r="16" spans="1:11">
      <c r="A16" s="33" t="s">
        <v>219</v>
      </c>
      <c r="B16" s="33" t="s">
        <v>220</v>
      </c>
      <c r="C16" s="33" t="s">
        <v>221</v>
      </c>
      <c r="D16" s="33" t="s">
        <v>222</v>
      </c>
      <c r="E16" s="34" t="s">
        <v>223</v>
      </c>
      <c r="F16" s="20"/>
      <c r="G16" s="33" t="s">
        <v>224</v>
      </c>
      <c r="H16" s="33" t="s">
        <v>225</v>
      </c>
      <c r="I16" s="35" t="s">
        <v>226</v>
      </c>
      <c r="J16" s="20"/>
      <c r="K16" s="20"/>
    </row>
    <row r="17" spans="1:11">
      <c r="A17" s="33" t="s">
        <v>227</v>
      </c>
      <c r="B17" s="23" t="s">
        <v>170</v>
      </c>
      <c r="C17" s="33" t="s">
        <v>228</v>
      </c>
      <c r="D17" s="33">
        <v>95</v>
      </c>
      <c r="E17" s="36"/>
      <c r="F17" s="20"/>
      <c r="G17" s="37">
        <v>185</v>
      </c>
      <c r="H17" s="37">
        <v>115</v>
      </c>
      <c r="I17" s="33" t="s">
        <v>229</v>
      </c>
      <c r="J17" s="20"/>
      <c r="K17" s="20"/>
    </row>
    <row r="18" spans="1:11">
      <c r="A18" s="33" t="s">
        <v>230</v>
      </c>
      <c r="B18" s="23" t="s">
        <v>184</v>
      </c>
      <c r="C18" s="33" t="s">
        <v>228</v>
      </c>
      <c r="D18" s="33">
        <v>90</v>
      </c>
      <c r="E18" s="38"/>
      <c r="F18" s="20"/>
      <c r="G18" s="37">
        <v>156</v>
      </c>
      <c r="H18" s="37">
        <v>144</v>
      </c>
      <c r="I18" s="33" t="s">
        <v>231</v>
      </c>
      <c r="J18" s="20"/>
      <c r="K18" s="20"/>
    </row>
    <row r="19" spans="1:11">
      <c r="A19" s="33" t="s">
        <v>232</v>
      </c>
      <c r="B19" s="23" t="s">
        <v>184</v>
      </c>
      <c r="C19" s="33" t="s">
        <v>228</v>
      </c>
      <c r="D19" s="33">
        <v>95</v>
      </c>
      <c r="E19" s="38"/>
      <c r="F19" s="20"/>
      <c r="G19" s="37">
        <v>198</v>
      </c>
      <c r="H19" s="37">
        <v>102</v>
      </c>
      <c r="I19" s="33" t="s">
        <v>233</v>
      </c>
      <c r="J19" s="20"/>
      <c r="K19" s="20"/>
    </row>
    <row r="20" spans="1:11">
      <c r="A20" s="33" t="s">
        <v>234</v>
      </c>
      <c r="B20" s="23" t="s">
        <v>170</v>
      </c>
      <c r="C20" s="33"/>
      <c r="D20" s="33">
        <v>0</v>
      </c>
      <c r="E20" s="38"/>
      <c r="F20" s="20"/>
      <c r="G20" s="37">
        <v>250</v>
      </c>
      <c r="H20" s="37">
        <v>50</v>
      </c>
      <c r="I20" s="33" t="s">
        <v>235</v>
      </c>
      <c r="J20" s="20"/>
      <c r="K20" s="20"/>
    </row>
    <row r="21" spans="1:11">
      <c r="A21" s="33" t="s">
        <v>236</v>
      </c>
      <c r="B21" s="23" t="s">
        <v>184</v>
      </c>
      <c r="C21" s="33" t="s">
        <v>228</v>
      </c>
      <c r="D21" s="33">
        <v>85</v>
      </c>
      <c r="E21" s="38"/>
      <c r="F21" s="20"/>
      <c r="G21" s="37">
        <v>98</v>
      </c>
      <c r="H21" s="37">
        <v>202</v>
      </c>
      <c r="I21" s="33" t="s">
        <v>237</v>
      </c>
      <c r="J21" s="20"/>
      <c r="K21" s="20"/>
    </row>
    <row r="22" spans="1:11">
      <c r="A22" s="33" t="s">
        <v>238</v>
      </c>
      <c r="B22" s="23" t="s">
        <v>184</v>
      </c>
      <c r="C22" s="33" t="s">
        <v>228</v>
      </c>
      <c r="D22" s="33">
        <v>80</v>
      </c>
      <c r="E22" s="38"/>
      <c r="F22" s="20"/>
      <c r="G22" s="37">
        <v>154</v>
      </c>
      <c r="H22" s="37">
        <v>146</v>
      </c>
      <c r="I22" s="33" t="s">
        <v>239</v>
      </c>
      <c r="J22" s="20"/>
      <c r="K22" s="20"/>
    </row>
    <row r="23" spans="1:11">
      <c r="A23" s="33" t="s">
        <v>240</v>
      </c>
      <c r="B23" s="23" t="s">
        <v>184</v>
      </c>
      <c r="C23" s="33"/>
      <c r="D23" s="33">
        <v>0</v>
      </c>
      <c r="E23" s="38"/>
      <c r="F23" s="20"/>
      <c r="G23" s="37">
        <v>253</v>
      </c>
      <c r="H23" s="37">
        <v>47</v>
      </c>
      <c r="I23" s="33" t="s">
        <v>241</v>
      </c>
      <c r="J23" s="43" t="s">
        <v>242</v>
      </c>
      <c r="K23" s="43"/>
    </row>
    <row r="24" spans="1:11">
      <c r="A24" s="33" t="s">
        <v>243</v>
      </c>
      <c r="B24" s="23" t="s">
        <v>170</v>
      </c>
      <c r="C24" s="33" t="s">
        <v>228</v>
      </c>
      <c r="D24" s="33">
        <v>85</v>
      </c>
      <c r="E24" s="38"/>
      <c r="F24" s="20"/>
      <c r="G24" s="37">
        <v>210</v>
      </c>
      <c r="H24" s="37">
        <v>90</v>
      </c>
      <c r="I24" s="33" t="s">
        <v>244</v>
      </c>
      <c r="J24" s="44"/>
      <c r="K24" s="44"/>
    </row>
    <row r="25" spans="1:11">
      <c r="A25" s="33" t="s">
        <v>245</v>
      </c>
      <c r="B25" s="23" t="s">
        <v>177</v>
      </c>
      <c r="C25" s="33"/>
      <c r="D25" s="33">
        <v>0</v>
      </c>
      <c r="E25" s="38"/>
      <c r="F25" s="20"/>
      <c r="G25" s="20"/>
      <c r="H25" s="20"/>
      <c r="I25" s="20"/>
      <c r="J25" s="20"/>
      <c r="K25" s="20"/>
    </row>
    <row r="26" spans="1:11">
      <c r="A26" s="33" t="s">
        <v>246</v>
      </c>
      <c r="B26" s="23" t="s">
        <v>170</v>
      </c>
      <c r="C26" s="33" t="s">
        <v>228</v>
      </c>
      <c r="D26" s="33">
        <v>95</v>
      </c>
      <c r="E26" s="38"/>
      <c r="F26" s="20"/>
      <c r="G26" s="20"/>
      <c r="H26" s="20"/>
      <c r="I26" s="20"/>
      <c r="J26" s="20"/>
      <c r="K26" s="20"/>
    </row>
    <row r="27" spans="1:1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>
      <c r="A28" s="39" t="s">
        <v>247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>
      <c r="A29" s="35" t="s">
        <v>248</v>
      </c>
      <c r="B29" s="33" t="s">
        <v>249</v>
      </c>
      <c r="C29" s="33" t="s">
        <v>250</v>
      </c>
      <c r="D29" s="34" t="s">
        <v>251</v>
      </c>
      <c r="E29" s="20"/>
      <c r="F29" s="20"/>
      <c r="G29" s="20"/>
      <c r="H29" s="20"/>
      <c r="I29" s="20"/>
      <c r="J29" s="20"/>
      <c r="K29" s="20"/>
    </row>
    <row r="30" spans="1:11">
      <c r="A30" s="26" t="s">
        <v>252</v>
      </c>
      <c r="B30" s="33" t="s">
        <v>253</v>
      </c>
      <c r="C30" s="23" t="s">
        <v>170</v>
      </c>
      <c r="D30" s="33"/>
      <c r="E30" s="20"/>
      <c r="F30" s="20"/>
      <c r="G30" s="20"/>
      <c r="H30" s="20"/>
      <c r="I30" s="20"/>
      <c r="J30" s="20"/>
      <c r="K30" s="20"/>
    </row>
    <row r="31" spans="1:11">
      <c r="A31" s="26" t="s">
        <v>176</v>
      </c>
      <c r="B31" s="33" t="s">
        <v>254</v>
      </c>
      <c r="C31" s="23" t="s">
        <v>184</v>
      </c>
      <c r="D31" s="33"/>
      <c r="E31" s="20"/>
      <c r="F31" s="20"/>
      <c r="G31" s="20"/>
      <c r="H31" s="20"/>
      <c r="I31" s="20"/>
      <c r="J31" s="20"/>
      <c r="K31" s="20"/>
    </row>
    <row r="32" spans="1:11">
      <c r="A32" s="26" t="s">
        <v>255</v>
      </c>
      <c r="B32" s="33" t="s">
        <v>256</v>
      </c>
      <c r="C32" s="23" t="s">
        <v>184</v>
      </c>
      <c r="D32" s="33"/>
      <c r="E32" s="20"/>
      <c r="F32" s="20"/>
      <c r="G32" s="20"/>
      <c r="H32" s="20"/>
      <c r="I32" s="20"/>
      <c r="J32" s="20"/>
      <c r="K32" s="20"/>
    </row>
    <row r="33" spans="1:11">
      <c r="A33" s="26" t="s">
        <v>257</v>
      </c>
      <c r="B33" s="33" t="s">
        <v>258</v>
      </c>
      <c r="C33" s="23" t="s">
        <v>170</v>
      </c>
      <c r="D33" s="33"/>
      <c r="E33" s="20"/>
      <c r="F33" s="20"/>
      <c r="G33" s="20"/>
      <c r="H33" s="20"/>
      <c r="I33" s="20"/>
      <c r="J33" s="20"/>
      <c r="K33" s="20"/>
    </row>
    <row r="34" spans="1:11">
      <c r="A34" s="26" t="s">
        <v>193</v>
      </c>
      <c r="B34" s="33" t="s">
        <v>259</v>
      </c>
      <c r="C34" s="23" t="s">
        <v>184</v>
      </c>
      <c r="D34" s="33"/>
      <c r="E34" s="20"/>
      <c r="F34" s="20"/>
      <c r="G34" s="20"/>
      <c r="H34" s="20"/>
      <c r="I34" s="20"/>
      <c r="J34" s="20"/>
      <c r="K34" s="20"/>
    </row>
    <row r="35" spans="1:11">
      <c r="A35" s="26" t="s">
        <v>260</v>
      </c>
      <c r="B35" s="33" t="s">
        <v>261</v>
      </c>
      <c r="C35" s="23" t="s">
        <v>184</v>
      </c>
      <c r="D35" s="33"/>
      <c r="E35" s="20"/>
      <c r="F35" s="20"/>
      <c r="G35" s="20"/>
      <c r="H35" s="20"/>
      <c r="I35" s="20"/>
      <c r="J35" s="20"/>
      <c r="K35" s="20"/>
    </row>
    <row r="36" spans="1:11">
      <c r="A36" s="26" t="s">
        <v>262</v>
      </c>
      <c r="B36" s="33" t="s">
        <v>263</v>
      </c>
      <c r="C36" s="23" t="s">
        <v>184</v>
      </c>
      <c r="D36" s="33"/>
      <c r="E36" s="20"/>
      <c r="F36" s="20"/>
      <c r="G36" s="20"/>
      <c r="H36" s="20"/>
      <c r="I36" s="20"/>
      <c r="J36" s="20"/>
      <c r="K36" s="20"/>
    </row>
    <row r="37" spans="1:11">
      <c r="A37" s="26" t="s">
        <v>264</v>
      </c>
      <c r="B37" s="33" t="s">
        <v>265</v>
      </c>
      <c r="C37" s="23" t="s">
        <v>170</v>
      </c>
      <c r="D37" s="33"/>
      <c r="E37" s="20"/>
      <c r="F37" s="20"/>
      <c r="G37" s="20"/>
      <c r="H37" s="20"/>
      <c r="I37" s="20"/>
      <c r="J37" s="20"/>
      <c r="K37" s="20"/>
    </row>
    <row r="38" spans="1:11">
      <c r="A38" s="26" t="s">
        <v>266</v>
      </c>
      <c r="B38" s="33" t="s">
        <v>267</v>
      </c>
      <c r="C38" s="23" t="s">
        <v>184</v>
      </c>
      <c r="D38" s="33"/>
      <c r="E38" s="20"/>
      <c r="F38" s="20"/>
      <c r="G38" s="20"/>
      <c r="H38" s="20"/>
      <c r="I38" s="20"/>
      <c r="J38" s="20"/>
      <c r="K38" s="20"/>
    </row>
    <row r="39" spans="1:11">
      <c r="A39" s="26" t="s">
        <v>268</v>
      </c>
      <c r="B39" s="33" t="s">
        <v>269</v>
      </c>
      <c r="C39" s="23" t="s">
        <v>170</v>
      </c>
      <c r="D39" s="33"/>
      <c r="E39" s="20"/>
      <c r="F39" s="20"/>
      <c r="G39" s="20"/>
      <c r="H39" s="20"/>
      <c r="I39" s="20"/>
      <c r="J39" s="20"/>
      <c r="K39" s="20"/>
    </row>
    <row r="40" spans="1:1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</row>
    <row r="41" spans="1:1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</row>
  </sheetData>
  <mergeCells count="3">
    <mergeCell ref="A13:D13"/>
    <mergeCell ref="J23:K23"/>
    <mergeCell ref="J24:K24"/>
  </mergeCells>
  <phoneticPr fontId="1" type="noConversion"/>
  <conditionalFormatting sqref="B3:B12">
    <cfRule type="uniqueValues" dxfId="2" priority="3"/>
  </conditionalFormatting>
  <conditionalFormatting sqref="B17:B26">
    <cfRule type="uniqueValues" dxfId="1" priority="2"/>
  </conditionalFormatting>
  <conditionalFormatting sqref="C30:C39">
    <cfRule type="uniqu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/>
  <cols>
    <col min="1" max="1" width="8.625" customWidth="1"/>
    <col min="2" max="2" width="14.625" customWidth="1"/>
    <col min="3" max="4" width="10" bestFit="1" customWidth="1"/>
    <col min="5" max="5" width="2.625" customWidth="1"/>
    <col min="6" max="7" width="14.625" customWidth="1"/>
    <col min="8" max="9" width="10" bestFit="1" customWidth="1"/>
  </cols>
  <sheetData>
    <row r="1" spans="1:10">
      <c r="A1" s="9" t="s">
        <v>127</v>
      </c>
      <c r="B1" s="8"/>
      <c r="C1" s="12"/>
      <c r="D1" s="12"/>
      <c r="E1" s="9"/>
      <c r="F1" s="9" t="s">
        <v>128</v>
      </c>
      <c r="G1" s="8"/>
      <c r="H1" s="12"/>
      <c r="I1" s="12"/>
      <c r="J1" s="8"/>
    </row>
    <row r="2" spans="1:10">
      <c r="A2" s="17" t="s">
        <v>129</v>
      </c>
      <c r="B2" s="10" t="s">
        <v>74</v>
      </c>
      <c r="C2" s="13" t="s">
        <v>75</v>
      </c>
      <c r="D2" s="13" t="s">
        <v>76</v>
      </c>
      <c r="E2" s="9"/>
      <c r="F2" s="11" t="s">
        <v>129</v>
      </c>
      <c r="G2" s="10" t="s">
        <v>74</v>
      </c>
      <c r="H2" s="13" t="s">
        <v>75</v>
      </c>
      <c r="I2" s="13" t="s">
        <v>76</v>
      </c>
      <c r="J2" s="8"/>
    </row>
    <row r="3" spans="1:10">
      <c r="A3" s="17" t="s">
        <v>130</v>
      </c>
      <c r="B3" s="10" t="s">
        <v>131</v>
      </c>
      <c r="C3" s="14">
        <v>36</v>
      </c>
      <c r="D3" s="14">
        <v>189000</v>
      </c>
      <c r="E3" s="9"/>
      <c r="F3" s="11" t="s">
        <v>132</v>
      </c>
      <c r="G3" s="10" t="s">
        <v>131</v>
      </c>
      <c r="H3" s="14">
        <v>55</v>
      </c>
      <c r="I3" s="14">
        <v>149000</v>
      </c>
      <c r="J3" s="8"/>
    </row>
    <row r="4" spans="1:10">
      <c r="A4" s="17" t="s">
        <v>133</v>
      </c>
      <c r="B4" s="10" t="s">
        <v>134</v>
      </c>
      <c r="C4" s="14">
        <v>15</v>
      </c>
      <c r="D4" s="14">
        <v>249000</v>
      </c>
      <c r="E4" s="9"/>
      <c r="F4" s="11" t="s">
        <v>135</v>
      </c>
      <c r="G4" s="10" t="s">
        <v>134</v>
      </c>
      <c r="H4" s="14">
        <v>8</v>
      </c>
      <c r="I4" s="14">
        <v>240000</v>
      </c>
      <c r="J4" s="8"/>
    </row>
    <row r="5" spans="1:10">
      <c r="A5" s="17" t="s">
        <v>133</v>
      </c>
      <c r="B5" s="10" t="s">
        <v>136</v>
      </c>
      <c r="C5" s="14">
        <v>20</v>
      </c>
      <c r="D5" s="14">
        <v>118800</v>
      </c>
      <c r="E5" s="9"/>
      <c r="F5" s="11" t="s">
        <v>137</v>
      </c>
      <c r="G5" s="10" t="s">
        <v>138</v>
      </c>
      <c r="H5" s="14">
        <v>13</v>
      </c>
      <c r="I5" s="14">
        <v>46000</v>
      </c>
      <c r="J5" s="8"/>
    </row>
    <row r="6" spans="1:10">
      <c r="A6" s="17" t="s">
        <v>139</v>
      </c>
      <c r="B6" s="10" t="s">
        <v>140</v>
      </c>
      <c r="C6" s="14">
        <v>45</v>
      </c>
      <c r="D6" s="14">
        <v>58700</v>
      </c>
      <c r="E6" s="9"/>
      <c r="F6" s="11" t="s">
        <v>133</v>
      </c>
      <c r="G6" s="10" t="s">
        <v>141</v>
      </c>
      <c r="H6" s="14">
        <v>350</v>
      </c>
      <c r="I6" s="14">
        <v>400</v>
      </c>
      <c r="J6" s="8"/>
    </row>
    <row r="7" spans="1:10">
      <c r="A7" s="8"/>
      <c r="B7" s="9"/>
      <c r="C7" s="12"/>
      <c r="D7" s="12"/>
      <c r="E7" s="9"/>
      <c r="F7" s="9"/>
      <c r="G7" s="9"/>
      <c r="H7" s="12"/>
      <c r="I7" s="12"/>
      <c r="J7" s="8"/>
    </row>
    <row r="8" spans="1:10">
      <c r="A8" s="9" t="s">
        <v>142</v>
      </c>
      <c r="B8" s="8"/>
      <c r="C8" s="12"/>
      <c r="D8" s="12"/>
      <c r="E8" s="9"/>
      <c r="F8" s="15" t="s">
        <v>271</v>
      </c>
      <c r="G8" s="12"/>
      <c r="H8" s="12"/>
      <c r="I8" s="8"/>
      <c r="J8" s="8"/>
    </row>
    <row r="9" spans="1:10">
      <c r="A9" s="17" t="s">
        <v>129</v>
      </c>
      <c r="B9" s="10" t="s">
        <v>74</v>
      </c>
      <c r="C9" s="13" t="s">
        <v>75</v>
      </c>
      <c r="D9" s="13" t="s">
        <v>76</v>
      </c>
      <c r="E9" s="9"/>
      <c r="F9" s="10" t="s">
        <v>74</v>
      </c>
      <c r="G9" s="13" t="s">
        <v>75</v>
      </c>
      <c r="H9" s="13" t="s">
        <v>76</v>
      </c>
      <c r="I9" s="8"/>
      <c r="J9" s="8"/>
    </row>
    <row r="10" spans="1:10">
      <c r="A10" s="17" t="s">
        <v>143</v>
      </c>
      <c r="B10" s="10" t="s">
        <v>131</v>
      </c>
      <c r="C10" s="14">
        <v>24</v>
      </c>
      <c r="D10" s="14">
        <v>78000</v>
      </c>
      <c r="E10" s="9"/>
      <c r="F10" s="11"/>
      <c r="G10" s="16"/>
      <c r="H10" s="16"/>
      <c r="I10" s="8"/>
      <c r="J10" s="8"/>
    </row>
    <row r="11" spans="1:10">
      <c r="A11" s="17" t="s">
        <v>144</v>
      </c>
      <c r="B11" s="10" t="s">
        <v>134</v>
      </c>
      <c r="C11" s="14">
        <v>41</v>
      </c>
      <c r="D11" s="14">
        <v>150000</v>
      </c>
      <c r="E11" s="9"/>
      <c r="F11" s="11"/>
      <c r="G11" s="16"/>
      <c r="H11" s="16"/>
      <c r="I11" s="8"/>
      <c r="J11" s="8"/>
    </row>
    <row r="12" spans="1:10">
      <c r="A12" s="17" t="s">
        <v>130</v>
      </c>
      <c r="B12" s="10" t="s">
        <v>145</v>
      </c>
      <c r="C12" s="14">
        <v>35</v>
      </c>
      <c r="D12" s="14">
        <v>57000</v>
      </c>
      <c r="E12" s="9"/>
      <c r="F12" s="11"/>
      <c r="G12" s="16"/>
      <c r="H12" s="16"/>
      <c r="I12" s="8"/>
      <c r="J12" s="8"/>
    </row>
    <row r="13" spans="1:10">
      <c r="A13" s="17" t="s">
        <v>133</v>
      </c>
      <c r="B13" s="10" t="s">
        <v>140</v>
      </c>
      <c r="C13" s="14">
        <v>22</v>
      </c>
      <c r="D13" s="14">
        <v>109000</v>
      </c>
      <c r="E13" s="9"/>
      <c r="F13" s="11"/>
      <c r="G13" s="16"/>
      <c r="H13" s="16"/>
      <c r="I13" s="8"/>
      <c r="J13" s="8"/>
    </row>
    <row r="14" spans="1:10">
      <c r="A14" s="8"/>
      <c r="B14" s="9"/>
      <c r="C14" s="12"/>
      <c r="D14" s="12"/>
      <c r="E14" s="9"/>
      <c r="F14" s="11"/>
      <c r="G14" s="16"/>
      <c r="H14" s="16"/>
      <c r="I14" s="8"/>
      <c r="J14" s="8"/>
    </row>
    <row r="15" spans="1:10">
      <c r="A15" s="8"/>
      <c r="B15" s="9"/>
      <c r="C15" s="12"/>
      <c r="D15" s="12"/>
      <c r="E15" s="9"/>
      <c r="F15" s="11"/>
      <c r="G15" s="16"/>
      <c r="H15" s="16"/>
      <c r="I15" s="8"/>
      <c r="J15" s="8"/>
    </row>
    <row r="16" spans="1:10">
      <c r="A16" s="8"/>
      <c r="B16" s="9"/>
      <c r="C16" s="12"/>
      <c r="D16" s="12"/>
      <c r="E16" s="9"/>
      <c r="F16" s="11"/>
      <c r="G16" s="16"/>
      <c r="H16" s="16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</sheetData>
  <dataConsolidate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2"/>
  <sheetViews>
    <sheetView workbookViewId="0"/>
  </sheetViews>
  <sheetFormatPr defaultRowHeight="16.5"/>
  <cols>
    <col min="2" max="2" width="11.625" bestFit="1" customWidth="1"/>
    <col min="5" max="10" width="12.25" customWidth="1"/>
  </cols>
  <sheetData>
    <row r="1" spans="1:10">
      <c r="A1" s="4"/>
      <c r="B1" s="8"/>
      <c r="C1" s="8"/>
      <c r="D1" s="8"/>
      <c r="E1" s="8"/>
      <c r="F1" s="8"/>
      <c r="G1" s="8"/>
      <c r="H1" s="8"/>
      <c r="I1" s="8"/>
      <c r="J1" s="8"/>
    </row>
    <row r="2" spans="1:10">
      <c r="A2" s="45" t="s">
        <v>146</v>
      </c>
      <c r="B2" s="45"/>
      <c r="C2" s="5"/>
      <c r="D2" s="8"/>
      <c r="E2" s="6" t="s">
        <v>147</v>
      </c>
      <c r="F2" s="5"/>
      <c r="G2" s="5"/>
      <c r="H2" s="5"/>
      <c r="I2" s="5"/>
      <c r="J2" s="7"/>
    </row>
    <row r="3" spans="1:10">
      <c r="A3" s="1" t="s">
        <v>148</v>
      </c>
      <c r="B3" s="2">
        <v>5100</v>
      </c>
      <c r="C3" s="5"/>
      <c r="D3" s="5"/>
      <c r="E3" s="5"/>
      <c r="F3" s="46" t="s">
        <v>50</v>
      </c>
      <c r="G3" s="46"/>
      <c r="H3" s="46"/>
      <c r="I3" s="46"/>
      <c r="J3" s="46"/>
    </row>
    <row r="4" spans="1:10">
      <c r="A4" s="1" t="s">
        <v>50</v>
      </c>
      <c r="B4" s="2">
        <v>2000</v>
      </c>
      <c r="C4" s="5"/>
      <c r="D4" s="5"/>
      <c r="E4" s="2"/>
      <c r="F4" s="2">
        <v>1500</v>
      </c>
      <c r="G4" s="2">
        <v>2500</v>
      </c>
      <c r="H4" s="2">
        <v>3500</v>
      </c>
      <c r="I4" s="2">
        <v>4500</v>
      </c>
      <c r="J4" s="2">
        <v>5500</v>
      </c>
    </row>
    <row r="5" spans="1:10" ht="17.100000000000001" customHeight="1">
      <c r="A5" s="1" t="s">
        <v>51</v>
      </c>
      <c r="B5" s="2">
        <f>B3*B4</f>
        <v>10200000</v>
      </c>
      <c r="C5" s="5"/>
      <c r="D5" s="47" t="s">
        <v>149</v>
      </c>
      <c r="E5" s="2">
        <v>4000</v>
      </c>
      <c r="F5" s="2"/>
      <c r="G5" s="2"/>
      <c r="H5" s="2"/>
      <c r="I5" s="2"/>
      <c r="J5" s="2"/>
    </row>
    <row r="6" spans="1:10">
      <c r="A6" s="1" t="s">
        <v>150</v>
      </c>
      <c r="B6" s="2">
        <f>B3*0.3*B4</f>
        <v>3060000</v>
      </c>
      <c r="C6" s="5"/>
      <c r="D6" s="47"/>
      <c r="E6" s="2">
        <v>4500</v>
      </c>
      <c r="F6" s="2"/>
      <c r="G6" s="2"/>
      <c r="H6" s="2"/>
      <c r="I6" s="2"/>
      <c r="J6" s="2"/>
    </row>
    <row r="7" spans="1:10">
      <c r="A7" s="1" t="s">
        <v>151</v>
      </c>
      <c r="B7" s="2">
        <f>B5*0.1</f>
        <v>1020000</v>
      </c>
      <c r="C7" s="5"/>
      <c r="D7" s="47"/>
      <c r="E7" s="2">
        <v>5000</v>
      </c>
      <c r="F7" s="2"/>
      <c r="G7" s="2"/>
      <c r="H7" s="2"/>
      <c r="I7" s="2"/>
      <c r="J7" s="2"/>
    </row>
    <row r="8" spans="1:10">
      <c r="A8" s="1" t="s">
        <v>152</v>
      </c>
      <c r="B8" s="2">
        <v>1500000</v>
      </c>
      <c r="C8" s="5"/>
      <c r="D8" s="47"/>
      <c r="E8" s="2">
        <v>5500</v>
      </c>
      <c r="F8" s="2"/>
      <c r="G8" s="2"/>
      <c r="H8" s="2"/>
      <c r="I8" s="2"/>
      <c r="J8" s="2"/>
    </row>
    <row r="9" spans="1:10">
      <c r="A9" s="1" t="s">
        <v>153</v>
      </c>
      <c r="B9" s="2">
        <v>2000000</v>
      </c>
      <c r="C9" s="5"/>
      <c r="D9" s="47"/>
      <c r="E9" s="2">
        <v>6000</v>
      </c>
      <c r="F9" s="2"/>
      <c r="G9" s="2"/>
      <c r="H9" s="2"/>
      <c r="I9" s="2"/>
      <c r="J9" s="2"/>
    </row>
    <row r="10" spans="1:10">
      <c r="A10" s="1" t="s">
        <v>52</v>
      </c>
      <c r="B10" s="2">
        <f>B5-SUM(B6:B9)</f>
        <v>2620000</v>
      </c>
      <c r="C10" s="5"/>
      <c r="D10" s="5"/>
      <c r="E10" s="5"/>
      <c r="F10" s="5"/>
      <c r="G10" s="7"/>
      <c r="H10" s="8"/>
      <c r="I10" s="8"/>
      <c r="J10" s="8"/>
    </row>
    <row r="11" spans="1:10">
      <c r="A11" s="5"/>
      <c r="B11" s="5"/>
      <c r="C11" s="5"/>
      <c r="D11" s="5"/>
      <c r="E11" s="5"/>
      <c r="F11" s="5"/>
      <c r="G11" s="7"/>
    </row>
    <row r="12" spans="1:10">
      <c r="A12" s="5"/>
      <c r="B12" s="5"/>
      <c r="C12" s="5"/>
      <c r="D12" s="5"/>
      <c r="E12" s="5"/>
      <c r="F12" s="5"/>
      <c r="G12" s="7"/>
    </row>
  </sheetData>
  <mergeCells count="3">
    <mergeCell ref="A2:B2"/>
    <mergeCell ref="F3:J3"/>
    <mergeCell ref="D5:D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5"/>
  <sheetViews>
    <sheetView workbookViewId="0"/>
  </sheetViews>
  <sheetFormatPr defaultRowHeight="16.5"/>
  <sheetData>
    <row r="1" spans="1:7" ht="20.25">
      <c r="A1" s="48" t="s">
        <v>70</v>
      </c>
      <c r="B1" s="48"/>
      <c r="C1" s="48"/>
      <c r="D1" s="48"/>
      <c r="E1" s="48"/>
      <c r="F1" s="48"/>
      <c r="G1" s="48"/>
    </row>
    <row r="3" spans="1:7">
      <c r="A3" s="1" t="s">
        <v>54</v>
      </c>
      <c r="B3" s="1" t="s">
        <v>56</v>
      </c>
      <c r="C3" s="1" t="s">
        <v>72</v>
      </c>
      <c r="D3" s="1" t="s">
        <v>71</v>
      </c>
      <c r="E3" s="1" t="s">
        <v>73</v>
      </c>
      <c r="F3" s="1" t="s">
        <v>69</v>
      </c>
      <c r="G3" s="1" t="s">
        <v>55</v>
      </c>
    </row>
    <row r="4" spans="1:7">
      <c r="A4" s="1">
        <v>2024001</v>
      </c>
      <c r="B4" s="1" t="s">
        <v>57</v>
      </c>
      <c r="C4" s="1">
        <v>58</v>
      </c>
      <c r="D4" s="1">
        <v>24</v>
      </c>
      <c r="E4" s="1">
        <v>60</v>
      </c>
      <c r="F4" s="1">
        <v>6</v>
      </c>
      <c r="G4" s="1"/>
    </row>
    <row r="5" spans="1:7">
      <c r="A5" s="1">
        <v>2024002</v>
      </c>
      <c r="B5" s="1" t="s">
        <v>58</v>
      </c>
      <c r="C5" s="1">
        <v>60</v>
      </c>
      <c r="D5" s="1">
        <v>26</v>
      </c>
      <c r="E5" s="1">
        <v>58</v>
      </c>
      <c r="F5" s="1">
        <v>8</v>
      </c>
      <c r="G5" s="1"/>
    </row>
    <row r="6" spans="1:7">
      <c r="A6" s="1">
        <v>2024003</v>
      </c>
      <c r="B6" s="1" t="s">
        <v>59</v>
      </c>
      <c r="C6" s="1">
        <v>34</v>
      </c>
      <c r="D6" s="1">
        <v>28</v>
      </c>
      <c r="E6" s="1">
        <v>52</v>
      </c>
      <c r="F6" s="1">
        <v>10</v>
      </c>
      <c r="G6" s="1"/>
    </row>
    <row r="7" spans="1:7">
      <c r="A7" s="1">
        <v>2024004</v>
      </c>
      <c r="B7" s="1" t="s">
        <v>60</v>
      </c>
      <c r="C7" s="1">
        <v>56</v>
      </c>
      <c r="D7" s="1">
        <v>25</v>
      </c>
      <c r="E7" s="1">
        <v>54</v>
      </c>
      <c r="F7" s="1">
        <v>8</v>
      </c>
      <c r="G7" s="1"/>
    </row>
    <row r="8" spans="1:7">
      <c r="A8" s="1">
        <v>2024005</v>
      </c>
      <c r="B8" s="1" t="s">
        <v>61</v>
      </c>
      <c r="C8" s="1">
        <v>56</v>
      </c>
      <c r="D8" s="1">
        <v>18</v>
      </c>
      <c r="E8" s="1">
        <v>56</v>
      </c>
      <c r="F8" s="1">
        <v>9</v>
      </c>
      <c r="G8" s="1"/>
    </row>
    <row r="9" spans="1:7">
      <c r="A9" s="1">
        <v>2024006</v>
      </c>
      <c r="B9" s="1" t="s">
        <v>62</v>
      </c>
      <c r="C9" s="1">
        <v>48</v>
      </c>
      <c r="D9" s="1">
        <v>16</v>
      </c>
      <c r="E9" s="1">
        <v>30</v>
      </c>
      <c r="F9" s="1">
        <v>7</v>
      </c>
      <c r="G9" s="1"/>
    </row>
    <row r="10" spans="1:7">
      <c r="A10" s="1">
        <v>2024007</v>
      </c>
      <c r="B10" s="1" t="s">
        <v>63</v>
      </c>
      <c r="C10" s="1">
        <v>52</v>
      </c>
      <c r="D10" s="1">
        <v>30</v>
      </c>
      <c r="E10" s="1">
        <v>58</v>
      </c>
      <c r="F10" s="1">
        <v>9</v>
      </c>
      <c r="G10" s="1"/>
    </row>
    <row r="11" spans="1:7">
      <c r="A11" s="1">
        <v>2024008</v>
      </c>
      <c r="B11" s="1" t="s">
        <v>64</v>
      </c>
      <c r="C11" s="1">
        <v>51</v>
      </c>
      <c r="D11" s="1">
        <v>26</v>
      </c>
      <c r="E11" s="1">
        <v>57</v>
      </c>
      <c r="F11" s="1">
        <v>5</v>
      </c>
      <c r="G11" s="1"/>
    </row>
    <row r="12" spans="1:7">
      <c r="A12" s="1">
        <v>2024009</v>
      </c>
      <c r="B12" s="1" t="s">
        <v>65</v>
      </c>
      <c r="C12" s="1">
        <v>38</v>
      </c>
      <c r="D12" s="1">
        <v>25</v>
      </c>
      <c r="E12" s="1">
        <v>60</v>
      </c>
      <c r="F12" s="1">
        <v>8</v>
      </c>
      <c r="G12" s="1"/>
    </row>
    <row r="13" spans="1:7">
      <c r="A13" s="1">
        <v>2024010</v>
      </c>
      <c r="B13" s="1" t="s">
        <v>66</v>
      </c>
      <c r="C13" s="1">
        <v>57</v>
      </c>
      <c r="D13" s="1">
        <v>22</v>
      </c>
      <c r="E13" s="1">
        <v>57</v>
      </c>
      <c r="F13" s="1">
        <v>7</v>
      </c>
      <c r="G13" s="1"/>
    </row>
    <row r="14" spans="1:7">
      <c r="A14" s="1">
        <v>2024011</v>
      </c>
      <c r="B14" s="1" t="s">
        <v>67</v>
      </c>
      <c r="C14" s="1">
        <v>36</v>
      </c>
      <c r="D14" s="1">
        <v>27</v>
      </c>
      <c r="E14" s="1">
        <v>38</v>
      </c>
      <c r="F14" s="1">
        <v>9</v>
      </c>
      <c r="G14" s="1"/>
    </row>
    <row r="15" spans="1:7">
      <c r="A15" s="1">
        <v>2024012</v>
      </c>
      <c r="B15" s="1" t="s">
        <v>68</v>
      </c>
      <c r="C15" s="1">
        <v>50</v>
      </c>
      <c r="D15" s="1">
        <v>16</v>
      </c>
      <c r="E15" s="1">
        <v>48</v>
      </c>
      <c r="F15" s="1">
        <v>10</v>
      </c>
      <c r="G15" s="1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8"/>
  <sheetViews>
    <sheetView workbookViewId="0"/>
  </sheetViews>
  <sheetFormatPr defaultRowHeight="16.5"/>
  <cols>
    <col min="1" max="1" width="10.375" bestFit="1" customWidth="1"/>
    <col min="2" max="3" width="10.625" bestFit="1" customWidth="1"/>
  </cols>
  <sheetData>
    <row r="1" spans="1:3">
      <c r="A1" t="s">
        <v>154</v>
      </c>
    </row>
    <row r="2" spans="1:3" s="8" customFormat="1"/>
    <row r="3" spans="1:3">
      <c r="A3" s="1" t="s">
        <v>0</v>
      </c>
      <c r="B3" s="1" t="s">
        <v>1</v>
      </c>
      <c r="C3" s="1" t="s">
        <v>2</v>
      </c>
    </row>
    <row r="4" spans="1:3">
      <c r="A4" s="1" t="s">
        <v>3</v>
      </c>
      <c r="B4" s="2">
        <v>2350000</v>
      </c>
      <c r="C4" s="2">
        <f>IF(B4&gt;=2000000,B4*85%,B4*90%)</f>
        <v>1997500</v>
      </c>
    </row>
    <row r="5" spans="1:3">
      <c r="A5" s="1" t="s">
        <v>4</v>
      </c>
      <c r="B5" s="2">
        <v>1300000</v>
      </c>
      <c r="C5" s="2">
        <v>1031300</v>
      </c>
    </row>
    <row r="6" spans="1:3">
      <c r="A6" s="1" t="s">
        <v>5</v>
      </c>
      <c r="B6" s="2">
        <v>1800000</v>
      </c>
      <c r="C6" s="2">
        <v>1475600</v>
      </c>
    </row>
    <row r="7" spans="1:3">
      <c r="A7" s="1" t="s">
        <v>6</v>
      </c>
      <c r="B7" s="2">
        <v>3540000</v>
      </c>
      <c r="C7" s="2">
        <f t="shared" ref="C7" si="0">IF(B7&gt;=2000000,B7*85%,B7*90%)</f>
        <v>3009000</v>
      </c>
    </row>
    <row r="8" spans="1:3">
      <c r="A8" s="1" t="s">
        <v>7</v>
      </c>
      <c r="B8" s="2">
        <v>2500000</v>
      </c>
      <c r="C8" s="2">
        <v>2181900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2023-07-31T09:34:23Z</dcterms:modified>
</cp:coreProperties>
</file>