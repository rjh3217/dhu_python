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/>
  <mc:AlternateContent xmlns:mc="http://schemas.openxmlformats.org/markup-compatibility/2006">
    <mc:Choice Requires="x15">
      <x15ac:absPath xmlns:x15ac="http://schemas.microsoft.com/office/spreadsheetml/2010/11/ac" url="E:\영진(2024년)\2급\상시공략집\2024컴활2급(상시)\상시공략문제\"/>
    </mc:Choice>
  </mc:AlternateContent>
  <xr:revisionPtr revIDLastSave="0" documentId="13_ncr:1_{F746FABD-E1B4-4A7F-9FB5-8800DA04AD64}" xr6:coauthVersionLast="47" xr6:coauthVersionMax="47" xr10:uidLastSave="{00000000-0000-0000-0000-000000000000}"/>
  <bookViews>
    <workbookView xWindow="19740" yWindow="945" windowWidth="18765" windowHeight="14520" tabRatio="818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5" i="4" l="1"/>
  <c r="D24" i="4"/>
  <c r="M23" i="4"/>
  <c r="D23" i="4"/>
  <c r="M22" i="4"/>
  <c r="D22" i="4"/>
  <c r="M21" i="4"/>
  <c r="D21" i="4"/>
  <c r="M20" i="4"/>
  <c r="D20" i="4"/>
  <c r="M19" i="4"/>
  <c r="D19" i="4"/>
  <c r="M18" i="4"/>
  <c r="D18" i="4"/>
  <c r="M17" i="4"/>
  <c r="D17" i="4"/>
  <c r="M16" i="4"/>
  <c r="D16" i="4"/>
  <c r="F3" i="6" l="1"/>
  <c r="F4" i="6"/>
  <c r="F5" i="6"/>
  <c r="F6" i="6"/>
  <c r="F7" i="6"/>
  <c r="F8" i="6"/>
  <c r="F9" i="6"/>
  <c r="F10" i="6"/>
  <c r="F11" i="6"/>
  <c r="F15" i="6"/>
  <c r="F16" i="6"/>
  <c r="F17" i="6"/>
  <c r="F18" i="6"/>
  <c r="F19" i="6"/>
  <c r="F20" i="6"/>
  <c r="F21" i="6"/>
  <c r="F22" i="6"/>
  <c r="F23" i="6"/>
</calcChain>
</file>

<file path=xl/sharedStrings.xml><?xml version="1.0" encoding="utf-8"?>
<sst xmlns="http://schemas.openxmlformats.org/spreadsheetml/2006/main" count="435" uniqueCount="328">
  <si>
    <t>수입/수출 현황</t>
    <phoneticPr fontId="1" type="noConversion"/>
  </si>
  <si>
    <t>월</t>
    <phoneticPr fontId="1" type="noConversion"/>
  </si>
  <si>
    <t>수출액</t>
    <phoneticPr fontId="1" type="noConversion"/>
  </si>
  <si>
    <t>수입액</t>
    <phoneticPr fontId="1" type="noConversion"/>
  </si>
  <si>
    <t>1월</t>
    <phoneticPr fontId="1" type="noConversion"/>
  </si>
  <si>
    <t>2월</t>
    <phoneticPr fontId="1" type="noConversion"/>
  </si>
  <si>
    <t>3월</t>
    <phoneticPr fontId="1" type="noConversion"/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</si>
  <si>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</si>
  <si>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</si>
  <si>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</si>
  <si>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</si>
  <si>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</si>
  <si>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</si>
  <si>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</si>
  <si>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</si>
  <si>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</si>
  <si>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농가 산지직송</t>
    <phoneticPr fontId="1" type="noConversion"/>
  </si>
  <si>
    <t>번호</t>
    <phoneticPr fontId="1" type="noConversion"/>
  </si>
  <si>
    <t>A/S 지점</t>
    <phoneticPr fontId="1" type="noConversion"/>
  </si>
  <si>
    <t>이름</t>
    <phoneticPr fontId="1" type="noConversion"/>
  </si>
  <si>
    <t>부서</t>
    <phoneticPr fontId="1" type="noConversion"/>
  </si>
  <si>
    <t>제품코드</t>
    <phoneticPr fontId="1" type="noConversion"/>
  </si>
  <si>
    <t>제품종류</t>
    <phoneticPr fontId="1" type="noConversion"/>
  </si>
  <si>
    <t>총금액</t>
    <phoneticPr fontId="1" type="noConversion"/>
  </si>
  <si>
    <t>부산점</t>
  </si>
  <si>
    <t>김병준</t>
  </si>
  <si>
    <t>지원팀</t>
    <phoneticPr fontId="5" type="noConversion"/>
  </si>
  <si>
    <t>A210</t>
    <phoneticPr fontId="5" type="noConversion"/>
  </si>
  <si>
    <t>본체</t>
  </si>
  <si>
    <t>박정현</t>
  </si>
  <si>
    <t>네트워크팀</t>
    <phoneticPr fontId="5" type="noConversion"/>
  </si>
  <si>
    <t>T120</t>
    <phoneticPr fontId="5" type="noConversion"/>
  </si>
  <si>
    <t>네트워크장비</t>
  </si>
  <si>
    <t>서울점</t>
  </si>
  <si>
    <t>이연기</t>
  </si>
  <si>
    <t>기술팀</t>
    <phoneticPr fontId="5" type="noConversion"/>
  </si>
  <si>
    <t>M502</t>
    <phoneticPr fontId="5" type="noConversion"/>
  </si>
  <si>
    <t>모니터</t>
  </si>
  <si>
    <t>이선남</t>
  </si>
  <si>
    <t>P143</t>
    <phoneticPr fontId="5" type="noConversion"/>
  </si>
  <si>
    <t>주변기기</t>
  </si>
  <si>
    <t>윤성호</t>
  </si>
  <si>
    <t>기술팀</t>
    <phoneticPr fontId="5" type="noConversion"/>
  </si>
  <si>
    <t>장동수</t>
  </si>
  <si>
    <t>본체</t>
    <phoneticPr fontId="5" type="noConversion"/>
  </si>
  <si>
    <t>세종점</t>
    <phoneticPr fontId="1" type="noConversion"/>
  </si>
  <si>
    <t>김명희</t>
  </si>
  <si>
    <t>T320</t>
    <phoneticPr fontId="5" type="noConversion"/>
  </si>
  <si>
    <t>세종점</t>
  </si>
  <si>
    <t>A210</t>
    <phoneticPr fontId="5" type="noConversion"/>
  </si>
  <si>
    <t>모니터</t>
    <phoneticPr fontId="5" type="noConversion"/>
  </si>
  <si>
    <t>이수해</t>
  </si>
  <si>
    <t>M502</t>
    <phoneticPr fontId="5" type="noConversion"/>
  </si>
  <si>
    <t>이인균</t>
  </si>
  <si>
    <t>지원팀</t>
    <phoneticPr fontId="5" type="noConversion"/>
  </si>
  <si>
    <t>M510</t>
    <phoneticPr fontId="5" type="noConversion"/>
  </si>
  <si>
    <t>권미숙</t>
  </si>
  <si>
    <t>P148</t>
    <phoneticPr fontId="5" type="noConversion"/>
  </si>
  <si>
    <t>부산점</t>
    <phoneticPr fontId="5" type="noConversion"/>
  </si>
  <si>
    <t>나관주</t>
  </si>
  <si>
    <t>T128</t>
    <phoneticPr fontId="5" type="noConversion"/>
  </si>
  <si>
    <t>본체</t>
    <phoneticPr fontId="5" type="noConversion"/>
  </si>
  <si>
    <t>256GB</t>
    <phoneticPr fontId="1" type="noConversion"/>
  </si>
  <si>
    <t>태블릿</t>
    <phoneticPr fontId="1" type="noConversion"/>
  </si>
  <si>
    <t>APad-1304</t>
    <phoneticPr fontId="1" type="noConversion"/>
  </si>
  <si>
    <t>128GB</t>
    <phoneticPr fontId="1" type="noConversion"/>
  </si>
  <si>
    <t>APad-0704</t>
    <phoneticPr fontId="1" type="noConversion"/>
  </si>
  <si>
    <t>128GB</t>
    <phoneticPr fontId="1" type="noConversion"/>
  </si>
  <si>
    <t>태블릿</t>
    <phoneticPr fontId="1" type="noConversion"/>
  </si>
  <si>
    <t>APad-1104</t>
    <phoneticPr fontId="1" type="noConversion"/>
  </si>
  <si>
    <t>64GB</t>
    <phoneticPr fontId="1" type="noConversion"/>
  </si>
  <si>
    <t>워치</t>
    <phoneticPr fontId="1" type="noConversion"/>
  </si>
  <si>
    <t>워치</t>
    <phoneticPr fontId="1" type="noConversion"/>
  </si>
  <si>
    <t>AP40-64GB</t>
    <phoneticPr fontId="1" type="noConversion"/>
  </si>
  <si>
    <t>16GB</t>
    <phoneticPr fontId="1" type="noConversion"/>
  </si>
  <si>
    <t>AP44-16GB</t>
    <phoneticPr fontId="1" type="noConversion"/>
  </si>
  <si>
    <t>32GB</t>
    <phoneticPr fontId="1" type="noConversion"/>
  </si>
  <si>
    <t>AP40-32GB</t>
    <phoneticPr fontId="1" type="noConversion"/>
  </si>
  <si>
    <t>32GB</t>
    <phoneticPr fontId="1" type="noConversion"/>
  </si>
  <si>
    <t>노트북</t>
    <phoneticPr fontId="1" type="noConversion"/>
  </si>
  <si>
    <t>ABuk-17IN</t>
    <phoneticPr fontId="1" type="noConversion"/>
  </si>
  <si>
    <t>16GB</t>
    <phoneticPr fontId="1" type="noConversion"/>
  </si>
  <si>
    <t>노트북</t>
    <phoneticPr fontId="1" type="noConversion"/>
  </si>
  <si>
    <t>ABuk-13IN</t>
    <phoneticPr fontId="1" type="noConversion"/>
  </si>
  <si>
    <t>노트북</t>
    <phoneticPr fontId="1" type="noConversion"/>
  </si>
  <si>
    <t>ABuk-15IN</t>
    <phoneticPr fontId="1" type="noConversion"/>
  </si>
  <si>
    <t>매출액</t>
    <phoneticPr fontId="1" type="noConversion"/>
  </si>
  <si>
    <t>판매량</t>
    <phoneticPr fontId="1" type="noConversion"/>
  </si>
  <si>
    <t>가격</t>
    <phoneticPr fontId="1" type="noConversion"/>
  </si>
  <si>
    <t>메모리</t>
    <phoneticPr fontId="1" type="noConversion"/>
  </si>
  <si>
    <t>기기종류</t>
    <phoneticPr fontId="1" type="noConversion"/>
  </si>
  <si>
    <t>제품코드</t>
    <phoneticPr fontId="1" type="noConversion"/>
  </si>
  <si>
    <t>[표2] 어플전자 판매현황</t>
    <phoneticPr fontId="8" type="noConversion"/>
  </si>
  <si>
    <t>GTab-S604</t>
    <phoneticPr fontId="1" type="noConversion"/>
  </si>
  <si>
    <t>GTab-S804</t>
    <phoneticPr fontId="1" type="noConversion"/>
  </si>
  <si>
    <t>GTab-S404</t>
    <phoneticPr fontId="1" type="noConversion"/>
  </si>
  <si>
    <t>64GB</t>
    <phoneticPr fontId="1" type="noConversion"/>
  </si>
  <si>
    <t>GW44-64GB</t>
    <phoneticPr fontId="1" type="noConversion"/>
  </si>
  <si>
    <t>32GB</t>
    <phoneticPr fontId="1" type="noConversion"/>
  </si>
  <si>
    <t>GW40-32GB</t>
    <phoneticPr fontId="1" type="noConversion"/>
  </si>
  <si>
    <t>GW44-16GB</t>
    <phoneticPr fontId="1" type="noConversion"/>
  </si>
  <si>
    <t>노트북</t>
    <phoneticPr fontId="8" type="noConversion"/>
  </si>
  <si>
    <t>GBuk-15IN</t>
    <phoneticPr fontId="1" type="noConversion"/>
  </si>
  <si>
    <t>태블릿</t>
    <phoneticPr fontId="8" type="noConversion"/>
  </si>
  <si>
    <t>GBuk-15FL</t>
    <phoneticPr fontId="1" type="noConversion"/>
  </si>
  <si>
    <t>워치</t>
    <phoneticPr fontId="8" type="noConversion"/>
  </si>
  <si>
    <t>8GB</t>
    <phoneticPr fontId="1" type="noConversion"/>
  </si>
  <si>
    <t>GBuk-13IN</t>
    <phoneticPr fontId="1" type="noConversion"/>
  </si>
  <si>
    <t>매출액</t>
    <phoneticPr fontId="8" type="noConversion"/>
  </si>
  <si>
    <t>판매량</t>
    <phoneticPr fontId="8" type="noConversion"/>
  </si>
  <si>
    <t>매출액</t>
    <phoneticPr fontId="1" type="noConversion"/>
  </si>
  <si>
    <t>판매량</t>
    <phoneticPr fontId="1" type="noConversion"/>
  </si>
  <si>
    <t>[표1] 겔럭시전자 판매현황</t>
    <phoneticPr fontId="8" type="noConversion"/>
  </si>
  <si>
    <t>[표3] 기기종류별 평균</t>
    <phoneticPr fontId="8" type="noConversion"/>
  </si>
  <si>
    <t>전자제품 판매 현황</t>
    <phoneticPr fontId="1" type="noConversion"/>
  </si>
  <si>
    <t>제품명</t>
    <phoneticPr fontId="1" type="noConversion"/>
  </si>
  <si>
    <t>매입가</t>
    <phoneticPr fontId="1" type="noConversion"/>
  </si>
  <si>
    <t>매입이익</t>
    <phoneticPr fontId="1" type="noConversion"/>
  </si>
  <si>
    <t>판매가</t>
    <phoneticPr fontId="1" type="noConversion"/>
  </si>
  <si>
    <t>판매이익</t>
    <phoneticPr fontId="1" type="noConversion"/>
  </si>
  <si>
    <t>이익합계</t>
    <phoneticPr fontId="1" type="noConversion"/>
  </si>
  <si>
    <t>TV</t>
    <phoneticPr fontId="1" type="noConversion"/>
  </si>
  <si>
    <t>스마트폰</t>
    <phoneticPr fontId="1" type="noConversion"/>
  </si>
  <si>
    <t>태블릿</t>
  </si>
  <si>
    <t>지점별 A/S 처리 현황</t>
    <phoneticPr fontId="1" type="noConversion"/>
  </si>
  <si>
    <t>상공회원 관리현황</t>
    <phoneticPr fontId="1" type="noConversion"/>
  </si>
  <si>
    <t>회원코드</t>
  </si>
  <si>
    <t>성명</t>
    <phoneticPr fontId="1" type="noConversion"/>
  </si>
  <si>
    <t>성별</t>
  </si>
  <si>
    <t>가입년도</t>
  </si>
  <si>
    <t>거주지역</t>
  </si>
  <si>
    <t>참여횟수</t>
  </si>
  <si>
    <t>납부회비</t>
  </si>
  <si>
    <t>회원등급</t>
  </si>
  <si>
    <t>YJ-1005</t>
  </si>
  <si>
    <t>홍서우</t>
    <phoneticPr fontId="1" type="noConversion"/>
  </si>
  <si>
    <t>남</t>
    <phoneticPr fontId="1" type="noConversion"/>
  </si>
  <si>
    <t>우면동</t>
  </si>
  <si>
    <t>일반</t>
  </si>
  <si>
    <t>YJ-1009</t>
  </si>
  <si>
    <t>박서은</t>
    <phoneticPr fontId="1" type="noConversion"/>
  </si>
  <si>
    <t>여</t>
    <phoneticPr fontId="1" type="noConversion"/>
  </si>
  <si>
    <t>실버</t>
  </si>
  <si>
    <t>YJ-1007</t>
  </si>
  <si>
    <t>최유라</t>
    <phoneticPr fontId="1" type="noConversion"/>
  </si>
  <si>
    <t>여</t>
    <phoneticPr fontId="1" type="noConversion"/>
  </si>
  <si>
    <t>대치동</t>
  </si>
  <si>
    <t>골드</t>
  </si>
  <si>
    <t>YJ-1003</t>
  </si>
  <si>
    <t>이주아</t>
    <phoneticPr fontId="1" type="noConversion"/>
  </si>
  <si>
    <t>YJ-1010</t>
  </si>
  <si>
    <t>박민형</t>
    <phoneticPr fontId="1" type="noConversion"/>
  </si>
  <si>
    <t>남</t>
    <phoneticPr fontId="1" type="noConversion"/>
  </si>
  <si>
    <t>YJ-1001</t>
  </si>
  <si>
    <t>이윤경</t>
    <phoneticPr fontId="1" type="noConversion"/>
  </si>
  <si>
    <t>도곡동</t>
  </si>
  <si>
    <t>YJ-1008</t>
  </si>
  <si>
    <t>장인혜</t>
    <phoneticPr fontId="1" type="noConversion"/>
  </si>
  <si>
    <t>YJ-1011</t>
  </si>
  <si>
    <t>김남우</t>
    <phoneticPr fontId="1" type="noConversion"/>
  </si>
  <si>
    <t>YJ-1006</t>
  </si>
  <si>
    <t>이도원</t>
    <phoneticPr fontId="1" type="noConversion"/>
  </si>
  <si>
    <t>방배동</t>
  </si>
  <si>
    <t>YJ-1012</t>
  </si>
  <si>
    <t>윤수빈</t>
    <phoneticPr fontId="1" type="noConversion"/>
  </si>
  <si>
    <t>YJ-1002</t>
  </si>
  <si>
    <t>김민성</t>
    <phoneticPr fontId="1" type="noConversion"/>
  </si>
  <si>
    <t>YJ-1004</t>
  </si>
  <si>
    <t>최민서</t>
    <phoneticPr fontId="1" type="noConversion"/>
  </si>
  <si>
    <t>YJ-1013</t>
  </si>
  <si>
    <t>김규림</t>
    <phoneticPr fontId="1" type="noConversion"/>
  </si>
  <si>
    <t>연령별 성별 인기 웹툰</t>
    <phoneticPr fontId="1" type="noConversion"/>
  </si>
  <si>
    <t>웹툰 제목</t>
    <phoneticPr fontId="1" type="noConversion"/>
  </si>
  <si>
    <t>대상</t>
    <phoneticPr fontId="1" type="noConversion"/>
  </si>
  <si>
    <t>작가명</t>
    <phoneticPr fontId="1" type="noConversion"/>
  </si>
  <si>
    <t>별점</t>
    <phoneticPr fontId="1" type="noConversion"/>
  </si>
  <si>
    <t>장르</t>
    <phoneticPr fontId="1" type="noConversion"/>
  </si>
  <si>
    <t>요일</t>
    <phoneticPr fontId="1" type="noConversion"/>
  </si>
  <si>
    <t>독립일기</t>
    <phoneticPr fontId="1" type="noConversion"/>
  </si>
  <si>
    <t>10대여자</t>
    <phoneticPr fontId="1" type="noConversion"/>
  </si>
  <si>
    <t>자까</t>
    <phoneticPr fontId="1" type="noConversion"/>
  </si>
  <si>
    <t>일상</t>
    <phoneticPr fontId="1" type="noConversion"/>
  </si>
  <si>
    <t>목요</t>
    <phoneticPr fontId="1" type="noConversion"/>
  </si>
  <si>
    <t>하루만 네가 되고 싶어</t>
    <phoneticPr fontId="1" type="noConversion"/>
  </si>
  <si>
    <t>삼</t>
    <phoneticPr fontId="1" type="noConversion"/>
  </si>
  <si>
    <t>순정</t>
    <phoneticPr fontId="1" type="noConversion"/>
  </si>
  <si>
    <t>화요</t>
    <phoneticPr fontId="1" type="noConversion"/>
  </si>
  <si>
    <t>전지적 독자 시점</t>
    <phoneticPr fontId="1" type="noConversion"/>
  </si>
  <si>
    <t>10대여자</t>
    <phoneticPr fontId="1" type="noConversion"/>
  </si>
  <si>
    <t>싱숑,슬리피-C</t>
    <phoneticPr fontId="1" type="noConversion"/>
  </si>
  <si>
    <t>판타지</t>
    <phoneticPr fontId="1" type="noConversion"/>
  </si>
  <si>
    <t>수요</t>
    <phoneticPr fontId="1" type="noConversion"/>
  </si>
  <si>
    <t>싸움독학</t>
    <phoneticPr fontId="1" type="noConversion"/>
  </si>
  <si>
    <t>10대남자</t>
    <phoneticPr fontId="1" type="noConversion"/>
  </si>
  <si>
    <t>박태준/김정</t>
    <phoneticPr fontId="1" type="noConversion"/>
  </si>
  <si>
    <t>액션</t>
    <phoneticPr fontId="1" type="noConversion"/>
  </si>
  <si>
    <t>일요</t>
    <phoneticPr fontId="1" type="noConversion"/>
  </si>
  <si>
    <t>이번 생도 잘 부탁해</t>
    <phoneticPr fontId="1" type="noConversion"/>
  </si>
  <si>
    <t>20대여자</t>
    <phoneticPr fontId="1" type="noConversion"/>
  </si>
  <si>
    <t>이혜</t>
    <phoneticPr fontId="1" type="noConversion"/>
  </si>
  <si>
    <t>로맨스</t>
    <phoneticPr fontId="1" type="noConversion"/>
  </si>
  <si>
    <t>일요</t>
    <phoneticPr fontId="1" type="noConversion"/>
  </si>
  <si>
    <t>무서운게 딱 좋아!</t>
    <phoneticPr fontId="1" type="noConversion"/>
  </si>
  <si>
    <t>20대여자</t>
    <phoneticPr fontId="1" type="noConversion"/>
  </si>
  <si>
    <t>이동규</t>
    <phoneticPr fontId="1" type="noConversion"/>
  </si>
  <si>
    <t>스릴러</t>
    <phoneticPr fontId="1" type="noConversion"/>
  </si>
  <si>
    <t>수요</t>
    <phoneticPr fontId="1" type="noConversion"/>
  </si>
  <si>
    <t>입학용병</t>
    <phoneticPr fontId="1" type="noConversion"/>
  </si>
  <si>
    <t>20대남자</t>
    <phoneticPr fontId="1" type="noConversion"/>
  </si>
  <si>
    <t>YC/락현</t>
    <phoneticPr fontId="1" type="noConversion"/>
  </si>
  <si>
    <t>액션</t>
    <phoneticPr fontId="1" type="noConversion"/>
  </si>
  <si>
    <t>일요</t>
    <phoneticPr fontId="1" type="noConversion"/>
  </si>
  <si>
    <t>약한영웅</t>
    <phoneticPr fontId="1" type="noConversion"/>
  </si>
  <si>
    <t>30대남자</t>
    <phoneticPr fontId="1" type="noConversion"/>
  </si>
  <si>
    <t>서패스/김진석</t>
    <phoneticPr fontId="1" type="noConversion"/>
  </si>
  <si>
    <t>액션</t>
    <phoneticPr fontId="1" type="noConversion"/>
  </si>
  <si>
    <t>[표1]</t>
    <phoneticPr fontId="1" type="noConversion"/>
  </si>
  <si>
    <t>상공자격증 시험결과</t>
    <phoneticPr fontId="1" type="noConversion"/>
  </si>
  <si>
    <t>[표2]</t>
    <phoneticPr fontId="1" type="noConversion"/>
  </si>
  <si>
    <t>조별 점수 현황</t>
    <phoneticPr fontId="1" type="noConversion"/>
  </si>
  <si>
    <t>성명</t>
    <phoneticPr fontId="1" type="noConversion"/>
  </si>
  <si>
    <t>성별</t>
    <phoneticPr fontId="1" type="noConversion"/>
  </si>
  <si>
    <t>필기</t>
    <phoneticPr fontId="1" type="noConversion"/>
  </si>
  <si>
    <t>실기</t>
    <phoneticPr fontId="1" type="noConversion"/>
  </si>
  <si>
    <t>결과</t>
    <phoneticPr fontId="1" type="noConversion"/>
  </si>
  <si>
    <t>조</t>
    <phoneticPr fontId="1" type="noConversion"/>
  </si>
  <si>
    <t>점수</t>
    <phoneticPr fontId="1" type="noConversion"/>
  </si>
  <si>
    <t>박미진</t>
  </si>
  <si>
    <t>여</t>
    <phoneticPr fontId="1" type="noConversion"/>
  </si>
  <si>
    <t>여</t>
    <phoneticPr fontId="1" type="noConversion"/>
  </si>
  <si>
    <t>채윤병</t>
  </si>
  <si>
    <t>A조</t>
    <phoneticPr fontId="1" type="noConversion"/>
  </si>
  <si>
    <t>노국희</t>
  </si>
  <si>
    <t>여</t>
    <phoneticPr fontId="1" type="noConversion"/>
  </si>
  <si>
    <t>이재진</t>
  </si>
  <si>
    <t>C조</t>
    <phoneticPr fontId="1" type="noConversion"/>
  </si>
  <si>
    <t>김윤경</t>
  </si>
  <si>
    <t>이세범</t>
  </si>
  <si>
    <t>강석중</t>
  </si>
  <si>
    <t>김주희</t>
  </si>
  <si>
    <t>B조</t>
    <phoneticPr fontId="1" type="noConversion"/>
  </si>
  <si>
    <t>B조</t>
    <phoneticPr fontId="1" type="noConversion"/>
  </si>
  <si>
    <t>조</t>
    <phoneticPr fontId="1" type="noConversion"/>
  </si>
  <si>
    <t>점수합계</t>
    <phoneticPr fontId="1" type="noConversion"/>
  </si>
  <si>
    <t>노성일</t>
  </si>
  <si>
    <t>남</t>
    <phoneticPr fontId="1" type="noConversion"/>
  </si>
  <si>
    <t>송은희</t>
  </si>
  <si>
    <t>C조</t>
    <phoneticPr fontId="1" type="noConversion"/>
  </si>
  <si>
    <t>A조</t>
    <phoneticPr fontId="1" type="noConversion"/>
  </si>
  <si>
    <t>이민환</t>
  </si>
  <si>
    <t>이보라</t>
  </si>
  <si>
    <t>박출하</t>
  </si>
  <si>
    <t>김현희</t>
  </si>
  <si>
    <t>C조</t>
    <phoneticPr fontId="1" type="noConversion"/>
  </si>
  <si>
    <t>박명순</t>
  </si>
  <si>
    <t>김지현</t>
  </si>
  <si>
    <t>백수진</t>
  </si>
  <si>
    <t>조서연</t>
    <phoneticPr fontId="1" type="noConversion"/>
  </si>
  <si>
    <t>오동석</t>
  </si>
  <si>
    <t xml:space="preserve">[표3] </t>
  </si>
  <si>
    <t>수학/과학 경시대회 결과</t>
    <phoneticPr fontId="1" type="noConversion"/>
  </si>
  <si>
    <t>[표4]</t>
    <phoneticPr fontId="1" type="noConversion"/>
  </si>
  <si>
    <t>월간평가표</t>
    <phoneticPr fontId="1" type="noConversion"/>
  </si>
  <si>
    <t>성명</t>
  </si>
  <si>
    <t>수학</t>
    <phoneticPr fontId="1" type="noConversion"/>
  </si>
  <si>
    <t>과학</t>
    <phoneticPr fontId="1" type="noConversion"/>
  </si>
  <si>
    <t>총점</t>
  </si>
  <si>
    <t>성적 우수자 평균</t>
    <phoneticPr fontId="1" type="noConversion"/>
  </si>
  <si>
    <t>사원명</t>
    <phoneticPr fontId="1" type="noConversion"/>
  </si>
  <si>
    <t>소속팀</t>
    <phoneticPr fontId="1" type="noConversion"/>
  </si>
  <si>
    <t>근태</t>
    <phoneticPr fontId="1" type="noConversion"/>
  </si>
  <si>
    <t>업무수행</t>
    <phoneticPr fontId="1" type="noConversion"/>
  </si>
  <si>
    <t>실적</t>
    <phoneticPr fontId="1" type="noConversion"/>
  </si>
  <si>
    <t>신현준</t>
    <phoneticPr fontId="1" type="noConversion"/>
  </si>
  <si>
    <t>오민수</t>
  </si>
  <si>
    <t>영업</t>
    <phoneticPr fontId="1" type="noConversion"/>
  </si>
  <si>
    <t>영업</t>
    <phoneticPr fontId="1" type="noConversion"/>
  </si>
  <si>
    <t>오금영</t>
    <phoneticPr fontId="1" type="noConversion"/>
  </si>
  <si>
    <t>정지영</t>
  </si>
  <si>
    <t>생산</t>
    <phoneticPr fontId="1" type="noConversion"/>
  </si>
  <si>
    <t>마영석</t>
    <phoneticPr fontId="1" type="noConversion"/>
  </si>
  <si>
    <t>남궁연</t>
  </si>
  <si>
    <t>홍지수</t>
  </si>
  <si>
    <t>백수희</t>
    <phoneticPr fontId="1" type="noConversion"/>
  </si>
  <si>
    <t>이영훈</t>
    <phoneticPr fontId="1" type="noConversion"/>
  </si>
  <si>
    <t>서은혁</t>
  </si>
  <si>
    <t>유인상</t>
  </si>
  <si>
    <t>강이수</t>
  </si>
  <si>
    <t>생산</t>
    <phoneticPr fontId="1" type="noConversion"/>
  </si>
  <si>
    <t>박주희</t>
  </si>
  <si>
    <t>신경숙</t>
  </si>
  <si>
    <t>최철희</t>
  </si>
  <si>
    <t>이문영</t>
  </si>
  <si>
    <t>생산</t>
    <phoneticPr fontId="1" type="noConversion"/>
  </si>
  <si>
    <t>박신희</t>
  </si>
  <si>
    <t>영업팀의 총점 평균</t>
    <phoneticPr fontId="1" type="noConversion"/>
  </si>
  <si>
    <t>고준서</t>
    <phoneticPr fontId="1" type="noConversion"/>
  </si>
  <si>
    <t>[표5]</t>
    <phoneticPr fontId="1" type="noConversion"/>
  </si>
  <si>
    <t>사원현황</t>
    <phoneticPr fontId="1" type="noConversion"/>
  </si>
  <si>
    <t>소속팀</t>
    <phoneticPr fontId="1" type="noConversion"/>
  </si>
  <si>
    <t>사원명</t>
    <phoneticPr fontId="1" type="noConversion"/>
  </si>
  <si>
    <t>주민등록번호</t>
    <phoneticPr fontId="1" type="noConversion"/>
  </si>
  <si>
    <t>성별</t>
    <phoneticPr fontId="1" type="noConversion"/>
  </si>
  <si>
    <t>강동규</t>
  </si>
  <si>
    <t>790602-1******</t>
    <phoneticPr fontId="1" type="noConversion"/>
  </si>
  <si>
    <t>재무</t>
    <phoneticPr fontId="1" type="noConversion"/>
  </si>
  <si>
    <t>유민정</t>
    <phoneticPr fontId="1" type="noConversion"/>
  </si>
  <si>
    <t>890607-2******</t>
    <phoneticPr fontId="1" type="noConversion"/>
  </si>
  <si>
    <t>인사</t>
    <phoneticPr fontId="1" type="noConversion"/>
  </si>
  <si>
    <t>이헌준</t>
    <phoneticPr fontId="1" type="noConversion"/>
  </si>
  <si>
    <t>020506-3******</t>
    <phoneticPr fontId="1" type="noConversion"/>
  </si>
  <si>
    <t>홍보</t>
    <phoneticPr fontId="1" type="noConversion"/>
  </si>
  <si>
    <t>오민아</t>
    <phoneticPr fontId="1" type="noConversion"/>
  </si>
  <si>
    <t>010904-4******</t>
    <phoneticPr fontId="1" type="noConversion"/>
  </si>
  <si>
    <t>연구</t>
    <phoneticPr fontId="1" type="noConversion"/>
  </si>
  <si>
    <t>김진성</t>
    <phoneticPr fontId="1" type="noConversion"/>
  </si>
  <si>
    <t>920108-1******</t>
    <phoneticPr fontId="1" type="noConversion"/>
  </si>
  <si>
    <t>홍수아</t>
    <phoneticPr fontId="1" type="noConversion"/>
  </si>
  <si>
    <t>940514-2******</t>
    <phoneticPr fontId="1" type="noConversion"/>
  </si>
  <si>
    <t>품질</t>
    <phoneticPr fontId="1" type="noConversion"/>
  </si>
  <si>
    <t>이명훈</t>
    <phoneticPr fontId="1" type="noConversion"/>
  </si>
  <si>
    <t>010506-3******</t>
    <phoneticPr fontId="1" type="noConversion"/>
  </si>
  <si>
    <t>기획</t>
    <phoneticPr fontId="1" type="noConversion"/>
  </si>
  <si>
    <t>김민서</t>
    <phoneticPr fontId="1" type="noConversion"/>
  </si>
  <si>
    <t>880808-2******</t>
    <phoneticPr fontId="1" type="noConversion"/>
  </si>
  <si>
    <t>총무</t>
    <phoneticPr fontId="1" type="noConversion"/>
  </si>
  <si>
    <t>여수연</t>
    <phoneticPr fontId="1" type="noConversion"/>
  </si>
  <si>
    <t>001025-4******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</si>
</sst>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43" formatCode="_-* #,##0.00_-;\-* #,##0.00_-;_-* &quot;-&quot;??_-;_-@_-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9" fillId="0" borderId="0">
      <alignment vertical="center"/>
    </xf>
  </cellStyleXfs>
  <cellXfs count="47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41" fontId="0" fillId="0" borderId="2" xfId="1" applyFont="1" applyBorder="1">
      <alignment vertical="center"/>
    </xf>
    <xf numFmtId="41" fontId="4" fillId="0" borderId="2" xfId="1" applyFont="1" applyFill="1" applyBorder="1" applyAlignment="1">
      <alignment horizontal="center" vertical="center"/>
    </xf>
    <xf numFmtId="41" fontId="4" fillId="0" borderId="2" xfId="1" applyFont="1" applyFill="1" applyBorder="1" applyAlignment="1">
      <alignment vertical="center"/>
    </xf>
    <xf numFmtId="41" fontId="6" fillId="0" borderId="2" xfId="1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6" fillId="0" borderId="2" xfId="1" applyNumberFormat="1" applyFont="1" applyFill="1" applyBorder="1" applyAlignment="1">
      <alignment horizontal="center" vertical="center"/>
    </xf>
    <xf numFmtId="41" fontId="0" fillId="0" borderId="2" xfId="0" applyNumberFormat="1" applyBorder="1" applyAlignment="1">
      <alignment vertical="center"/>
    </xf>
    <xf numFmtId="0" fontId="0" fillId="0" borderId="2" xfId="0" applyBorder="1" applyAlignment="1">
      <alignment vertical="center"/>
    </xf>
    <xf numFmtId="0" fontId="7" fillId="0" borderId="2" xfId="0" applyFont="1" applyBorder="1" applyAlignment="1">
      <alignment horizontal="center" vertical="center"/>
    </xf>
    <xf numFmtId="0" fontId="0" fillId="0" borderId="0" xfId="0" applyAlignment="1"/>
    <xf numFmtId="41" fontId="0" fillId="0" borderId="2" xfId="0" applyNumberFormat="1" applyBorder="1" applyAlignment="1"/>
    <xf numFmtId="0" fontId="0" fillId="0" borderId="2" xfId="0" applyBorder="1" applyAlignment="1"/>
    <xf numFmtId="0" fontId="0" fillId="0" borderId="2" xfId="0" applyBorder="1" applyAlignment="1">
      <alignment horizontal="center"/>
    </xf>
    <xf numFmtId="0" fontId="7" fillId="0" borderId="2" xfId="0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41" fontId="0" fillId="0" borderId="2" xfId="1" applyFont="1" applyFill="1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2" fillId="0" borderId="0" xfId="2" applyFont="1">
      <alignment vertical="center"/>
    </xf>
    <xf numFmtId="0" fontId="7" fillId="0" borderId="0" xfId="2" applyFont="1">
      <alignment vertical="center"/>
    </xf>
    <xf numFmtId="0" fontId="2" fillId="0" borderId="0" xfId="2">
      <alignment vertical="center"/>
    </xf>
    <xf numFmtId="0" fontId="2" fillId="0" borderId="0" xfId="3" applyFont="1">
      <alignment vertical="center"/>
    </xf>
    <xf numFmtId="0" fontId="7" fillId="0" borderId="0" xfId="3" applyFont="1">
      <alignment vertical="center"/>
    </xf>
    <xf numFmtId="0" fontId="2" fillId="0" borderId="0" xfId="3">
      <alignment vertical="center"/>
    </xf>
    <xf numFmtId="0" fontId="2" fillId="0" borderId="2" xfId="2" applyBorder="1" applyAlignment="1">
      <alignment horizontal="center" vertical="center"/>
    </xf>
    <xf numFmtId="0" fontId="2" fillId="3" borderId="2" xfId="2" applyFill="1" applyBorder="1" applyAlignment="1">
      <alignment horizontal="center" vertical="center"/>
    </xf>
    <xf numFmtId="0" fontId="2" fillId="0" borderId="2" xfId="3" applyBorder="1" applyAlignment="1">
      <alignment horizontal="center" vertical="center"/>
    </xf>
    <xf numFmtId="0" fontId="0" fillId="0" borderId="2" xfId="3" applyFont="1" applyBorder="1" applyAlignment="1">
      <alignment horizontal="center" vertical="center"/>
    </xf>
    <xf numFmtId="0" fontId="0" fillId="0" borderId="2" xfId="2" applyFont="1" applyBorder="1" applyAlignment="1">
      <alignment horizontal="center" vertical="center"/>
    </xf>
    <xf numFmtId="43" fontId="0" fillId="0" borderId="2" xfId="4" applyNumberFormat="1" applyFont="1" applyBorder="1" applyAlignment="1">
      <alignment horizontal="center" vertical="center"/>
    </xf>
    <xf numFmtId="0" fontId="4" fillId="0" borderId="2" xfId="5" applyFont="1" applyFill="1" applyBorder="1" applyAlignment="1">
      <alignment horizontal="center" vertical="center" shrinkToFit="1"/>
    </xf>
    <xf numFmtId="0" fontId="0" fillId="0" borderId="2" xfId="3" applyFont="1" applyFill="1" applyBorder="1" applyAlignment="1">
      <alignment horizontal="center" vertical="center"/>
    </xf>
    <xf numFmtId="0" fontId="0" fillId="4" borderId="2" xfId="3" applyFon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7" fillId="0" borderId="0" xfId="0" applyFont="1">
      <alignment vertical="center"/>
    </xf>
    <xf numFmtId="0" fontId="0" fillId="0" borderId="0" xfId="0" applyFont="1">
      <alignment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</cellXfs>
  <cellStyles count="6">
    <cellStyle name="쉼표 [0]" xfId="1" builtinId="6"/>
    <cellStyle name="쉼표 [0] 2 2" xfId="4" xr:uid="{00000000-0005-0000-0000-000001000000}"/>
    <cellStyle name="표준" xfId="0" builtinId="0"/>
    <cellStyle name="표준 2" xfId="2" xr:uid="{00000000-0005-0000-0000-000003000000}"/>
    <cellStyle name="표준 2 3" xfId="5" xr:uid="{00000000-0005-0000-0000-000004000000}"/>
    <cellStyle name="표준 3 2" xfId="3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차트작업!$B$2</c:f>
              <c:strCache>
                <c:ptCount val="1"/>
                <c:pt idx="0">
                  <c:v>수출액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차트작업!$A$3:$A$14</c:f>
              <c:strCache>
                <c:ptCount val="12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</c:strCache>
            </c:strRef>
          </c:cat>
          <c:val>
            <c:numRef>
              <c:f>차트작업!$B$3:$B$14</c:f>
              <c:numCache>
                <c:formatCode>_(* #,##0_);_(* \(#,##0\);_(* "-"_);_(@_)</c:formatCode>
                <c:ptCount val="12"/>
                <c:pt idx="0">
                  <c:v>46168.934000000001</c:v>
                </c:pt>
                <c:pt idx="1">
                  <c:v>39481.803</c:v>
                </c:pt>
                <c:pt idx="2">
                  <c:v>47003.205999999998</c:v>
                </c:pt>
                <c:pt idx="3">
                  <c:v>48781.156000000003</c:v>
                </c:pt>
                <c:pt idx="4">
                  <c:v>45703.947999999997</c:v>
                </c:pt>
                <c:pt idx="5">
                  <c:v>44008.404000000002</c:v>
                </c:pt>
                <c:pt idx="6">
                  <c:v>46078.220999999998</c:v>
                </c:pt>
                <c:pt idx="7">
                  <c:v>44020.065000000002</c:v>
                </c:pt>
                <c:pt idx="8">
                  <c:v>44629.053</c:v>
                </c:pt>
                <c:pt idx="9">
                  <c:v>46648.756000000001</c:v>
                </c:pt>
                <c:pt idx="10">
                  <c:v>44040.722000000002</c:v>
                </c:pt>
                <c:pt idx="11">
                  <c:v>45668.341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AB-4A92-9CBA-360883B8B560}"/>
            </c:ext>
          </c:extLst>
        </c:ser>
        <c:ser>
          <c:idx val="1"/>
          <c:order val="1"/>
          <c:tx>
            <c:strRef>
              <c:f>차트작업!$C$2</c:f>
              <c:strCache>
                <c:ptCount val="1"/>
                <c:pt idx="0">
                  <c:v>수입액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차트작업!$A$3:$A$14</c:f>
              <c:strCache>
                <c:ptCount val="12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</c:strCache>
            </c:strRef>
          </c:cat>
          <c:val>
            <c:numRef>
              <c:f>차트작업!$C$3:$C$14</c:f>
              <c:numCache>
                <c:formatCode>_(* #,##0_);_(* \(#,##0\);_(* "-"_);_(@_)</c:formatCode>
                <c:ptCount val="12"/>
                <c:pt idx="0">
                  <c:v>45153.389000000003</c:v>
                </c:pt>
                <c:pt idx="1">
                  <c:v>36651.436999999998</c:v>
                </c:pt>
                <c:pt idx="2">
                  <c:v>41992.349000000002</c:v>
                </c:pt>
                <c:pt idx="3">
                  <c:v>45047.163999999997</c:v>
                </c:pt>
                <c:pt idx="4">
                  <c:v>43619.667000000001</c:v>
                </c:pt>
                <c:pt idx="5">
                  <c:v>40104.811999999998</c:v>
                </c:pt>
                <c:pt idx="6">
                  <c:v>43762.245000000003</c:v>
                </c:pt>
                <c:pt idx="7">
                  <c:v>42457.25</c:v>
                </c:pt>
                <c:pt idx="8">
                  <c:v>38741.472999999998</c:v>
                </c:pt>
                <c:pt idx="9">
                  <c:v>41396.517</c:v>
                </c:pt>
                <c:pt idx="10">
                  <c:v>40729.214999999997</c:v>
                </c:pt>
                <c:pt idx="11">
                  <c:v>43687.43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AB-4A92-9CBA-360883B8B5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35712960"/>
        <c:axId val="1035714208"/>
      </c:barChart>
      <c:catAx>
        <c:axId val="1035712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35714208"/>
        <c:crosses val="autoZero"/>
        <c:auto val="1"/>
        <c:lblAlgn val="ctr"/>
        <c:lblOffset val="100"/>
        <c:noMultiLvlLbl val="0"/>
      </c:catAx>
      <c:valAx>
        <c:axId val="103571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35712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15</xdr:col>
      <xdr:colOff>0</xdr:colOff>
      <xdr:row>22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/>
  </sheetViews>
  <sheetFormatPr defaultRowHeight="16.5"/>
  <cols>
    <col min="1" max="1" width="29.875" bestFit="1" customWidth="1"/>
    <col min="2" max="2" width="11" customWidth="1"/>
    <col min="3" max="3" width="13.875" customWidth="1"/>
    <col min="4" max="4" width="11.5" customWidth="1"/>
    <col min="5" max="5" width="20.625" bestFit="1" customWidth="1"/>
  </cols>
  <sheetData>
    <row r="1" spans="1:1">
      <c r="A1" t="s">
        <v>16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11"/>
  <sheetViews>
    <sheetView workbookViewId="0"/>
  </sheetViews>
  <sheetFormatPr defaultRowHeight="16.5"/>
  <cols>
    <col min="1" max="1" width="20.375" bestFit="1" customWidth="1"/>
    <col min="3" max="3" width="13.125" bestFit="1" customWidth="1"/>
  </cols>
  <sheetData>
    <row r="1" spans="1:6">
      <c r="A1" t="s">
        <v>171</v>
      </c>
    </row>
    <row r="3" spans="1:6">
      <c r="A3" t="s">
        <v>172</v>
      </c>
      <c r="B3" t="s">
        <v>173</v>
      </c>
      <c r="C3" t="s">
        <v>174</v>
      </c>
      <c r="D3" t="s">
        <v>175</v>
      </c>
      <c r="E3" t="s">
        <v>176</v>
      </c>
      <c r="F3" t="s">
        <v>177</v>
      </c>
    </row>
    <row r="4" spans="1:6">
      <c r="A4" t="s">
        <v>178</v>
      </c>
      <c r="B4" t="s">
        <v>179</v>
      </c>
      <c r="C4" t="s">
        <v>180</v>
      </c>
      <c r="D4">
        <v>9.9700000000000006</v>
      </c>
      <c r="E4" t="s">
        <v>181</v>
      </c>
      <c r="F4" t="s">
        <v>182</v>
      </c>
    </row>
    <row r="5" spans="1:6">
      <c r="A5" t="s">
        <v>183</v>
      </c>
      <c r="B5" t="s">
        <v>179</v>
      </c>
      <c r="C5" t="s">
        <v>184</v>
      </c>
      <c r="D5">
        <v>9.98</v>
      </c>
      <c r="E5" t="s">
        <v>185</v>
      </c>
      <c r="F5" t="s">
        <v>186</v>
      </c>
    </row>
    <row r="6" spans="1:6">
      <c r="A6" t="s">
        <v>187</v>
      </c>
      <c r="B6" t="s">
        <v>188</v>
      </c>
      <c r="C6" t="s">
        <v>189</v>
      </c>
      <c r="D6">
        <v>9.9700000000000006</v>
      </c>
      <c r="E6" t="s">
        <v>190</v>
      </c>
      <c r="F6" t="s">
        <v>191</v>
      </c>
    </row>
    <row r="7" spans="1:6">
      <c r="A7" t="s">
        <v>192</v>
      </c>
      <c r="B7" t="s">
        <v>193</v>
      </c>
      <c r="C7" t="s">
        <v>194</v>
      </c>
      <c r="D7">
        <v>9.82</v>
      </c>
      <c r="E7" t="s">
        <v>195</v>
      </c>
      <c r="F7" t="s">
        <v>196</v>
      </c>
    </row>
    <row r="8" spans="1:6">
      <c r="A8" t="s">
        <v>197</v>
      </c>
      <c r="B8" t="s">
        <v>198</v>
      </c>
      <c r="C8" t="s">
        <v>199</v>
      </c>
      <c r="D8">
        <v>9.98</v>
      </c>
      <c r="E8" t="s">
        <v>200</v>
      </c>
      <c r="F8" t="s">
        <v>201</v>
      </c>
    </row>
    <row r="9" spans="1:6">
      <c r="A9" t="s">
        <v>202</v>
      </c>
      <c r="B9" t="s">
        <v>203</v>
      </c>
      <c r="C9" t="s">
        <v>204</v>
      </c>
      <c r="D9">
        <v>9.92</v>
      </c>
      <c r="E9" t="s">
        <v>205</v>
      </c>
      <c r="F9" t="s">
        <v>206</v>
      </c>
    </row>
    <row r="10" spans="1:6">
      <c r="A10" t="s">
        <v>207</v>
      </c>
      <c r="B10" t="s">
        <v>208</v>
      </c>
      <c r="C10" t="s">
        <v>209</v>
      </c>
      <c r="D10">
        <v>9.94</v>
      </c>
      <c r="E10" t="s">
        <v>210</v>
      </c>
      <c r="F10" t="s">
        <v>211</v>
      </c>
    </row>
    <row r="11" spans="1:6">
      <c r="A11" t="s">
        <v>212</v>
      </c>
      <c r="B11" t="s">
        <v>213</v>
      </c>
      <c r="C11" t="s">
        <v>214</v>
      </c>
      <c r="D11">
        <v>9.81</v>
      </c>
      <c r="E11" t="s">
        <v>215</v>
      </c>
      <c r="F11" t="s">
        <v>211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6"/>
  <sheetViews>
    <sheetView workbookViewId="0"/>
  </sheetViews>
  <sheetFormatPr defaultRowHeight="16.5"/>
  <cols>
    <col min="4" max="4" width="10.375" bestFit="1" customWidth="1"/>
    <col min="5" max="5" width="10.125" bestFit="1" customWidth="1"/>
    <col min="6" max="6" width="13.875" bestFit="1" customWidth="1"/>
    <col min="7" max="7" width="8.375" bestFit="1" customWidth="1"/>
  </cols>
  <sheetData>
    <row r="1" spans="1:7">
      <c r="A1" t="s">
        <v>124</v>
      </c>
    </row>
    <row r="3" spans="1:7">
      <c r="A3" s="5" t="s">
        <v>17</v>
      </c>
      <c r="B3" s="5" t="s">
        <v>18</v>
      </c>
      <c r="C3" s="5" t="s">
        <v>19</v>
      </c>
      <c r="D3" s="5" t="s">
        <v>20</v>
      </c>
      <c r="E3" s="5" t="s">
        <v>21</v>
      </c>
      <c r="F3" s="5" t="s">
        <v>22</v>
      </c>
      <c r="G3" s="5" t="s">
        <v>23</v>
      </c>
    </row>
    <row r="4" spans="1:7">
      <c r="A4" s="6">
        <v>1</v>
      </c>
      <c r="B4" s="7" t="s">
        <v>24</v>
      </c>
      <c r="C4" s="6" t="s">
        <v>25</v>
      </c>
      <c r="D4" s="7" t="s">
        <v>26</v>
      </c>
      <c r="E4" s="6" t="s">
        <v>27</v>
      </c>
      <c r="F4" s="3" t="s">
        <v>28</v>
      </c>
      <c r="G4" s="4">
        <v>36400</v>
      </c>
    </row>
    <row r="5" spans="1:7">
      <c r="A5" s="6">
        <v>2</v>
      </c>
      <c r="B5" s="7" t="s">
        <v>24</v>
      </c>
      <c r="C5" s="6" t="s">
        <v>29</v>
      </c>
      <c r="D5" s="7" t="s">
        <v>30</v>
      </c>
      <c r="E5" s="6" t="s">
        <v>31</v>
      </c>
      <c r="F5" s="3" t="s">
        <v>32</v>
      </c>
      <c r="G5" s="4">
        <v>25500</v>
      </c>
    </row>
    <row r="6" spans="1:7">
      <c r="A6" s="6">
        <v>3</v>
      </c>
      <c r="B6" s="7" t="s">
        <v>33</v>
      </c>
      <c r="C6" s="6" t="s">
        <v>34</v>
      </c>
      <c r="D6" s="7" t="s">
        <v>35</v>
      </c>
      <c r="E6" s="6" t="s">
        <v>36</v>
      </c>
      <c r="F6" s="3" t="s">
        <v>37</v>
      </c>
      <c r="G6" s="4">
        <v>35000</v>
      </c>
    </row>
    <row r="7" spans="1:7">
      <c r="A7" s="6">
        <v>4</v>
      </c>
      <c r="B7" s="7" t="s">
        <v>33</v>
      </c>
      <c r="C7" s="6" t="s">
        <v>38</v>
      </c>
      <c r="D7" s="7" t="s">
        <v>35</v>
      </c>
      <c r="E7" s="6" t="s">
        <v>39</v>
      </c>
      <c r="F7" s="3" t="s">
        <v>40</v>
      </c>
      <c r="G7" s="4">
        <v>30600</v>
      </c>
    </row>
    <row r="8" spans="1:7">
      <c r="A8" s="6">
        <v>5</v>
      </c>
      <c r="B8" s="7" t="s">
        <v>33</v>
      </c>
      <c r="C8" s="6" t="s">
        <v>41</v>
      </c>
      <c r="D8" s="7" t="s">
        <v>42</v>
      </c>
      <c r="E8" s="6" t="s">
        <v>39</v>
      </c>
      <c r="F8" s="3" t="s">
        <v>40</v>
      </c>
      <c r="G8" s="4">
        <v>30000</v>
      </c>
    </row>
    <row r="9" spans="1:7">
      <c r="A9" s="6">
        <v>6</v>
      </c>
      <c r="B9" s="7" t="s">
        <v>33</v>
      </c>
      <c r="C9" s="6" t="s">
        <v>43</v>
      </c>
      <c r="D9" s="7" t="s">
        <v>30</v>
      </c>
      <c r="E9" s="6" t="s">
        <v>31</v>
      </c>
      <c r="F9" s="3" t="s">
        <v>44</v>
      </c>
      <c r="G9" s="4">
        <v>35700</v>
      </c>
    </row>
    <row r="10" spans="1:7">
      <c r="A10" s="6">
        <v>7</v>
      </c>
      <c r="B10" s="7" t="s">
        <v>45</v>
      </c>
      <c r="C10" s="6" t="s">
        <v>46</v>
      </c>
      <c r="D10" s="7" t="s">
        <v>30</v>
      </c>
      <c r="E10" s="6" t="s">
        <v>47</v>
      </c>
      <c r="F10" s="3" t="s">
        <v>32</v>
      </c>
      <c r="G10" s="4">
        <v>25750</v>
      </c>
    </row>
    <row r="11" spans="1:7">
      <c r="A11" s="6">
        <v>8</v>
      </c>
      <c r="B11" s="7" t="s">
        <v>48</v>
      </c>
      <c r="C11" s="6" t="s">
        <v>29</v>
      </c>
      <c r="D11" s="7" t="s">
        <v>26</v>
      </c>
      <c r="E11" s="6" t="s">
        <v>49</v>
      </c>
      <c r="F11" s="3" t="s">
        <v>50</v>
      </c>
      <c r="G11" s="4">
        <v>35000</v>
      </c>
    </row>
    <row r="12" spans="1:7">
      <c r="A12" s="6">
        <v>9</v>
      </c>
      <c r="B12" s="7" t="s">
        <v>24</v>
      </c>
      <c r="C12" s="6" t="s">
        <v>51</v>
      </c>
      <c r="D12" s="7" t="s">
        <v>26</v>
      </c>
      <c r="E12" s="6" t="s">
        <v>52</v>
      </c>
      <c r="F12" s="3" t="s">
        <v>37</v>
      </c>
      <c r="G12" s="4">
        <v>35700</v>
      </c>
    </row>
    <row r="13" spans="1:7">
      <c r="A13" s="6">
        <v>10</v>
      </c>
      <c r="B13" s="7" t="s">
        <v>48</v>
      </c>
      <c r="C13" s="6" t="s">
        <v>53</v>
      </c>
      <c r="D13" s="7" t="s">
        <v>54</v>
      </c>
      <c r="E13" s="6" t="s">
        <v>55</v>
      </c>
      <c r="F13" s="3" t="s">
        <v>37</v>
      </c>
      <c r="G13" s="4">
        <v>35000</v>
      </c>
    </row>
    <row r="14" spans="1:7">
      <c r="A14" s="6">
        <v>11</v>
      </c>
      <c r="B14" s="7" t="s">
        <v>48</v>
      </c>
      <c r="C14" s="6" t="s">
        <v>56</v>
      </c>
      <c r="D14" s="7" t="s">
        <v>26</v>
      </c>
      <c r="E14" s="6" t="s">
        <v>55</v>
      </c>
      <c r="F14" s="3" t="s">
        <v>37</v>
      </c>
      <c r="G14" s="4">
        <v>35700</v>
      </c>
    </row>
    <row r="15" spans="1:7">
      <c r="A15" s="6">
        <v>12</v>
      </c>
      <c r="B15" s="7" t="s">
        <v>48</v>
      </c>
      <c r="C15" s="6" t="s">
        <v>43</v>
      </c>
      <c r="D15" s="7" t="s">
        <v>42</v>
      </c>
      <c r="E15" s="6" t="s">
        <v>57</v>
      </c>
      <c r="F15" s="3" t="s">
        <v>40</v>
      </c>
      <c r="G15" s="4">
        <v>30000</v>
      </c>
    </row>
    <row r="16" spans="1:7">
      <c r="A16" s="6">
        <v>13</v>
      </c>
      <c r="B16" s="7" t="s">
        <v>58</v>
      </c>
      <c r="C16" s="6" t="s">
        <v>59</v>
      </c>
      <c r="D16" s="7" t="s">
        <v>30</v>
      </c>
      <c r="E16" s="6" t="s">
        <v>60</v>
      </c>
      <c r="F16" s="3" t="s">
        <v>61</v>
      </c>
      <c r="G16" s="4">
        <v>36400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37"/>
  <sheetViews>
    <sheetView workbookViewId="0"/>
  </sheetViews>
  <sheetFormatPr defaultRowHeight="16.5"/>
  <cols>
    <col min="3" max="3" width="13.625" bestFit="1" customWidth="1"/>
  </cols>
  <sheetData>
    <row r="1" spans="1:13">
      <c r="A1" s="20" t="s">
        <v>216</v>
      </c>
      <c r="B1" s="21" t="s">
        <v>217</v>
      </c>
      <c r="C1" s="22"/>
      <c r="D1" s="22"/>
      <c r="E1" s="22"/>
      <c r="G1" s="23" t="s">
        <v>218</v>
      </c>
      <c r="H1" s="24" t="s">
        <v>219</v>
      </c>
      <c r="I1" s="25"/>
      <c r="J1" s="25"/>
      <c r="K1" s="25"/>
      <c r="L1" s="25"/>
    </row>
    <row r="2" spans="1:13">
      <c r="A2" s="26" t="s">
        <v>220</v>
      </c>
      <c r="B2" s="26" t="s">
        <v>221</v>
      </c>
      <c r="C2" s="26" t="s">
        <v>222</v>
      </c>
      <c r="D2" s="26" t="s">
        <v>223</v>
      </c>
      <c r="E2" s="27" t="s">
        <v>224</v>
      </c>
      <c r="G2" s="28" t="s">
        <v>220</v>
      </c>
      <c r="H2" s="29" t="s">
        <v>225</v>
      </c>
      <c r="I2" s="29" t="s">
        <v>226</v>
      </c>
      <c r="K2" s="25"/>
      <c r="L2" s="25"/>
    </row>
    <row r="3" spans="1:13">
      <c r="A3" s="26" t="s">
        <v>227</v>
      </c>
      <c r="B3" s="30" t="s">
        <v>229</v>
      </c>
      <c r="C3" s="26">
        <v>85</v>
      </c>
      <c r="D3" s="26">
        <v>92</v>
      </c>
      <c r="E3" s="31"/>
      <c r="G3" s="32" t="s">
        <v>230</v>
      </c>
      <c r="H3" s="29" t="s">
        <v>231</v>
      </c>
      <c r="I3" s="28">
        <v>75</v>
      </c>
      <c r="K3" s="25"/>
      <c r="L3" s="25"/>
    </row>
    <row r="4" spans="1:13">
      <c r="A4" s="26" t="s">
        <v>232</v>
      </c>
      <c r="B4" s="30" t="s">
        <v>233</v>
      </c>
      <c r="C4" s="26">
        <v>92</v>
      </c>
      <c r="D4" s="26">
        <v>89</v>
      </c>
      <c r="E4" s="31"/>
      <c r="G4" s="32" t="s">
        <v>234</v>
      </c>
      <c r="H4" s="29" t="s">
        <v>235</v>
      </c>
      <c r="I4" s="28">
        <v>85</v>
      </c>
      <c r="K4" s="25"/>
      <c r="L4" s="25"/>
    </row>
    <row r="5" spans="1:13">
      <c r="A5" s="26" t="s">
        <v>236</v>
      </c>
      <c r="B5" s="30" t="s">
        <v>228</v>
      </c>
      <c r="C5" s="26">
        <v>93</v>
      </c>
      <c r="D5" s="26">
        <v>84</v>
      </c>
      <c r="E5" s="31"/>
      <c r="G5" s="32" t="s">
        <v>237</v>
      </c>
      <c r="H5" s="29" t="s">
        <v>231</v>
      </c>
      <c r="I5" s="28">
        <v>95</v>
      </c>
      <c r="K5" s="25"/>
      <c r="L5" s="25"/>
    </row>
    <row r="6" spans="1:13">
      <c r="A6" s="26" t="s">
        <v>238</v>
      </c>
      <c r="B6" s="30" t="s">
        <v>152</v>
      </c>
      <c r="C6" s="26">
        <v>89</v>
      </c>
      <c r="D6" s="26">
        <v>78</v>
      </c>
      <c r="E6" s="31"/>
      <c r="G6" s="32" t="s">
        <v>239</v>
      </c>
      <c r="H6" s="29" t="s">
        <v>241</v>
      </c>
      <c r="I6" s="28">
        <v>80</v>
      </c>
      <c r="K6" s="33" t="s">
        <v>242</v>
      </c>
      <c r="L6" s="34" t="s">
        <v>243</v>
      </c>
    </row>
    <row r="7" spans="1:13">
      <c r="A7" s="26" t="s">
        <v>244</v>
      </c>
      <c r="B7" s="30" t="s">
        <v>245</v>
      </c>
      <c r="C7" s="26">
        <v>89</v>
      </c>
      <c r="D7" s="26">
        <v>89</v>
      </c>
      <c r="E7" s="31"/>
      <c r="G7" s="32" t="s">
        <v>246</v>
      </c>
      <c r="H7" s="29" t="s">
        <v>247</v>
      </c>
      <c r="I7" s="28">
        <v>90</v>
      </c>
      <c r="K7" s="29" t="s">
        <v>248</v>
      </c>
      <c r="L7" s="28"/>
    </row>
    <row r="8" spans="1:13">
      <c r="A8" s="26" t="s">
        <v>249</v>
      </c>
      <c r="B8" s="30" t="s">
        <v>245</v>
      </c>
      <c r="C8" s="26">
        <v>75</v>
      </c>
      <c r="D8" s="26">
        <v>95</v>
      </c>
      <c r="E8" s="31"/>
      <c r="G8" s="32" t="s">
        <v>250</v>
      </c>
      <c r="H8" s="29" t="s">
        <v>248</v>
      </c>
      <c r="I8" s="28">
        <v>85</v>
      </c>
      <c r="K8" s="29" t="s">
        <v>240</v>
      </c>
      <c r="L8" s="28"/>
    </row>
    <row r="9" spans="1:13">
      <c r="A9" s="26" t="s">
        <v>251</v>
      </c>
      <c r="B9" s="30" t="s">
        <v>245</v>
      </c>
      <c r="C9" s="26">
        <v>84</v>
      </c>
      <c r="D9" s="26">
        <v>92</v>
      </c>
      <c r="E9" s="31"/>
      <c r="G9" s="28" t="s">
        <v>252</v>
      </c>
      <c r="H9" s="29" t="s">
        <v>240</v>
      </c>
      <c r="I9" s="28">
        <v>85</v>
      </c>
      <c r="K9" s="29" t="s">
        <v>253</v>
      </c>
      <c r="L9" s="28"/>
    </row>
    <row r="10" spans="1:13">
      <c r="A10" s="26" t="s">
        <v>254</v>
      </c>
      <c r="B10" s="30" t="s">
        <v>228</v>
      </c>
      <c r="C10" s="26">
        <v>86</v>
      </c>
      <c r="D10" s="26">
        <v>78</v>
      </c>
      <c r="E10" s="31"/>
      <c r="G10" s="32" t="s">
        <v>255</v>
      </c>
      <c r="H10" s="29" t="s">
        <v>247</v>
      </c>
      <c r="I10" s="29">
        <v>70</v>
      </c>
      <c r="L10" s="25"/>
    </row>
    <row r="11" spans="1:13">
      <c r="A11" s="26" t="s">
        <v>256</v>
      </c>
      <c r="B11" s="30" t="s">
        <v>228</v>
      </c>
      <c r="C11" s="26">
        <v>92</v>
      </c>
      <c r="D11" s="26">
        <v>89</v>
      </c>
      <c r="E11" s="31"/>
      <c r="G11" s="32" t="s">
        <v>257</v>
      </c>
      <c r="H11" s="1" t="s">
        <v>240</v>
      </c>
      <c r="I11" s="29">
        <v>90</v>
      </c>
    </row>
    <row r="12" spans="1:13">
      <c r="A12" s="26" t="s">
        <v>258</v>
      </c>
      <c r="B12" s="30" t="s">
        <v>245</v>
      </c>
      <c r="C12" s="26">
        <v>92</v>
      </c>
      <c r="D12" s="26">
        <v>89</v>
      </c>
      <c r="E12" s="31"/>
    </row>
    <row r="14" spans="1:13">
      <c r="A14" s="35" t="s">
        <v>259</v>
      </c>
      <c r="B14" s="36" t="s">
        <v>260</v>
      </c>
      <c r="H14" s="35" t="s">
        <v>261</v>
      </c>
      <c r="I14" s="36" t="s">
        <v>262</v>
      </c>
    </row>
    <row r="15" spans="1:13">
      <c r="A15" s="1" t="s">
        <v>263</v>
      </c>
      <c r="B15" s="1" t="s">
        <v>264</v>
      </c>
      <c r="C15" s="1" t="s">
        <v>265</v>
      </c>
      <c r="D15" s="1" t="s">
        <v>266</v>
      </c>
      <c r="E15" s="39" t="s">
        <v>267</v>
      </c>
      <c r="F15" s="40"/>
      <c r="H15" s="1" t="s">
        <v>268</v>
      </c>
      <c r="I15" s="1" t="s">
        <v>269</v>
      </c>
      <c r="J15" s="1" t="s">
        <v>270</v>
      </c>
      <c r="K15" s="1" t="s">
        <v>271</v>
      </c>
      <c r="L15" s="1" t="s">
        <v>272</v>
      </c>
      <c r="M15" s="1" t="s">
        <v>266</v>
      </c>
    </row>
    <row r="16" spans="1:13">
      <c r="A16" s="1" t="s">
        <v>273</v>
      </c>
      <c r="B16" s="1">
        <v>94</v>
      </c>
      <c r="C16" s="1">
        <v>92</v>
      </c>
      <c r="D16" s="1">
        <f>SUM(B16:C16)</f>
        <v>186</v>
      </c>
      <c r="E16" s="41"/>
      <c r="F16" s="42"/>
      <c r="H16" s="1" t="s">
        <v>274</v>
      </c>
      <c r="I16" s="1" t="s">
        <v>276</v>
      </c>
      <c r="J16" s="1">
        <v>20</v>
      </c>
      <c r="K16" s="1">
        <v>45</v>
      </c>
      <c r="L16" s="1">
        <v>28</v>
      </c>
      <c r="M16" s="1">
        <f t="shared" ref="M16:M23" si="0">SUM(J16:L16)</f>
        <v>93</v>
      </c>
    </row>
    <row r="17" spans="1:13">
      <c r="A17" s="1" t="s">
        <v>277</v>
      </c>
      <c r="B17" s="1">
        <v>88</v>
      </c>
      <c r="C17" s="1">
        <v>90</v>
      </c>
      <c r="D17" s="1">
        <f t="shared" ref="D17:D25" si="1">SUM(B17:C17)</f>
        <v>178</v>
      </c>
      <c r="H17" s="1" t="s">
        <v>278</v>
      </c>
      <c r="I17" s="1" t="s">
        <v>279</v>
      </c>
      <c r="J17" s="1">
        <v>19</v>
      </c>
      <c r="K17" s="1">
        <v>40</v>
      </c>
      <c r="L17" s="1">
        <v>27</v>
      </c>
      <c r="M17" s="1">
        <f t="shared" si="0"/>
        <v>86</v>
      </c>
    </row>
    <row r="18" spans="1:13">
      <c r="A18" s="1" t="s">
        <v>280</v>
      </c>
      <c r="B18" s="1">
        <v>78</v>
      </c>
      <c r="C18" s="1">
        <v>86</v>
      </c>
      <c r="D18" s="1">
        <f t="shared" si="1"/>
        <v>164</v>
      </c>
      <c r="H18" s="1" t="s">
        <v>281</v>
      </c>
      <c r="I18" s="1" t="s">
        <v>276</v>
      </c>
      <c r="J18" s="1">
        <v>20</v>
      </c>
      <c r="K18" s="1">
        <v>35</v>
      </c>
      <c r="L18" s="1">
        <v>29</v>
      </c>
      <c r="M18" s="1">
        <f t="shared" si="0"/>
        <v>84</v>
      </c>
    </row>
    <row r="19" spans="1:13">
      <c r="A19" s="1" t="s">
        <v>282</v>
      </c>
      <c r="B19" s="1">
        <v>92</v>
      </c>
      <c r="C19" s="1">
        <v>86</v>
      </c>
      <c r="D19" s="1">
        <f t="shared" si="1"/>
        <v>178</v>
      </c>
      <c r="H19" s="1" t="s">
        <v>283</v>
      </c>
      <c r="I19" s="1" t="s">
        <v>275</v>
      </c>
      <c r="J19" s="1">
        <v>17</v>
      </c>
      <c r="K19" s="1">
        <v>30</v>
      </c>
      <c r="L19" s="1">
        <v>21</v>
      </c>
      <c r="M19" s="1">
        <f t="shared" si="0"/>
        <v>68</v>
      </c>
    </row>
    <row r="20" spans="1:13">
      <c r="A20" s="1" t="s">
        <v>284</v>
      </c>
      <c r="B20" s="1">
        <v>90</v>
      </c>
      <c r="C20" s="1">
        <v>90</v>
      </c>
      <c r="D20" s="1">
        <f t="shared" si="1"/>
        <v>180</v>
      </c>
      <c r="H20" s="1" t="s">
        <v>285</v>
      </c>
      <c r="I20" s="1" t="s">
        <v>279</v>
      </c>
      <c r="J20" s="1">
        <v>20</v>
      </c>
      <c r="K20" s="1">
        <v>45</v>
      </c>
      <c r="L20" s="1">
        <v>23</v>
      </c>
      <c r="M20" s="1">
        <f t="shared" si="0"/>
        <v>88</v>
      </c>
    </row>
    <row r="21" spans="1:13">
      <c r="A21" s="1" t="s">
        <v>286</v>
      </c>
      <c r="B21" s="1">
        <v>93</v>
      </c>
      <c r="C21" s="1">
        <v>83</v>
      </c>
      <c r="D21" s="1">
        <f t="shared" si="1"/>
        <v>176</v>
      </c>
      <c r="H21" s="1" t="s">
        <v>287</v>
      </c>
      <c r="I21" s="1" t="s">
        <v>288</v>
      </c>
      <c r="J21" s="1">
        <v>18</v>
      </c>
      <c r="K21" s="1">
        <v>35</v>
      </c>
      <c r="L21" s="1">
        <v>29</v>
      </c>
      <c r="M21" s="1">
        <f t="shared" si="0"/>
        <v>82</v>
      </c>
    </row>
    <row r="22" spans="1:13">
      <c r="A22" s="1" t="s">
        <v>289</v>
      </c>
      <c r="B22" s="1">
        <v>82</v>
      </c>
      <c r="C22" s="1">
        <v>89</v>
      </c>
      <c r="D22" s="1">
        <f t="shared" si="1"/>
        <v>171</v>
      </c>
      <c r="H22" s="1" t="s">
        <v>290</v>
      </c>
      <c r="I22" s="1" t="s">
        <v>276</v>
      </c>
      <c r="J22" s="1">
        <v>20</v>
      </c>
      <c r="K22" s="1">
        <v>40</v>
      </c>
      <c r="L22" s="1">
        <v>27</v>
      </c>
      <c r="M22" s="1">
        <f t="shared" si="0"/>
        <v>87</v>
      </c>
    </row>
    <row r="23" spans="1:13">
      <c r="A23" s="1" t="s">
        <v>291</v>
      </c>
      <c r="B23" s="1">
        <v>78</v>
      </c>
      <c r="C23" s="1">
        <v>94</v>
      </c>
      <c r="D23" s="1">
        <f t="shared" si="1"/>
        <v>172</v>
      </c>
      <c r="H23" s="1" t="s">
        <v>292</v>
      </c>
      <c r="I23" s="1" t="s">
        <v>293</v>
      </c>
      <c r="J23" s="1">
        <v>17</v>
      </c>
      <c r="K23" s="1">
        <v>40</v>
      </c>
      <c r="L23" s="1">
        <v>25</v>
      </c>
      <c r="M23" s="1">
        <f t="shared" si="0"/>
        <v>82</v>
      </c>
    </row>
    <row r="24" spans="1:13">
      <c r="A24" s="1" t="s">
        <v>294</v>
      </c>
      <c r="B24" s="1">
        <v>96</v>
      </c>
      <c r="C24" s="1">
        <v>90</v>
      </c>
      <c r="D24" s="1">
        <f t="shared" si="1"/>
        <v>186</v>
      </c>
      <c r="H24" s="43" t="s">
        <v>295</v>
      </c>
      <c r="I24" s="44"/>
      <c r="J24" s="44"/>
      <c r="K24" s="44"/>
      <c r="L24" s="39"/>
      <c r="M24" s="1"/>
    </row>
    <row r="25" spans="1:13">
      <c r="A25" s="1" t="s">
        <v>296</v>
      </c>
      <c r="B25" s="1">
        <v>86</v>
      </c>
      <c r="C25" s="1">
        <v>91</v>
      </c>
      <c r="D25" s="1">
        <f t="shared" si="1"/>
        <v>177</v>
      </c>
    </row>
    <row r="27" spans="1:13">
      <c r="A27" s="37" t="s">
        <v>297</v>
      </c>
      <c r="B27" s="36" t="s">
        <v>298</v>
      </c>
    </row>
    <row r="28" spans="1:13">
      <c r="A28" s="1" t="s">
        <v>299</v>
      </c>
      <c r="B28" s="1" t="s">
        <v>300</v>
      </c>
      <c r="C28" s="1" t="s">
        <v>301</v>
      </c>
      <c r="D28" s="38" t="s">
        <v>302</v>
      </c>
    </row>
    <row r="29" spans="1:13">
      <c r="A29" s="1" t="s">
        <v>275</v>
      </c>
      <c r="B29" s="1" t="s">
        <v>303</v>
      </c>
      <c r="C29" s="1" t="s">
        <v>304</v>
      </c>
      <c r="D29" s="1"/>
    </row>
    <row r="30" spans="1:13">
      <c r="A30" s="1" t="s">
        <v>305</v>
      </c>
      <c r="B30" s="1" t="s">
        <v>306</v>
      </c>
      <c r="C30" s="1" t="s">
        <v>307</v>
      </c>
      <c r="D30" s="1"/>
    </row>
    <row r="31" spans="1:13">
      <c r="A31" s="1" t="s">
        <v>308</v>
      </c>
      <c r="B31" s="1" t="s">
        <v>309</v>
      </c>
      <c r="C31" s="1" t="s">
        <v>310</v>
      </c>
      <c r="D31" s="1"/>
    </row>
    <row r="32" spans="1:13">
      <c r="A32" s="1" t="s">
        <v>311</v>
      </c>
      <c r="B32" s="1" t="s">
        <v>312</v>
      </c>
      <c r="C32" s="1" t="s">
        <v>313</v>
      </c>
      <c r="D32" s="1"/>
    </row>
    <row r="33" spans="1:4">
      <c r="A33" s="1" t="s">
        <v>314</v>
      </c>
      <c r="B33" s="1" t="s">
        <v>315</v>
      </c>
      <c r="C33" s="1" t="s">
        <v>316</v>
      </c>
      <c r="D33" s="1"/>
    </row>
    <row r="34" spans="1:4">
      <c r="A34" s="1" t="s">
        <v>279</v>
      </c>
      <c r="B34" s="1" t="s">
        <v>317</v>
      </c>
      <c r="C34" s="1" t="s">
        <v>318</v>
      </c>
      <c r="D34" s="1"/>
    </row>
    <row r="35" spans="1:4">
      <c r="A35" s="1" t="s">
        <v>319</v>
      </c>
      <c r="B35" s="1" t="s">
        <v>320</v>
      </c>
      <c r="C35" s="1" t="s">
        <v>321</v>
      </c>
      <c r="D35" s="1"/>
    </row>
    <row r="36" spans="1:4">
      <c r="A36" s="1" t="s">
        <v>322</v>
      </c>
      <c r="B36" s="1" t="s">
        <v>323</v>
      </c>
      <c r="C36" s="1" t="s">
        <v>324</v>
      </c>
      <c r="D36" s="1"/>
    </row>
    <row r="37" spans="1:4">
      <c r="A37" s="1" t="s">
        <v>325</v>
      </c>
      <c r="B37" s="1" t="s">
        <v>326</v>
      </c>
      <c r="C37" s="1" t="s">
        <v>327</v>
      </c>
      <c r="D37" s="1"/>
    </row>
  </sheetData>
  <mergeCells count="3">
    <mergeCell ref="E15:F15"/>
    <mergeCell ref="E16:F16"/>
    <mergeCell ref="H24:L24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16"/>
  <sheetViews>
    <sheetView workbookViewId="0"/>
  </sheetViews>
  <sheetFormatPr defaultRowHeight="16.5"/>
  <cols>
    <col min="7" max="7" width="10.625" bestFit="1" customWidth="1"/>
  </cols>
  <sheetData>
    <row r="1" spans="1:8" ht="20.25">
      <c r="A1" s="45" t="s">
        <v>125</v>
      </c>
      <c r="B1" s="45"/>
      <c r="C1" s="45"/>
      <c r="D1" s="45"/>
      <c r="E1" s="45"/>
      <c r="F1" s="45"/>
      <c r="G1" s="45"/>
      <c r="H1" s="45"/>
    </row>
    <row r="3" spans="1:8">
      <c r="A3" s="1" t="s">
        <v>126</v>
      </c>
      <c r="B3" s="1" t="s">
        <v>127</v>
      </c>
      <c r="C3" s="1" t="s">
        <v>128</v>
      </c>
      <c r="D3" s="1" t="s">
        <v>129</v>
      </c>
      <c r="E3" s="1" t="s">
        <v>130</v>
      </c>
      <c r="F3" s="1" t="s">
        <v>131</v>
      </c>
      <c r="G3" s="1" t="s">
        <v>132</v>
      </c>
      <c r="H3" s="1" t="s">
        <v>133</v>
      </c>
    </row>
    <row r="4" spans="1:8">
      <c r="A4" s="1" t="s">
        <v>134</v>
      </c>
      <c r="B4" s="1" t="s">
        <v>135</v>
      </c>
      <c r="C4" s="1" t="s">
        <v>136</v>
      </c>
      <c r="D4" s="1">
        <v>2013</v>
      </c>
      <c r="E4" s="1" t="s">
        <v>137</v>
      </c>
      <c r="F4" s="1">
        <v>31</v>
      </c>
      <c r="G4" s="18">
        <v>770000</v>
      </c>
      <c r="H4" s="1" t="s">
        <v>138</v>
      </c>
    </row>
    <row r="5" spans="1:8">
      <c r="A5" s="1" t="s">
        <v>139</v>
      </c>
      <c r="B5" s="1" t="s">
        <v>140</v>
      </c>
      <c r="C5" s="1" t="s">
        <v>141</v>
      </c>
      <c r="D5" s="1">
        <v>2014</v>
      </c>
      <c r="E5" s="1" t="s">
        <v>137</v>
      </c>
      <c r="F5" s="1">
        <v>43</v>
      </c>
      <c r="G5" s="18">
        <v>650000</v>
      </c>
      <c r="H5" s="1" t="s">
        <v>142</v>
      </c>
    </row>
    <row r="6" spans="1:8">
      <c r="A6" s="1" t="s">
        <v>143</v>
      </c>
      <c r="B6" s="1" t="s">
        <v>144</v>
      </c>
      <c r="C6" s="1" t="s">
        <v>145</v>
      </c>
      <c r="D6" s="16">
        <v>2011</v>
      </c>
      <c r="E6" s="1" t="s">
        <v>146</v>
      </c>
      <c r="F6" s="1">
        <v>56</v>
      </c>
      <c r="G6" s="18">
        <v>1010000</v>
      </c>
      <c r="H6" s="1" t="s">
        <v>147</v>
      </c>
    </row>
    <row r="7" spans="1:8">
      <c r="A7" s="1" t="s">
        <v>148</v>
      </c>
      <c r="B7" s="1" t="s">
        <v>149</v>
      </c>
      <c r="C7" s="1" t="s">
        <v>145</v>
      </c>
      <c r="D7" s="1">
        <v>2014</v>
      </c>
      <c r="E7" s="1" t="s">
        <v>146</v>
      </c>
      <c r="F7" s="1">
        <v>34</v>
      </c>
      <c r="G7" s="18">
        <v>650000</v>
      </c>
      <c r="H7" s="1" t="s">
        <v>142</v>
      </c>
    </row>
    <row r="8" spans="1:8">
      <c r="A8" s="1" t="s">
        <v>150</v>
      </c>
      <c r="B8" s="1" t="s">
        <v>151</v>
      </c>
      <c r="C8" s="1" t="s">
        <v>152</v>
      </c>
      <c r="D8" s="1">
        <v>2013</v>
      </c>
      <c r="E8" s="1" t="s">
        <v>146</v>
      </c>
      <c r="F8" s="1">
        <v>44</v>
      </c>
      <c r="G8" s="18">
        <v>770000</v>
      </c>
      <c r="H8" s="1" t="s">
        <v>142</v>
      </c>
    </row>
    <row r="9" spans="1:8">
      <c r="A9" s="1" t="s">
        <v>153</v>
      </c>
      <c r="B9" s="1" t="s">
        <v>154</v>
      </c>
      <c r="C9" s="1" t="s">
        <v>145</v>
      </c>
      <c r="D9" s="19">
        <v>2011</v>
      </c>
      <c r="E9" s="1" t="s">
        <v>155</v>
      </c>
      <c r="F9" s="1">
        <v>56</v>
      </c>
      <c r="G9" s="18">
        <v>1010000</v>
      </c>
      <c r="H9" s="1" t="s">
        <v>147</v>
      </c>
    </row>
    <row r="10" spans="1:8">
      <c r="A10" s="1" t="s">
        <v>156</v>
      </c>
      <c r="B10" s="1" t="s">
        <v>157</v>
      </c>
      <c r="C10" s="1" t="s">
        <v>145</v>
      </c>
      <c r="D10" s="1">
        <v>2015</v>
      </c>
      <c r="E10" s="1" t="s">
        <v>155</v>
      </c>
      <c r="F10" s="1">
        <v>22</v>
      </c>
      <c r="G10" s="18">
        <v>530000</v>
      </c>
      <c r="H10" s="1" t="s">
        <v>138</v>
      </c>
    </row>
    <row r="11" spans="1:8">
      <c r="A11" s="1" t="s">
        <v>158</v>
      </c>
      <c r="B11" s="1" t="s">
        <v>159</v>
      </c>
      <c r="C11" s="1" t="s">
        <v>136</v>
      </c>
      <c r="D11" s="1">
        <v>2016</v>
      </c>
      <c r="E11" s="1" t="s">
        <v>155</v>
      </c>
      <c r="F11" s="1">
        <v>11</v>
      </c>
      <c r="G11" s="18">
        <v>410000</v>
      </c>
      <c r="H11" s="1" t="s">
        <v>138</v>
      </c>
    </row>
    <row r="12" spans="1:8">
      <c r="A12" s="1" t="s">
        <v>160</v>
      </c>
      <c r="B12" s="1" t="s">
        <v>161</v>
      </c>
      <c r="C12" s="1" t="s">
        <v>136</v>
      </c>
      <c r="D12" s="19">
        <v>2012</v>
      </c>
      <c r="E12" s="1" t="s">
        <v>162</v>
      </c>
      <c r="F12" s="1">
        <v>49</v>
      </c>
      <c r="G12" s="18">
        <v>890000</v>
      </c>
      <c r="H12" s="1" t="s">
        <v>142</v>
      </c>
    </row>
    <row r="13" spans="1:8">
      <c r="A13" s="1" t="s">
        <v>163</v>
      </c>
      <c r="B13" s="1" t="s">
        <v>164</v>
      </c>
      <c r="C13" s="1" t="s">
        <v>145</v>
      </c>
      <c r="D13" s="19">
        <v>2010</v>
      </c>
      <c r="E13" s="1" t="s">
        <v>162</v>
      </c>
      <c r="F13" s="1">
        <v>69</v>
      </c>
      <c r="G13" s="18">
        <v>1130000</v>
      </c>
      <c r="H13" s="1" t="s">
        <v>147</v>
      </c>
    </row>
    <row r="14" spans="1:8">
      <c r="A14" s="1" t="s">
        <v>165</v>
      </c>
      <c r="B14" s="1" t="s">
        <v>166</v>
      </c>
      <c r="C14" s="1" t="s">
        <v>152</v>
      </c>
      <c r="D14" s="1">
        <v>2016</v>
      </c>
      <c r="E14" s="1" t="s">
        <v>162</v>
      </c>
      <c r="F14" s="1">
        <v>15</v>
      </c>
      <c r="G14" s="18">
        <v>410000</v>
      </c>
      <c r="H14" s="1" t="s">
        <v>138</v>
      </c>
    </row>
    <row r="15" spans="1:8">
      <c r="A15" s="1" t="s">
        <v>167</v>
      </c>
      <c r="B15" s="1" t="s">
        <v>168</v>
      </c>
      <c r="C15" s="1" t="s">
        <v>145</v>
      </c>
      <c r="D15" s="19">
        <v>2009</v>
      </c>
      <c r="E15" s="1" t="s">
        <v>137</v>
      </c>
      <c r="F15" s="1">
        <v>81</v>
      </c>
      <c r="G15" s="18">
        <v>1250000</v>
      </c>
      <c r="H15" s="1" t="s">
        <v>147</v>
      </c>
    </row>
    <row r="16" spans="1:8">
      <c r="A16" s="1" t="s">
        <v>169</v>
      </c>
      <c r="B16" s="1" t="s">
        <v>170</v>
      </c>
      <c r="C16" s="1" t="s">
        <v>141</v>
      </c>
      <c r="D16" s="19">
        <v>2012</v>
      </c>
      <c r="E16" s="1" t="s">
        <v>137</v>
      </c>
      <c r="F16" s="1">
        <v>27</v>
      </c>
      <c r="G16" s="18">
        <v>890000</v>
      </c>
      <c r="H16" s="1" t="s">
        <v>138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23"/>
  <sheetViews>
    <sheetView workbookViewId="0"/>
  </sheetViews>
  <sheetFormatPr defaultRowHeight="16.5"/>
  <cols>
    <col min="1" max="1" width="11.125" customWidth="1"/>
    <col min="3" max="3" width="6.875" bestFit="1" customWidth="1"/>
    <col min="4" max="4" width="10.625" bestFit="1" customWidth="1"/>
    <col min="5" max="5" width="6.875" bestFit="1" customWidth="1"/>
    <col min="6" max="6" width="11.625" bestFit="1" customWidth="1"/>
    <col min="10" max="10" width="12.625" bestFit="1" customWidth="1"/>
  </cols>
  <sheetData>
    <row r="1" spans="1:10">
      <c r="A1" s="11" t="s">
        <v>112</v>
      </c>
      <c r="B1" s="11"/>
      <c r="C1" s="11"/>
      <c r="D1" s="11"/>
      <c r="E1" s="11"/>
      <c r="F1" s="11"/>
      <c r="H1" s="11" t="s">
        <v>113</v>
      </c>
      <c r="I1" s="11"/>
      <c r="J1" s="11"/>
    </row>
    <row r="2" spans="1:10">
      <c r="A2" s="10" t="s">
        <v>21</v>
      </c>
      <c r="B2" s="10" t="s">
        <v>90</v>
      </c>
      <c r="C2" s="10" t="s">
        <v>89</v>
      </c>
      <c r="D2" s="10" t="s">
        <v>88</v>
      </c>
      <c r="E2" s="10" t="s">
        <v>111</v>
      </c>
      <c r="F2" s="10" t="s">
        <v>110</v>
      </c>
      <c r="H2" s="10" t="s">
        <v>90</v>
      </c>
      <c r="I2" s="15" t="s">
        <v>109</v>
      </c>
      <c r="J2" s="15" t="s">
        <v>108</v>
      </c>
    </row>
    <row r="3" spans="1:10">
      <c r="A3" s="1" t="s">
        <v>107</v>
      </c>
      <c r="B3" s="1" t="s">
        <v>82</v>
      </c>
      <c r="C3" s="1" t="s">
        <v>106</v>
      </c>
      <c r="D3" s="2">
        <v>1390000</v>
      </c>
      <c r="E3" s="9">
        <v>25</v>
      </c>
      <c r="F3" s="8">
        <f t="shared" ref="F3:F11" si="0">D3*E3</f>
        <v>34750000</v>
      </c>
      <c r="H3" s="14" t="s">
        <v>105</v>
      </c>
      <c r="I3" s="13"/>
      <c r="J3" s="12"/>
    </row>
    <row r="4" spans="1:10">
      <c r="A4" s="1" t="s">
        <v>104</v>
      </c>
      <c r="B4" s="1" t="s">
        <v>84</v>
      </c>
      <c r="C4" s="1" t="s">
        <v>74</v>
      </c>
      <c r="D4" s="2">
        <v>2350000</v>
      </c>
      <c r="E4" s="9">
        <v>32</v>
      </c>
      <c r="F4" s="8">
        <f t="shared" si="0"/>
        <v>75200000</v>
      </c>
      <c r="H4" s="14" t="s">
        <v>103</v>
      </c>
      <c r="I4" s="13"/>
      <c r="J4" s="12"/>
    </row>
    <row r="5" spans="1:10">
      <c r="A5" s="1" t="s">
        <v>102</v>
      </c>
      <c r="B5" s="1" t="s">
        <v>84</v>
      </c>
      <c r="C5" s="1" t="s">
        <v>74</v>
      </c>
      <c r="D5" s="2">
        <v>2100000</v>
      </c>
      <c r="E5" s="9">
        <v>28</v>
      </c>
      <c r="F5" s="8">
        <f t="shared" si="0"/>
        <v>58800000</v>
      </c>
      <c r="H5" s="14" t="s">
        <v>101</v>
      </c>
      <c r="I5" s="13"/>
      <c r="J5" s="12"/>
    </row>
    <row r="6" spans="1:10">
      <c r="A6" s="1" t="s">
        <v>100</v>
      </c>
      <c r="B6" s="1" t="s">
        <v>72</v>
      </c>
      <c r="C6" s="1" t="s">
        <v>74</v>
      </c>
      <c r="D6" s="2">
        <v>290000</v>
      </c>
      <c r="E6" s="9">
        <v>154</v>
      </c>
      <c r="F6" s="8">
        <f t="shared" si="0"/>
        <v>44660000</v>
      </c>
    </row>
    <row r="7" spans="1:10">
      <c r="A7" s="1" t="s">
        <v>99</v>
      </c>
      <c r="B7" s="1" t="s">
        <v>72</v>
      </c>
      <c r="C7" s="1" t="s">
        <v>98</v>
      </c>
      <c r="D7" s="2">
        <v>350000</v>
      </c>
      <c r="E7" s="9">
        <v>242</v>
      </c>
      <c r="F7" s="8">
        <f t="shared" si="0"/>
        <v>84700000</v>
      </c>
    </row>
    <row r="8" spans="1:10">
      <c r="A8" s="1" t="s">
        <v>97</v>
      </c>
      <c r="B8" s="1" t="s">
        <v>72</v>
      </c>
      <c r="C8" s="1" t="s">
        <v>96</v>
      </c>
      <c r="D8" s="2">
        <v>410000</v>
      </c>
      <c r="E8" s="9">
        <v>98</v>
      </c>
      <c r="F8" s="8">
        <f t="shared" si="0"/>
        <v>40180000</v>
      </c>
    </row>
    <row r="9" spans="1:10">
      <c r="A9" s="1" t="s">
        <v>95</v>
      </c>
      <c r="B9" s="1" t="s">
        <v>68</v>
      </c>
      <c r="C9" s="1" t="s">
        <v>65</v>
      </c>
      <c r="D9" s="2">
        <v>470000</v>
      </c>
      <c r="E9" s="9">
        <v>141</v>
      </c>
      <c r="F9" s="8">
        <f t="shared" si="0"/>
        <v>66270000</v>
      </c>
    </row>
    <row r="10" spans="1:10">
      <c r="A10" s="1" t="s">
        <v>94</v>
      </c>
      <c r="B10" s="1" t="s">
        <v>63</v>
      </c>
      <c r="C10" s="1" t="s">
        <v>62</v>
      </c>
      <c r="D10" s="2">
        <v>570000</v>
      </c>
      <c r="E10" s="9">
        <v>118</v>
      </c>
      <c r="F10" s="8">
        <f t="shared" si="0"/>
        <v>67260000</v>
      </c>
    </row>
    <row r="11" spans="1:10">
      <c r="A11" s="1" t="s">
        <v>93</v>
      </c>
      <c r="B11" s="1" t="s">
        <v>63</v>
      </c>
      <c r="C11" s="1" t="s">
        <v>62</v>
      </c>
      <c r="D11" s="2">
        <v>550000</v>
      </c>
      <c r="E11" s="9">
        <v>132</v>
      </c>
      <c r="F11" s="8">
        <f t="shared" si="0"/>
        <v>72600000</v>
      </c>
    </row>
    <row r="12" spans="1:10">
      <c r="A12" s="11"/>
      <c r="B12" s="11"/>
      <c r="C12" s="11"/>
      <c r="D12" s="11"/>
      <c r="E12" s="11"/>
      <c r="F12" s="11"/>
    </row>
    <row r="13" spans="1:10">
      <c r="A13" s="11" t="s">
        <v>92</v>
      </c>
      <c r="B13" s="11"/>
      <c r="C13" s="11"/>
      <c r="D13" s="11"/>
      <c r="E13" s="11"/>
      <c r="F13" s="11"/>
    </row>
    <row r="14" spans="1:10">
      <c r="A14" s="10" t="s">
        <v>91</v>
      </c>
      <c r="B14" s="10" t="s">
        <v>90</v>
      </c>
      <c r="C14" s="10" t="s">
        <v>89</v>
      </c>
      <c r="D14" s="10" t="s">
        <v>88</v>
      </c>
      <c r="E14" s="10" t="s">
        <v>87</v>
      </c>
      <c r="F14" s="10" t="s">
        <v>86</v>
      </c>
    </row>
    <row r="15" spans="1:10">
      <c r="A15" s="1" t="s">
        <v>85</v>
      </c>
      <c r="B15" s="1" t="s">
        <v>84</v>
      </c>
      <c r="C15" s="1" t="s">
        <v>76</v>
      </c>
      <c r="D15" s="2">
        <v>1950000</v>
      </c>
      <c r="E15" s="9">
        <v>28</v>
      </c>
      <c r="F15" s="8">
        <f t="shared" ref="F15:F23" si="1">D15*E15</f>
        <v>54600000</v>
      </c>
    </row>
    <row r="16" spans="1:10">
      <c r="A16" s="1" t="s">
        <v>83</v>
      </c>
      <c r="B16" s="1" t="s">
        <v>82</v>
      </c>
      <c r="C16" s="1" t="s">
        <v>81</v>
      </c>
      <c r="D16" s="2">
        <v>1250000</v>
      </c>
      <c r="E16" s="9">
        <v>52</v>
      </c>
      <c r="F16" s="8">
        <f t="shared" si="1"/>
        <v>65000000</v>
      </c>
    </row>
    <row r="17" spans="1:6">
      <c r="A17" s="1" t="s">
        <v>80</v>
      </c>
      <c r="B17" s="1" t="s">
        <v>79</v>
      </c>
      <c r="C17" s="1" t="s">
        <v>78</v>
      </c>
      <c r="D17" s="2">
        <v>2450000</v>
      </c>
      <c r="E17" s="9">
        <v>15</v>
      </c>
      <c r="F17" s="8">
        <f t="shared" si="1"/>
        <v>36750000</v>
      </c>
    </row>
    <row r="18" spans="1:6">
      <c r="A18" s="1" t="s">
        <v>77</v>
      </c>
      <c r="B18" s="1" t="s">
        <v>72</v>
      </c>
      <c r="C18" s="1" t="s">
        <v>76</v>
      </c>
      <c r="D18" s="2">
        <v>430000</v>
      </c>
      <c r="E18" s="9">
        <v>145</v>
      </c>
      <c r="F18" s="8">
        <f t="shared" si="1"/>
        <v>62350000</v>
      </c>
    </row>
    <row r="19" spans="1:6">
      <c r="A19" s="1" t="s">
        <v>75</v>
      </c>
      <c r="B19" s="1" t="s">
        <v>71</v>
      </c>
      <c r="C19" s="1" t="s">
        <v>74</v>
      </c>
      <c r="D19" s="2">
        <v>380000</v>
      </c>
      <c r="E19" s="9">
        <v>152</v>
      </c>
      <c r="F19" s="8">
        <f t="shared" si="1"/>
        <v>57760000</v>
      </c>
    </row>
    <row r="20" spans="1:6">
      <c r="A20" s="1" t="s">
        <v>73</v>
      </c>
      <c r="B20" s="1" t="s">
        <v>72</v>
      </c>
      <c r="C20" s="1" t="s">
        <v>70</v>
      </c>
      <c r="D20" s="2">
        <v>490000</v>
      </c>
      <c r="E20" s="9">
        <v>89</v>
      </c>
      <c r="F20" s="8">
        <f t="shared" si="1"/>
        <v>43610000</v>
      </c>
    </row>
    <row r="21" spans="1:6">
      <c r="A21" s="1" t="s">
        <v>69</v>
      </c>
      <c r="B21" s="1" t="s">
        <v>68</v>
      </c>
      <c r="C21" s="1" t="s">
        <v>67</v>
      </c>
      <c r="D21" s="2">
        <v>550000</v>
      </c>
      <c r="E21" s="9">
        <v>87</v>
      </c>
      <c r="F21" s="8">
        <f t="shared" si="1"/>
        <v>47850000</v>
      </c>
    </row>
    <row r="22" spans="1:6">
      <c r="A22" s="1" t="s">
        <v>66</v>
      </c>
      <c r="B22" s="1" t="s">
        <v>63</v>
      </c>
      <c r="C22" s="1" t="s">
        <v>65</v>
      </c>
      <c r="D22" s="2">
        <v>480000</v>
      </c>
      <c r="E22" s="9">
        <v>134</v>
      </c>
      <c r="F22" s="8">
        <f t="shared" si="1"/>
        <v>64320000</v>
      </c>
    </row>
    <row r="23" spans="1:6">
      <c r="A23" s="1" t="s">
        <v>64</v>
      </c>
      <c r="B23" s="1" t="s">
        <v>63</v>
      </c>
      <c r="C23" s="1" t="s">
        <v>62</v>
      </c>
      <c r="D23" s="2">
        <v>610000</v>
      </c>
      <c r="E23" s="9">
        <v>102</v>
      </c>
      <c r="F23" s="8">
        <f t="shared" si="1"/>
        <v>62220000</v>
      </c>
    </row>
  </sheetData>
  <phoneticPr fontId="1" type="noConversion"/>
  <dataValidations count="1">
    <dataValidation type="list" imeMode="halfHangul" allowBlank="1" showInputMessage="1" promptTitle="기기종류" prompt="목록에서 선택하고 목록에 없으면 직접 입력하시오._x000a_" sqref="B3:B11 B15:B23" xr:uid="{00000000-0002-0000-0500-000000000000}">
      <formula1>"노트북,워치,태블릿"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15"/>
  <sheetViews>
    <sheetView workbookViewId="0"/>
  </sheetViews>
  <sheetFormatPr defaultRowHeight="16.5"/>
  <cols>
    <col min="2" max="2" width="10.625" bestFit="1" customWidth="1"/>
    <col min="3" max="3" width="11.625" bestFit="1" customWidth="1"/>
    <col min="4" max="4" width="10.625" bestFit="1" customWidth="1"/>
    <col min="5" max="6" width="12.625" bestFit="1" customWidth="1"/>
  </cols>
  <sheetData>
    <row r="1" spans="1:6" ht="20.25">
      <c r="A1" s="45" t="s">
        <v>114</v>
      </c>
      <c r="B1" s="45"/>
      <c r="C1" s="45"/>
      <c r="D1" s="45"/>
      <c r="E1" s="45"/>
      <c r="F1" s="45"/>
    </row>
    <row r="3" spans="1:6">
      <c r="A3" s="16" t="s">
        <v>115</v>
      </c>
      <c r="B3" s="16" t="s">
        <v>116</v>
      </c>
      <c r="C3" s="16" t="s">
        <v>117</v>
      </c>
      <c r="D3" s="16" t="s">
        <v>118</v>
      </c>
      <c r="E3" s="16" t="s">
        <v>119</v>
      </c>
      <c r="F3" s="16" t="s">
        <v>120</v>
      </c>
    </row>
    <row r="4" spans="1:6">
      <c r="A4" s="16" t="s">
        <v>121</v>
      </c>
      <c r="B4" s="17">
        <v>1150000</v>
      </c>
      <c r="C4" s="17">
        <v>13800000</v>
      </c>
      <c r="D4" s="17">
        <v>1520000</v>
      </c>
      <c r="E4" s="17">
        <v>152000000</v>
      </c>
      <c r="F4" s="17"/>
    </row>
    <row r="5" spans="1:6">
      <c r="A5" s="16" t="s">
        <v>121</v>
      </c>
      <c r="B5" s="17">
        <v>1100000</v>
      </c>
      <c r="C5" s="17">
        <v>11880000</v>
      </c>
      <c r="D5" s="17">
        <v>1450000</v>
      </c>
      <c r="E5" s="17">
        <v>130500000</v>
      </c>
      <c r="F5" s="17"/>
    </row>
    <row r="6" spans="1:6">
      <c r="A6" s="16" t="s">
        <v>122</v>
      </c>
      <c r="B6" s="17">
        <v>500000</v>
      </c>
      <c r="C6" s="17">
        <v>7200000</v>
      </c>
      <c r="D6" s="17">
        <v>660000</v>
      </c>
      <c r="E6" s="17">
        <v>79200000</v>
      </c>
      <c r="F6" s="17"/>
    </row>
    <row r="7" spans="1:6">
      <c r="A7" s="16" t="s">
        <v>122</v>
      </c>
      <c r="B7" s="17">
        <v>480000</v>
      </c>
      <c r="C7" s="17">
        <v>8640000</v>
      </c>
      <c r="D7" s="17">
        <v>630000</v>
      </c>
      <c r="E7" s="17">
        <v>94500000</v>
      </c>
      <c r="F7" s="17"/>
    </row>
    <row r="8" spans="1:6">
      <c r="A8" s="16" t="s">
        <v>123</v>
      </c>
      <c r="B8" s="17">
        <v>400000</v>
      </c>
      <c r="C8" s="17">
        <v>4320000</v>
      </c>
      <c r="D8" s="17">
        <v>530000</v>
      </c>
      <c r="E8" s="17">
        <v>47700000</v>
      </c>
      <c r="F8" s="17"/>
    </row>
    <row r="9" spans="1:6">
      <c r="A9" s="16" t="s">
        <v>123</v>
      </c>
      <c r="B9" s="17">
        <v>360000</v>
      </c>
      <c r="C9" s="17">
        <v>4320000</v>
      </c>
      <c r="D9" s="17">
        <v>480000</v>
      </c>
      <c r="E9" s="17">
        <v>48000000</v>
      </c>
      <c r="F9" s="17"/>
    </row>
    <row r="10" spans="1:6">
      <c r="A10" s="16" t="s">
        <v>121</v>
      </c>
      <c r="B10" s="17">
        <v>1180000</v>
      </c>
      <c r="C10" s="17">
        <v>11328000</v>
      </c>
      <c r="D10" s="17">
        <v>1560000</v>
      </c>
      <c r="E10" s="17">
        <v>124800000</v>
      </c>
      <c r="F10" s="17"/>
    </row>
    <row r="11" spans="1:6">
      <c r="A11" s="16" t="s">
        <v>122</v>
      </c>
      <c r="B11" s="17">
        <v>520000</v>
      </c>
      <c r="C11" s="17">
        <v>8112000</v>
      </c>
      <c r="D11" s="17">
        <v>690000</v>
      </c>
      <c r="E11" s="17">
        <v>89700000</v>
      </c>
      <c r="F11" s="17"/>
    </row>
    <row r="12" spans="1:6">
      <c r="A12" s="16" t="s">
        <v>123</v>
      </c>
      <c r="B12" s="17">
        <v>350000</v>
      </c>
      <c r="C12" s="17">
        <v>3360000</v>
      </c>
      <c r="D12" s="17">
        <v>460000</v>
      </c>
      <c r="E12" s="17">
        <v>36800000</v>
      </c>
      <c r="F12" s="17"/>
    </row>
    <row r="13" spans="1:6">
      <c r="A13" s="16" t="s">
        <v>122</v>
      </c>
      <c r="B13" s="17">
        <v>360000</v>
      </c>
      <c r="C13" s="17">
        <v>5184000</v>
      </c>
      <c r="D13" s="17">
        <v>480000</v>
      </c>
      <c r="E13" s="17">
        <v>57600000</v>
      </c>
      <c r="F13" s="17"/>
    </row>
    <row r="14" spans="1:6">
      <c r="A14" s="16" t="s">
        <v>121</v>
      </c>
      <c r="B14" s="17">
        <v>1200000</v>
      </c>
      <c r="C14" s="17">
        <v>15840000</v>
      </c>
      <c r="D14" s="17">
        <v>1580000</v>
      </c>
      <c r="E14" s="17">
        <v>173800000</v>
      </c>
      <c r="F14" s="17"/>
    </row>
    <row r="15" spans="1:6">
      <c r="A15" s="16" t="s">
        <v>123</v>
      </c>
      <c r="B15" s="17">
        <v>320000</v>
      </c>
      <c r="C15" s="17">
        <v>3072000</v>
      </c>
      <c r="D15" s="17">
        <v>420000</v>
      </c>
      <c r="E15" s="17">
        <v>33600000</v>
      </c>
      <c r="F15" s="17"/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C14"/>
  <sheetViews>
    <sheetView workbookViewId="0"/>
  </sheetViews>
  <sheetFormatPr defaultRowHeight="16.5"/>
  <sheetData>
    <row r="1" spans="1:3" ht="20.25">
      <c r="A1" s="46" t="s">
        <v>0</v>
      </c>
      <c r="B1" s="46"/>
      <c r="C1" s="46"/>
    </row>
    <row r="2" spans="1:3">
      <c r="A2" s="1" t="s">
        <v>1</v>
      </c>
      <c r="B2" s="1" t="s">
        <v>2</v>
      </c>
      <c r="C2" s="1" t="s">
        <v>3</v>
      </c>
    </row>
    <row r="3" spans="1:3">
      <c r="A3" s="1" t="s">
        <v>4</v>
      </c>
      <c r="B3" s="2">
        <v>46168.934000000001</v>
      </c>
      <c r="C3" s="2">
        <v>45153.389000000003</v>
      </c>
    </row>
    <row r="4" spans="1:3">
      <c r="A4" s="1" t="s">
        <v>5</v>
      </c>
      <c r="B4" s="2">
        <v>39481.803</v>
      </c>
      <c r="C4" s="2">
        <v>36651.436999999998</v>
      </c>
    </row>
    <row r="5" spans="1:3">
      <c r="A5" s="1" t="s">
        <v>6</v>
      </c>
      <c r="B5" s="2">
        <v>47003.205999999998</v>
      </c>
      <c r="C5" s="2">
        <v>41992.349000000002</v>
      </c>
    </row>
    <row r="6" spans="1:3">
      <c r="A6" s="1" t="s">
        <v>7</v>
      </c>
      <c r="B6" s="2">
        <v>48781.156000000003</v>
      </c>
      <c r="C6" s="2">
        <v>45047.163999999997</v>
      </c>
    </row>
    <row r="7" spans="1:3">
      <c r="A7" s="1" t="s">
        <v>8</v>
      </c>
      <c r="B7" s="2">
        <v>45703.947999999997</v>
      </c>
      <c r="C7" s="2">
        <v>43619.667000000001</v>
      </c>
    </row>
    <row r="8" spans="1:3">
      <c r="A8" s="1" t="s">
        <v>9</v>
      </c>
      <c r="B8" s="2">
        <v>44008.404000000002</v>
      </c>
      <c r="C8" s="2">
        <v>40104.811999999998</v>
      </c>
    </row>
    <row r="9" spans="1:3">
      <c r="A9" s="1" t="s">
        <v>10</v>
      </c>
      <c r="B9" s="2">
        <v>46078.220999999998</v>
      </c>
      <c r="C9" s="2">
        <v>43762.245000000003</v>
      </c>
    </row>
    <row r="10" spans="1:3">
      <c r="A10" s="1" t="s">
        <v>11</v>
      </c>
      <c r="B10" s="2">
        <v>44020.065000000002</v>
      </c>
      <c r="C10" s="2">
        <v>42457.25</v>
      </c>
    </row>
    <row r="11" spans="1:3">
      <c r="A11" s="1" t="s">
        <v>12</v>
      </c>
      <c r="B11" s="2">
        <v>44629.053</v>
      </c>
      <c r="C11" s="2">
        <v>38741.472999999998</v>
      </c>
    </row>
    <row r="12" spans="1:3">
      <c r="A12" s="1" t="s">
        <v>13</v>
      </c>
      <c r="B12" s="2">
        <v>46648.756000000001</v>
      </c>
      <c r="C12" s="2">
        <v>41396.517</v>
      </c>
    </row>
    <row r="13" spans="1:3">
      <c r="A13" s="1" t="s">
        <v>14</v>
      </c>
      <c r="B13" s="2">
        <v>44040.722000000002</v>
      </c>
      <c r="C13" s="2">
        <v>40729.214999999997</v>
      </c>
    </row>
    <row r="14" spans="1:3">
      <c r="A14" s="1" t="s">
        <v>15</v>
      </c>
      <c r="B14" s="2">
        <v>45668.341</v>
      </c>
      <c r="C14" s="2">
        <v>43687.43</v>
      </c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2021-09-01T10:05:05Z</dcterms:created>
  <dcterms:modified xsi:type="dcterms:W3CDTF">2023-07-31T09:42:34Z</dcterms:modified>
</cp:coreProperties>
</file>