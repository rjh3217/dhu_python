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E:\영진(2023년)\상시시험공략집\2급\2023컴활2급(상시)\상시시험문제\"/>
    </mc:Choice>
  </mc:AlternateContent>
  <bookViews>
    <workbookView xWindow="0" yWindow="0" windowWidth="18230" windowHeight="16520" tabRatio="818"/>
  </bookViews>
  <sheets>
    <sheet name="기본작업-1" sheetId="1" r:id="rId1"/>
    <sheet name="기본작업-2" sheetId="2" r:id="rId2"/>
    <sheet name="기본작업-3" sheetId="3" r:id="rId3"/>
    <sheet name="계산작업" sheetId="9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5" i="9" l="1"/>
  <c r="I24" i="9"/>
  <c r="I23" i="9"/>
  <c r="I22" i="9"/>
  <c r="I21" i="9"/>
  <c r="I20" i="9"/>
  <c r="I19" i="9"/>
  <c r="I18" i="9"/>
  <c r="I17" i="9"/>
  <c r="G4" i="6" l="1"/>
</calcChain>
</file>

<file path=xl/sharedStrings.xml><?xml version="1.0" encoding="utf-8"?>
<sst xmlns="http://schemas.openxmlformats.org/spreadsheetml/2006/main" count="325" uniqueCount="275">
  <si>
    <t>구분별 근무 인원</t>
    <phoneticPr fontId="1" type="noConversion"/>
  </si>
  <si>
    <t>구분</t>
    <phoneticPr fontId="3" type="noConversion"/>
  </si>
  <si>
    <t>순환출근</t>
    <phoneticPr fontId="3" type="noConversion"/>
  </si>
  <si>
    <t>재택근무</t>
    <phoneticPr fontId="3" type="noConversion"/>
  </si>
  <si>
    <t>사기업</t>
    <phoneticPr fontId="3" type="noConversion"/>
  </si>
  <si>
    <t>공기업</t>
    <phoneticPr fontId="3" type="noConversion"/>
  </si>
  <si>
    <t>국가기관</t>
    <phoneticPr fontId="3" type="noConversion"/>
  </si>
  <si>
    <t>개인사업자</t>
    <phoneticPr fontId="3" type="noConversion"/>
  </si>
  <si>
    <t>대리점명</t>
    <phoneticPr fontId="3" type="noConversion"/>
  </si>
  <si>
    <t>1월</t>
    <phoneticPr fontId="3" type="noConversion"/>
  </si>
  <si>
    <t>2월</t>
  </si>
  <si>
    <t>3월</t>
  </si>
  <si>
    <t>4월</t>
  </si>
  <si>
    <t>5월</t>
  </si>
  <si>
    <t>서울</t>
  </si>
  <si>
    <t>인천국제공항</t>
  </si>
  <si>
    <t>영등포</t>
  </si>
  <si>
    <t>광명</t>
  </si>
  <si>
    <t>평창</t>
  </si>
  <si>
    <t>천안아산</t>
  </si>
  <si>
    <t>대전</t>
  </si>
  <si>
    <t>동대구</t>
  </si>
  <si>
    <t>밀양</t>
  </si>
  <si>
    <t>울산</t>
  </si>
  <si>
    <t>부산</t>
  </si>
  <si>
    <t>타이틀명</t>
  </si>
  <si>
    <t>장르</t>
  </si>
  <si>
    <t>액션</t>
  </si>
  <si>
    <t>범죄</t>
  </si>
  <si>
    <t>[표1]</t>
    <phoneticPr fontId="3" type="noConversion"/>
  </si>
  <si>
    <t>학과목</t>
    <phoneticPr fontId="3" type="noConversion"/>
  </si>
  <si>
    <t>국어</t>
    <phoneticPr fontId="3" type="noConversion"/>
  </si>
  <si>
    <t>영어</t>
    <phoneticPr fontId="3" type="noConversion"/>
  </si>
  <si>
    <t>수학</t>
    <phoneticPr fontId="3" type="noConversion"/>
  </si>
  <si>
    <t>탐구</t>
    <phoneticPr fontId="3" type="noConversion"/>
  </si>
  <si>
    <t>총점</t>
    <phoneticPr fontId="3" type="noConversion"/>
  </si>
  <si>
    <t>표준평균</t>
    <phoneticPr fontId="3" type="noConversion"/>
  </si>
  <si>
    <t>반영비율</t>
    <phoneticPr fontId="3" type="noConversion"/>
  </si>
  <si>
    <t>내 취향에 맞는 차</t>
    <phoneticPr fontId="1" type="noConversion"/>
  </si>
  <si>
    <t>샹치와 텐 링즈의 전설</t>
    <phoneticPr fontId="1" type="noConversion"/>
  </si>
  <si>
    <t>인질</t>
    <phoneticPr fontId="1" type="noConversion"/>
  </si>
  <si>
    <t>모가디슈</t>
    <phoneticPr fontId="1" type="noConversion"/>
  </si>
  <si>
    <t>싱크홀</t>
    <phoneticPr fontId="1" type="noConversion"/>
  </si>
  <si>
    <t>코다</t>
    <phoneticPr fontId="1" type="noConversion"/>
  </si>
  <si>
    <t>건파우더 밀크셰이크</t>
    <phoneticPr fontId="1" type="noConversion"/>
  </si>
  <si>
    <t>좋은 사람</t>
    <phoneticPr fontId="1" type="noConversion"/>
  </si>
  <si>
    <t>쇼미더고스트</t>
    <phoneticPr fontId="1" type="noConversion"/>
  </si>
  <si>
    <t>관람객 평점</t>
    <phoneticPr fontId="1" type="noConversion"/>
  </si>
  <si>
    <t>누적관객수</t>
    <phoneticPr fontId="1" type="noConversion"/>
  </si>
  <si>
    <t>드라마</t>
    <phoneticPr fontId="1" type="noConversion"/>
  </si>
  <si>
    <t>코미디</t>
    <phoneticPr fontId="1" type="noConversion"/>
  </si>
  <si>
    <t>드라마</t>
    <phoneticPr fontId="1" type="noConversion"/>
  </si>
  <si>
    <t>액션</t>
    <phoneticPr fontId="1" type="noConversion"/>
  </si>
  <si>
    <t>미스터리</t>
    <phoneticPr fontId="1" type="noConversion"/>
  </si>
  <si>
    <t>맨 인 더 파크 2</t>
    <phoneticPr fontId="1" type="noConversion"/>
  </si>
  <si>
    <t>관람시간</t>
    <phoneticPr fontId="1" type="noConversion"/>
  </si>
  <si>
    <t>132분</t>
    <phoneticPr fontId="1" type="noConversion"/>
  </si>
  <si>
    <t>94분</t>
    <phoneticPr fontId="1" type="noConversion"/>
  </si>
  <si>
    <t>121분</t>
    <phoneticPr fontId="1" type="noConversion"/>
  </si>
  <si>
    <t>113분</t>
    <phoneticPr fontId="1" type="noConversion"/>
  </si>
  <si>
    <t>98분</t>
    <phoneticPr fontId="1" type="noConversion"/>
  </si>
  <si>
    <t>111분</t>
    <phoneticPr fontId="1" type="noConversion"/>
  </si>
  <si>
    <t>귀문</t>
    <phoneticPr fontId="1" type="noConversion"/>
  </si>
  <si>
    <t>85분</t>
    <phoneticPr fontId="1" type="noConversion"/>
  </si>
  <si>
    <t>내일의 기억</t>
    <phoneticPr fontId="1" type="noConversion"/>
  </si>
  <si>
    <t>99분</t>
    <phoneticPr fontId="1" type="noConversion"/>
  </si>
  <si>
    <t>여름날 우리</t>
    <phoneticPr fontId="1" type="noConversion"/>
  </si>
  <si>
    <t>로맨스</t>
    <phoneticPr fontId="1" type="noConversion"/>
  </si>
  <si>
    <t>115분</t>
    <phoneticPr fontId="1" type="noConversion"/>
  </si>
  <si>
    <t>최선의 삶</t>
    <phoneticPr fontId="1" type="noConversion"/>
  </si>
  <si>
    <t>109분</t>
    <phoneticPr fontId="1" type="noConversion"/>
  </si>
  <si>
    <t>83분</t>
    <phoneticPr fontId="1" type="noConversion"/>
  </si>
  <si>
    <t>101분</t>
    <phoneticPr fontId="1" type="noConversion"/>
  </si>
  <si>
    <t>115분</t>
    <phoneticPr fontId="1" type="noConversion"/>
  </si>
  <si>
    <t>번호</t>
    <phoneticPr fontId="8" type="noConversion"/>
  </si>
  <si>
    <t>성명</t>
    <phoneticPr fontId="8" type="noConversion"/>
  </si>
  <si>
    <t>부서</t>
    <phoneticPr fontId="8" type="noConversion"/>
  </si>
  <si>
    <t>직급</t>
    <phoneticPr fontId="8" type="noConversion"/>
  </si>
  <si>
    <t>연락처</t>
    <phoneticPr fontId="8" type="noConversion"/>
  </si>
  <si>
    <t>출장지</t>
    <phoneticPr fontId="8" type="noConversion"/>
  </si>
  <si>
    <t>출장기간</t>
    <phoneticPr fontId="8" type="noConversion"/>
  </si>
  <si>
    <t>출장비</t>
    <phoneticPr fontId="8" type="noConversion"/>
  </si>
  <si>
    <t>교통비</t>
    <phoneticPr fontId="8" type="noConversion"/>
  </si>
  <si>
    <t>출장비합계</t>
    <phoneticPr fontId="8" type="noConversion"/>
  </si>
  <si>
    <t>김경화</t>
  </si>
  <si>
    <t>관리부</t>
    <phoneticPr fontId="8" type="noConversion"/>
  </si>
  <si>
    <t>차장</t>
    <phoneticPr fontId="8" type="noConversion"/>
  </si>
  <si>
    <t>010-4567-9876</t>
  </si>
  <si>
    <t>김우연</t>
  </si>
  <si>
    <t>기획실</t>
    <phoneticPr fontId="8" type="noConversion"/>
  </si>
  <si>
    <t>010-9097-1234</t>
    <phoneticPr fontId="1" type="noConversion"/>
  </si>
  <si>
    <t>제주도</t>
  </si>
  <si>
    <t>김학주</t>
  </si>
  <si>
    <t>부장</t>
    <phoneticPr fontId="8" type="noConversion"/>
  </si>
  <si>
    <t>010-3258-7777</t>
    <phoneticPr fontId="11" type="noConversion"/>
  </si>
  <si>
    <t>박상범</t>
  </si>
  <si>
    <t>영업부</t>
    <phoneticPr fontId="8" type="noConversion"/>
  </si>
  <si>
    <t>부장</t>
    <phoneticPr fontId="8" type="noConversion"/>
  </si>
  <si>
    <t>010-1234-9876</t>
  </si>
  <si>
    <t>박은수</t>
  </si>
  <si>
    <t>영업부</t>
    <phoneticPr fontId="8" type="noConversion"/>
  </si>
  <si>
    <t>대리</t>
    <phoneticPr fontId="8" type="noConversion"/>
  </si>
  <si>
    <t>010-6543-4321</t>
  </si>
  <si>
    <t>배민석</t>
  </si>
  <si>
    <t>영업부</t>
    <phoneticPr fontId="8" type="noConversion"/>
  </si>
  <si>
    <t>010-7676-1234</t>
  </si>
  <si>
    <t>세종</t>
  </si>
  <si>
    <t>오재석</t>
  </si>
  <si>
    <t>사원</t>
    <phoneticPr fontId="8" type="noConversion"/>
  </si>
  <si>
    <t>010-8989-9876</t>
  </si>
  <si>
    <t>유현재</t>
  </si>
  <si>
    <t>총무부</t>
  </si>
  <si>
    <t>대리</t>
    <phoneticPr fontId="8" type="noConversion"/>
  </si>
  <si>
    <t>010-5555-9495</t>
    <phoneticPr fontId="11" type="noConversion"/>
  </si>
  <si>
    <t>음용선</t>
  </si>
  <si>
    <t>이소은</t>
  </si>
  <si>
    <t>010-2245-8579</t>
    <phoneticPr fontId="1" type="noConversion"/>
  </si>
  <si>
    <t>이연민</t>
  </si>
  <si>
    <t>최현국</t>
  </si>
  <si>
    <t>010-1456-3456</t>
  </si>
  <si>
    <t>한현희</t>
  </si>
  <si>
    <t>010-1234-7679</t>
    <phoneticPr fontId="11" type="noConversion"/>
  </si>
  <si>
    <t>영화 평점과 누적관객수</t>
    <phoneticPr fontId="1" type="noConversion"/>
  </si>
  <si>
    <t>출장비 지급 내역서</t>
    <phoneticPr fontId="1" type="noConversion"/>
  </si>
  <si>
    <t>수학점수</t>
    <phoneticPr fontId="1" type="noConversion"/>
  </si>
  <si>
    <t>평균</t>
    <phoneticPr fontId="1" type="noConversion"/>
  </si>
  <si>
    <t>분류</t>
    <phoneticPr fontId="1" type="noConversion"/>
  </si>
  <si>
    <t>상품명</t>
    <phoneticPr fontId="1" type="noConversion"/>
  </si>
  <si>
    <t>단위</t>
    <phoneticPr fontId="1" type="noConversion"/>
  </si>
  <si>
    <t>할인율</t>
    <phoneticPr fontId="1" type="noConversion"/>
  </si>
  <si>
    <t>갈비선물세트</t>
    <phoneticPr fontId="1" type="noConversion"/>
  </si>
  <si>
    <t>양념소고기 선물세트 5호</t>
    <phoneticPr fontId="1" type="noConversion"/>
  </si>
  <si>
    <t>토시살 800g/갈비살 800g/불고기 800g</t>
    <phoneticPr fontId="1" type="noConversion"/>
  </si>
  <si>
    <t>장금이 선물세트 6호</t>
    <phoneticPr fontId="1" type="noConversion"/>
  </si>
  <si>
    <t>토시살 800g*2/갈비살 800g*2</t>
    <phoneticPr fontId="1" type="noConversion"/>
  </si>
  <si>
    <t>과일선물세트</t>
    <phoneticPr fontId="1" type="noConversion"/>
  </si>
  <si>
    <t>달콤한 망고선물세트</t>
    <phoneticPr fontId="1" type="noConversion"/>
  </si>
  <si>
    <t>8개입</t>
    <phoneticPr fontId="1" type="noConversion"/>
  </si>
  <si>
    <t>샤인머스켓</t>
    <phoneticPr fontId="1" type="noConversion"/>
  </si>
  <si>
    <t>2kg(3~4송이)</t>
    <phoneticPr fontId="1" type="noConversion"/>
  </si>
  <si>
    <t>메론 선물세트</t>
    <phoneticPr fontId="1" type="noConversion"/>
  </si>
  <si>
    <t>2개입/4kg 내외</t>
    <phoneticPr fontId="1" type="noConversion"/>
  </si>
  <si>
    <t>레드 메론</t>
    <phoneticPr fontId="1" type="noConversion"/>
  </si>
  <si>
    <t>8kg</t>
    <phoneticPr fontId="1" type="noConversion"/>
  </si>
  <si>
    <t>나주배</t>
    <phoneticPr fontId="1" type="noConversion"/>
  </si>
  <si>
    <t>7.5kg(11-12)</t>
    <phoneticPr fontId="1" type="noConversion"/>
  </si>
  <si>
    <t>굴비세트</t>
    <phoneticPr fontId="1" type="noConversion"/>
  </si>
  <si>
    <t>굴비 오가 1호 10미</t>
    <phoneticPr fontId="1" type="noConversion"/>
  </si>
  <si>
    <t>20cm 내외</t>
    <phoneticPr fontId="1" type="noConversion"/>
  </si>
  <si>
    <t>보리굴비 5미</t>
    <phoneticPr fontId="1" type="noConversion"/>
  </si>
  <si>
    <t>30cm 내외</t>
    <phoneticPr fontId="1" type="noConversion"/>
  </si>
  <si>
    <t>굴비 장대 6호 20미</t>
    <phoneticPr fontId="1" type="noConversion"/>
  </si>
  <si>
    <t>2.2kg 내외(21cm 내외)</t>
    <phoneticPr fontId="1" type="noConversion"/>
  </si>
  <si>
    <t>건어물세트</t>
    <phoneticPr fontId="1" type="noConversion"/>
  </si>
  <si>
    <t>조미돌김2호</t>
    <phoneticPr fontId="1" type="noConversion"/>
  </si>
  <si>
    <t>7매*20봉</t>
    <phoneticPr fontId="1" type="noConversion"/>
  </si>
  <si>
    <t>어촌면가 1호</t>
    <phoneticPr fontId="1" type="noConversion"/>
  </si>
  <si>
    <t>멸치볶음, 국물, 새우, 황태채</t>
    <phoneticPr fontId="1" type="noConversion"/>
  </si>
  <si>
    <t>멸치세트 5호</t>
    <phoneticPr fontId="1" type="noConversion"/>
  </si>
  <si>
    <t>세멸750g, 중멸750g</t>
    <phoneticPr fontId="1" type="noConversion"/>
  </si>
  <si>
    <t>추석선물 특별전</t>
    <phoneticPr fontId="1" type="noConversion"/>
  </si>
  <si>
    <t>금액</t>
    <phoneticPr fontId="1" type="noConversion"/>
  </si>
  <si>
    <t>[표1]</t>
    <phoneticPr fontId="1" type="noConversion"/>
  </si>
  <si>
    <t>임직원 개인정보</t>
    <phoneticPr fontId="1" type="noConversion"/>
  </si>
  <si>
    <t>[표2]</t>
    <phoneticPr fontId="1" type="noConversion"/>
  </si>
  <si>
    <t>가상 점수 결과</t>
    <phoneticPr fontId="1" type="noConversion"/>
  </si>
  <si>
    <t>직원명</t>
    <phoneticPr fontId="1" type="noConversion"/>
  </si>
  <si>
    <t>거주지</t>
    <phoneticPr fontId="1" type="noConversion"/>
  </si>
  <si>
    <t>주민등록번호</t>
    <phoneticPr fontId="1" type="noConversion"/>
  </si>
  <si>
    <t>생년월일</t>
    <phoneticPr fontId="1" type="noConversion"/>
  </si>
  <si>
    <t>직위</t>
    <phoneticPr fontId="1" type="noConversion"/>
  </si>
  <si>
    <t>1차</t>
    <phoneticPr fontId="1" type="noConversion"/>
  </si>
  <si>
    <t>2차</t>
  </si>
  <si>
    <t>오지명</t>
    <phoneticPr fontId="14" type="noConversion"/>
  </si>
  <si>
    <t>노원구</t>
    <phoneticPr fontId="1" type="noConversion"/>
  </si>
  <si>
    <t>750521-1******</t>
    <phoneticPr fontId="1" type="noConversion"/>
  </si>
  <si>
    <t>오지명</t>
    <phoneticPr fontId="14" type="noConversion"/>
  </si>
  <si>
    <t>부장</t>
    <phoneticPr fontId="1" type="noConversion"/>
  </si>
  <si>
    <t>남지영</t>
    <phoneticPr fontId="14" type="noConversion"/>
  </si>
  <si>
    <t>강서구</t>
    <phoneticPr fontId="1" type="noConversion"/>
  </si>
  <si>
    <t>880705-2******</t>
    <phoneticPr fontId="1" type="noConversion"/>
  </si>
  <si>
    <t>과장</t>
    <phoneticPr fontId="1" type="noConversion"/>
  </si>
  <si>
    <t>권경애</t>
    <phoneticPr fontId="14" type="noConversion"/>
  </si>
  <si>
    <t>강북구</t>
    <phoneticPr fontId="1" type="noConversion"/>
  </si>
  <si>
    <t>890625-2******</t>
    <phoneticPr fontId="1" type="noConversion"/>
  </si>
  <si>
    <t>강수영</t>
    <phoneticPr fontId="14" type="noConversion"/>
  </si>
  <si>
    <t>강남구</t>
    <phoneticPr fontId="1" type="noConversion"/>
  </si>
  <si>
    <t>920402-2******</t>
    <phoneticPr fontId="1" type="noConversion"/>
  </si>
  <si>
    <t>사원</t>
    <phoneticPr fontId="1" type="noConversion"/>
  </si>
  <si>
    <t>나우선</t>
    <phoneticPr fontId="14" type="noConversion"/>
  </si>
  <si>
    <t>서대문구</t>
    <phoneticPr fontId="1" type="noConversion"/>
  </si>
  <si>
    <t>910308-1******</t>
    <phoneticPr fontId="1" type="noConversion"/>
  </si>
  <si>
    <t>대리</t>
    <phoneticPr fontId="1" type="noConversion"/>
  </si>
  <si>
    <t>임철수</t>
    <phoneticPr fontId="14" type="noConversion"/>
  </si>
  <si>
    <t>중구</t>
    <phoneticPr fontId="1" type="noConversion"/>
  </si>
  <si>
    <t>860208-1******</t>
    <phoneticPr fontId="1" type="noConversion"/>
  </si>
  <si>
    <t>차장</t>
    <phoneticPr fontId="1" type="noConversion"/>
  </si>
  <si>
    <t>이미지</t>
    <phoneticPr fontId="14" type="noConversion"/>
  </si>
  <si>
    <t>동대문구</t>
    <phoneticPr fontId="1" type="noConversion"/>
  </si>
  <si>
    <t>891109-2******</t>
    <phoneticPr fontId="1" type="noConversion"/>
  </si>
  <si>
    <t>대리</t>
    <phoneticPr fontId="3" type="noConversion"/>
  </si>
  <si>
    <t>진형민</t>
    <phoneticPr fontId="14" type="noConversion"/>
  </si>
  <si>
    <t>송파구</t>
    <phoneticPr fontId="1" type="noConversion"/>
  </si>
  <si>
    <t>791029-1******</t>
    <phoneticPr fontId="1" type="noConversion"/>
  </si>
  <si>
    <t>차장</t>
    <phoneticPr fontId="3" type="noConversion"/>
  </si>
  <si>
    <t>방대현</t>
    <phoneticPr fontId="14" type="noConversion"/>
  </si>
  <si>
    <t>동작구</t>
    <phoneticPr fontId="1" type="noConversion"/>
  </si>
  <si>
    <t>820306-1******</t>
    <phoneticPr fontId="1" type="noConversion"/>
  </si>
  <si>
    <t>안혜정</t>
    <phoneticPr fontId="14" type="noConversion"/>
  </si>
  <si>
    <t>구로구</t>
    <phoneticPr fontId="1" type="noConversion"/>
  </si>
  <si>
    <t>850501-2******</t>
    <phoneticPr fontId="1" type="noConversion"/>
  </si>
  <si>
    <t>현미자</t>
    <phoneticPr fontId="14" type="noConversion"/>
  </si>
  <si>
    <t>영등포구</t>
    <phoneticPr fontId="1" type="noConversion"/>
  </si>
  <si>
    <t>771014-2******</t>
    <phoneticPr fontId="1" type="noConversion"/>
  </si>
  <si>
    <t xml:space="preserve">[표3] </t>
    <phoneticPr fontId="1" type="noConversion"/>
  </si>
  <si>
    <t>건강검진 결과</t>
    <phoneticPr fontId="1" type="noConversion"/>
  </si>
  <si>
    <t>[표4]</t>
    <phoneticPr fontId="1" type="noConversion"/>
  </si>
  <si>
    <t>영업점별 굿즈 주문 현황</t>
    <phoneticPr fontId="1" type="noConversion"/>
  </si>
  <si>
    <t>직원명</t>
    <phoneticPr fontId="1" type="noConversion"/>
  </si>
  <si>
    <t>신장(cm)</t>
    <phoneticPr fontId="1" type="noConversion"/>
  </si>
  <si>
    <t>체중(kg)</t>
    <phoneticPr fontId="1" type="noConversion"/>
  </si>
  <si>
    <t>영업점</t>
    <phoneticPr fontId="1" type="noConversion"/>
  </si>
  <si>
    <t>주문량</t>
  </si>
  <si>
    <t>단가</t>
  </si>
  <si>
    <t>판매액</t>
    <phoneticPr fontId="1" type="noConversion"/>
  </si>
  <si>
    <t>할인액</t>
  </si>
  <si>
    <t>임지훈</t>
  </si>
  <si>
    <t>을지로점</t>
    <phoneticPr fontId="1" type="noConversion"/>
  </si>
  <si>
    <t>원영만</t>
  </si>
  <si>
    <t>강남점</t>
    <phoneticPr fontId="1" type="noConversion"/>
  </si>
  <si>
    <t>도지형</t>
    <phoneticPr fontId="1" type="noConversion"/>
  </si>
  <si>
    <t>노원점</t>
    <phoneticPr fontId="1" type="noConversion"/>
  </si>
  <si>
    <t>강성훈</t>
    <phoneticPr fontId="1" type="noConversion"/>
  </si>
  <si>
    <t>송파점</t>
    <phoneticPr fontId="1" type="noConversion"/>
  </si>
  <si>
    <t>남정민</t>
  </si>
  <si>
    <t>강동점</t>
    <phoneticPr fontId="1" type="noConversion"/>
  </si>
  <si>
    <t>임철수</t>
    <phoneticPr fontId="1" type="noConversion"/>
  </si>
  <si>
    <t>강서점</t>
    <phoneticPr fontId="1" type="noConversion"/>
  </si>
  <si>
    <t>오성환</t>
  </si>
  <si>
    <t>구로점</t>
    <phoneticPr fontId="1" type="noConversion"/>
  </si>
  <si>
    <t>정철환</t>
    <phoneticPr fontId="1" type="noConversion"/>
  </si>
  <si>
    <t>동작점</t>
    <phoneticPr fontId="1" type="noConversion"/>
  </si>
  <si>
    <t>이정호</t>
    <phoneticPr fontId="1" type="noConversion"/>
  </si>
  <si>
    <t>영등포점</t>
    <phoneticPr fontId="1" type="noConversion"/>
  </si>
  <si>
    <t>유정훈</t>
    <phoneticPr fontId="1" type="noConversion"/>
  </si>
  <si>
    <t>몸무게 차이</t>
  </si>
  <si>
    <t>곽도훈</t>
    <phoneticPr fontId="1" type="noConversion"/>
  </si>
  <si>
    <t>&lt;굿즈코드표&gt;</t>
    <phoneticPr fontId="1" type="noConversion"/>
  </si>
  <si>
    <t>열쇠고리</t>
    <phoneticPr fontId="1" type="noConversion"/>
  </si>
  <si>
    <t>인형</t>
    <phoneticPr fontId="1" type="noConversion"/>
  </si>
  <si>
    <t>머그컵</t>
    <phoneticPr fontId="1" type="noConversion"/>
  </si>
  <si>
    <t>[표5]</t>
    <phoneticPr fontId="1" type="noConversion"/>
  </si>
  <si>
    <t>라이언</t>
    <phoneticPr fontId="1" type="noConversion"/>
  </si>
  <si>
    <t>LK</t>
    <phoneticPr fontId="1" type="noConversion"/>
  </si>
  <si>
    <t>LD</t>
    <phoneticPr fontId="1" type="noConversion"/>
  </si>
  <si>
    <t>LC</t>
    <phoneticPr fontId="1" type="noConversion"/>
  </si>
  <si>
    <t>주문자</t>
    <phoneticPr fontId="1" type="noConversion"/>
  </si>
  <si>
    <t>캐릭터</t>
    <phoneticPr fontId="1" type="noConversion"/>
  </si>
  <si>
    <t>상품종류</t>
    <phoneticPr fontId="1" type="noConversion"/>
  </si>
  <si>
    <t>굿즈코드</t>
    <phoneticPr fontId="1" type="noConversion"/>
  </si>
  <si>
    <t>타이거</t>
    <phoneticPr fontId="1" type="noConversion"/>
  </si>
  <si>
    <t>TK</t>
    <phoneticPr fontId="1" type="noConversion"/>
  </si>
  <si>
    <t>TD</t>
    <phoneticPr fontId="1" type="noConversion"/>
  </si>
  <si>
    <t>TC</t>
    <phoneticPr fontId="1" type="noConversion"/>
  </si>
  <si>
    <t>김서윤</t>
    <phoneticPr fontId="1" type="noConversion"/>
  </si>
  <si>
    <t>라이언</t>
  </si>
  <si>
    <t>머그컵</t>
  </si>
  <si>
    <t>엘리펀트</t>
    <phoneticPr fontId="1" type="noConversion"/>
  </si>
  <si>
    <t>EK</t>
    <phoneticPr fontId="1" type="noConversion"/>
  </si>
  <si>
    <t>ED</t>
    <phoneticPr fontId="1" type="noConversion"/>
  </si>
  <si>
    <t>EC</t>
    <phoneticPr fontId="1" type="noConversion"/>
  </si>
  <si>
    <t>&lt;캐릭터표&gt;</t>
    <phoneticPr fontId="1" type="noConversion"/>
  </si>
  <si>
    <t>코드</t>
    <phoneticPr fontId="1" type="noConversion"/>
  </si>
  <si>
    <t>&lt;상품종류표&gt;</t>
    <phoneticPr fontId="1" type="noConversion"/>
  </si>
  <si>
    <t>[표2] 수학 점수에 따른 총점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</si>
</sst>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0.0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ajor"/>
    </font>
    <font>
      <sz val="8"/>
      <name val="굴림체"/>
      <family val="3"/>
      <charset val="129"/>
    </font>
    <font>
      <sz val="11"/>
      <name val="맑은 고딕"/>
      <family val="3"/>
      <charset val="129"/>
      <scheme val="major"/>
    </font>
    <font>
      <sz val="11"/>
      <name val="맑은 고딕"/>
      <family val="3"/>
      <charset val="129"/>
    </font>
    <font>
      <sz val="8"/>
      <name val="맑은 고딕"/>
      <family val="3"/>
      <charset val="129"/>
    </font>
    <font>
      <sz val="10"/>
      <color theme="1"/>
      <name val="맑은 고딕"/>
      <family val="3"/>
      <charset val="129"/>
      <scheme val="major"/>
    </font>
    <font>
      <sz val="11"/>
      <color theme="1"/>
      <name val="맑은 고딕"/>
      <family val="2"/>
      <scheme val="minor"/>
    </font>
    <font>
      <sz val="8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13" fillId="0" borderId="0"/>
    <xf numFmtId="0" fontId="2" fillId="0" borderId="0">
      <alignment vertical="center"/>
    </xf>
    <xf numFmtId="0" fontId="13" fillId="0" borderId="0"/>
  </cellStyleXfs>
  <cellXfs count="53">
    <xf numFmtId="0" fontId="0" fillId="0" borderId="0" xfId="0">
      <alignment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/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41" fontId="4" fillId="0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6" fillId="0" borderId="0" xfId="0" applyFont="1" applyAlignment="1"/>
    <xf numFmtId="0" fontId="6" fillId="0" borderId="0" xfId="0" applyFont="1" applyAlignment="1">
      <alignment horizontal="right" vertic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right"/>
    </xf>
    <xf numFmtId="176" fontId="4" fillId="0" borderId="1" xfId="0" applyNumberFormat="1" applyFont="1" applyFill="1" applyBorder="1" applyAlignment="1">
      <alignment horizontal="center" vertical="center"/>
    </xf>
    <xf numFmtId="2" fontId="4" fillId="0" borderId="1" xfId="0" applyNumberFormat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9" fillId="0" borderId="1" xfId="1" applyNumberFormat="1" applyFont="1" applyFill="1" applyBorder="1" applyAlignment="1">
      <alignment horizontal="center" vertical="center"/>
    </xf>
    <xf numFmtId="14" fontId="9" fillId="0" borderId="1" xfId="0" applyNumberFormat="1" applyFont="1" applyFill="1" applyBorder="1" applyAlignment="1">
      <alignment horizontal="center" vertical="center"/>
    </xf>
    <xf numFmtId="41" fontId="9" fillId="0" borderId="1" xfId="1" applyFont="1" applyFill="1" applyBorder="1" applyAlignment="1">
      <alignment vertical="center"/>
    </xf>
    <xf numFmtId="41" fontId="9" fillId="0" borderId="1" xfId="1" applyFont="1" applyFill="1" applyBorder="1" applyAlignment="1">
      <alignment horizontal="justify" vertical="center"/>
    </xf>
    <xf numFmtId="0" fontId="10" fillId="0" borderId="1" xfId="0" applyFont="1" applyFill="1" applyBorder="1" applyAlignment="1">
      <alignment horizontal="center" vertical="center"/>
    </xf>
    <xf numFmtId="41" fontId="9" fillId="0" borderId="1" xfId="1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4" fillId="0" borderId="0" xfId="2" applyFont="1" applyAlignment="1">
      <alignment vertical="center"/>
    </xf>
    <xf numFmtId="0" fontId="6" fillId="0" borderId="0" xfId="2" applyFont="1" applyAlignment="1">
      <alignment vertical="center"/>
    </xf>
    <xf numFmtId="0" fontId="13" fillId="0" borderId="0" xfId="2" applyAlignment="1">
      <alignment vertical="center"/>
    </xf>
    <xf numFmtId="0" fontId="4" fillId="0" borderId="0" xfId="3" applyFont="1">
      <alignment vertical="center"/>
    </xf>
    <xf numFmtId="0" fontId="6" fillId="0" borderId="0" xfId="3" applyFont="1">
      <alignment vertical="center"/>
    </xf>
    <xf numFmtId="0" fontId="2" fillId="0" borderId="0" xfId="3">
      <alignment vertical="center"/>
    </xf>
    <xf numFmtId="0" fontId="4" fillId="0" borderId="1" xfId="2" applyNumberFormat="1" applyFont="1" applyFill="1" applyBorder="1" applyAlignment="1">
      <alignment horizontal="center" vertical="center"/>
    </xf>
    <xf numFmtId="0" fontId="0" fillId="0" borderId="1" xfId="3" applyFont="1" applyFill="1" applyBorder="1" applyAlignment="1">
      <alignment horizontal="center" vertical="center"/>
    </xf>
    <xf numFmtId="0" fontId="0" fillId="0" borderId="1" xfId="3" applyFont="1" applyBorder="1" applyAlignment="1">
      <alignment horizontal="center" vertical="center"/>
    </xf>
    <xf numFmtId="0" fontId="13" fillId="0" borderId="1" xfId="2" applyBorder="1" applyAlignment="1">
      <alignment horizontal="center" vertical="center"/>
    </xf>
    <xf numFmtId="14" fontId="13" fillId="0" borderId="1" xfId="2" applyNumberFormat="1" applyBorder="1" applyAlignment="1">
      <alignment horizontal="center" vertical="center"/>
    </xf>
    <xf numFmtId="0" fontId="13" fillId="0" borderId="1" xfId="4" applyBorder="1" applyAlignment="1">
      <alignment horizontal="center" vertical="center"/>
    </xf>
    <xf numFmtId="0" fontId="4" fillId="0" borderId="0" xfId="0" applyFont="1">
      <alignment vertical="center"/>
    </xf>
    <xf numFmtId="0" fontId="0" fillId="0" borderId="1" xfId="0" applyNumberFormat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1" xfId="0" applyFill="1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4" fillId="3" borderId="1" xfId="2" applyNumberFormat="1" applyFont="1" applyFill="1" applyBorder="1" applyAlignment="1">
      <alignment horizontal="center" vertical="center"/>
    </xf>
    <xf numFmtId="0" fontId="13" fillId="3" borderId="1" xfId="4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</cellXfs>
  <cellStyles count="5">
    <cellStyle name="쉼표 [0]" xfId="1" builtinId="6"/>
    <cellStyle name="표준" xfId="0" builtinId="0"/>
    <cellStyle name="표준 3" xfId="2"/>
    <cellStyle name="표준 3 2" xfId="3"/>
    <cellStyle name="표준 4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차트작업!$B$2</c:f>
              <c:strCache>
                <c:ptCount val="1"/>
                <c:pt idx="0">
                  <c:v>순환출근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차트작업!$A$3:$A$6</c:f>
              <c:strCache>
                <c:ptCount val="4"/>
                <c:pt idx="0">
                  <c:v>사기업</c:v>
                </c:pt>
                <c:pt idx="1">
                  <c:v>공기업</c:v>
                </c:pt>
                <c:pt idx="2">
                  <c:v>국가기관</c:v>
                </c:pt>
                <c:pt idx="3">
                  <c:v>개인사업자</c:v>
                </c:pt>
              </c:strCache>
            </c:strRef>
          </c:cat>
          <c:val>
            <c:numRef>
              <c:f>차트작업!$B$3:$B$6</c:f>
              <c:numCache>
                <c:formatCode>General</c:formatCode>
                <c:ptCount val="4"/>
                <c:pt idx="0">
                  <c:v>351</c:v>
                </c:pt>
                <c:pt idx="1">
                  <c:v>280</c:v>
                </c:pt>
                <c:pt idx="2">
                  <c:v>53</c:v>
                </c:pt>
                <c:pt idx="3">
                  <c:v>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C4-4E6E-9028-4386159BA410}"/>
            </c:ext>
          </c:extLst>
        </c:ser>
        <c:ser>
          <c:idx val="1"/>
          <c:order val="1"/>
          <c:tx>
            <c:strRef>
              <c:f>차트작업!$C$2</c:f>
              <c:strCache>
                <c:ptCount val="1"/>
                <c:pt idx="0">
                  <c:v>재택근무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차트작업!$A$3:$A$6</c:f>
              <c:strCache>
                <c:ptCount val="4"/>
                <c:pt idx="0">
                  <c:v>사기업</c:v>
                </c:pt>
                <c:pt idx="1">
                  <c:v>공기업</c:v>
                </c:pt>
                <c:pt idx="2">
                  <c:v>국가기관</c:v>
                </c:pt>
                <c:pt idx="3">
                  <c:v>개인사업자</c:v>
                </c:pt>
              </c:strCache>
            </c:strRef>
          </c:cat>
          <c:val>
            <c:numRef>
              <c:f>차트작업!$C$3:$C$6</c:f>
              <c:numCache>
                <c:formatCode>General</c:formatCode>
                <c:ptCount val="4"/>
                <c:pt idx="0">
                  <c:v>221</c:v>
                </c:pt>
                <c:pt idx="1">
                  <c:v>85</c:v>
                </c:pt>
                <c:pt idx="2">
                  <c:v>15</c:v>
                </c:pt>
                <c:pt idx="3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C4-4E6E-9028-4386159BA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38763200"/>
        <c:axId val="1038758208"/>
      </c:barChart>
      <c:catAx>
        <c:axId val="1038763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38758208"/>
        <c:crosses val="autoZero"/>
        <c:auto val="1"/>
        <c:lblAlgn val="ctr"/>
        <c:lblOffset val="100"/>
        <c:noMultiLvlLbl val="0"/>
      </c:catAx>
      <c:valAx>
        <c:axId val="103875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38763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11</xdr:col>
      <xdr:colOff>0</xdr:colOff>
      <xdr:row>29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7"/>
  <cols>
    <col min="1" max="1" width="16.4140625" bestFit="1" customWidth="1"/>
    <col min="2" max="2" width="30.25" bestFit="1" customWidth="1"/>
    <col min="3" max="3" width="14.5" bestFit="1" customWidth="1"/>
    <col min="4" max="4" width="45.4140625" bestFit="1" customWidth="1"/>
    <col min="5" max="5" width="10.4140625" bestFit="1" customWidth="1"/>
  </cols>
  <sheetData>
    <row r="1" spans="1:1">
      <c r="A1" t="s">
        <v>38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6"/>
  <sheetViews>
    <sheetView workbookViewId="0"/>
  </sheetViews>
  <sheetFormatPr defaultRowHeight="17"/>
  <cols>
    <col min="1" max="1" width="12.58203125" customWidth="1"/>
    <col min="2" max="2" width="23.58203125" customWidth="1"/>
    <col min="3" max="3" width="28.58203125" customWidth="1"/>
  </cols>
  <sheetData>
    <row r="1" spans="1:5">
      <c r="A1" t="s">
        <v>160</v>
      </c>
      <c r="B1" s="28"/>
      <c r="C1" s="28"/>
      <c r="D1" s="28"/>
      <c r="E1" s="28"/>
    </row>
    <row r="3" spans="1:5">
      <c r="A3" t="s">
        <v>126</v>
      </c>
      <c r="B3" t="s">
        <v>127</v>
      </c>
      <c r="C3" t="s">
        <v>128</v>
      </c>
      <c r="D3" t="s">
        <v>161</v>
      </c>
      <c r="E3" t="s">
        <v>129</v>
      </c>
    </row>
    <row r="4" spans="1:5">
      <c r="A4" t="s">
        <v>130</v>
      </c>
      <c r="B4" t="s">
        <v>131</v>
      </c>
      <c r="C4" t="s">
        <v>132</v>
      </c>
      <c r="D4">
        <v>115200</v>
      </c>
      <c r="E4">
        <v>0.25</v>
      </c>
    </row>
    <row r="5" spans="1:5">
      <c r="B5" t="s">
        <v>133</v>
      </c>
      <c r="C5" t="s">
        <v>134</v>
      </c>
      <c r="D5">
        <v>145500</v>
      </c>
      <c r="E5">
        <v>0.25</v>
      </c>
    </row>
    <row r="6" spans="1:5">
      <c r="A6" t="s">
        <v>135</v>
      </c>
      <c r="B6" t="s">
        <v>136</v>
      </c>
      <c r="C6" t="s">
        <v>137</v>
      </c>
      <c r="D6">
        <v>48000</v>
      </c>
      <c r="E6">
        <v>0.09</v>
      </c>
    </row>
    <row r="7" spans="1:5">
      <c r="B7" t="s">
        <v>138</v>
      </c>
      <c r="C7" t="s">
        <v>139</v>
      </c>
      <c r="D7">
        <v>60000</v>
      </c>
      <c r="E7">
        <v>0.08</v>
      </c>
    </row>
    <row r="8" spans="1:5">
      <c r="B8" t="s">
        <v>140</v>
      </c>
      <c r="C8" t="s">
        <v>141</v>
      </c>
      <c r="D8">
        <v>38000</v>
      </c>
      <c r="E8">
        <v>0.12</v>
      </c>
    </row>
    <row r="9" spans="1:5">
      <c r="B9" t="s">
        <v>142</v>
      </c>
      <c r="C9" t="s">
        <v>143</v>
      </c>
      <c r="D9">
        <v>57900</v>
      </c>
      <c r="E9">
        <v>0.04</v>
      </c>
    </row>
    <row r="10" spans="1:5">
      <c r="B10" t="s">
        <v>144</v>
      </c>
      <c r="C10" t="s">
        <v>145</v>
      </c>
      <c r="D10">
        <v>66000</v>
      </c>
      <c r="E10">
        <v>0.45</v>
      </c>
    </row>
    <row r="11" spans="1:5">
      <c r="A11" t="s">
        <v>146</v>
      </c>
      <c r="B11" t="s">
        <v>147</v>
      </c>
      <c r="C11" t="s">
        <v>148</v>
      </c>
      <c r="D11">
        <v>51400</v>
      </c>
      <c r="E11">
        <v>0.56999999999999995</v>
      </c>
    </row>
    <row r="12" spans="1:5">
      <c r="B12" t="s">
        <v>149</v>
      </c>
      <c r="C12" t="s">
        <v>150</v>
      </c>
      <c r="D12">
        <v>51400</v>
      </c>
      <c r="E12">
        <v>0.33</v>
      </c>
    </row>
    <row r="13" spans="1:5">
      <c r="B13" t="s">
        <v>151</v>
      </c>
      <c r="C13" t="s">
        <v>152</v>
      </c>
      <c r="D13">
        <v>139300</v>
      </c>
      <c r="E13">
        <v>0.23</v>
      </c>
    </row>
    <row r="14" spans="1:5">
      <c r="A14" t="s">
        <v>153</v>
      </c>
      <c r="B14" t="s">
        <v>154</v>
      </c>
      <c r="C14" t="s">
        <v>155</v>
      </c>
      <c r="D14">
        <v>24900</v>
      </c>
      <c r="E14">
        <v>0.17</v>
      </c>
    </row>
    <row r="15" spans="1:5">
      <c r="B15" t="s">
        <v>156</v>
      </c>
      <c r="C15" t="s">
        <v>157</v>
      </c>
      <c r="D15">
        <v>51500</v>
      </c>
      <c r="E15">
        <v>0.26</v>
      </c>
    </row>
    <row r="16" spans="1:5">
      <c r="B16" t="s">
        <v>158</v>
      </c>
      <c r="C16" t="s">
        <v>159</v>
      </c>
      <c r="D16">
        <v>66400</v>
      </c>
      <c r="E16">
        <v>0.19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6"/>
  <sheetViews>
    <sheetView workbookViewId="0"/>
  </sheetViews>
  <sheetFormatPr defaultRowHeight="17"/>
  <cols>
    <col min="1" max="1" width="20.4140625" bestFit="1" customWidth="1"/>
    <col min="3" max="3" width="11.08203125" bestFit="1" customWidth="1"/>
    <col min="4" max="4" width="11.08203125" customWidth="1"/>
    <col min="5" max="5" width="10.58203125" bestFit="1" customWidth="1"/>
  </cols>
  <sheetData>
    <row r="1" spans="1:5">
      <c r="A1" t="s">
        <v>122</v>
      </c>
    </row>
    <row r="3" spans="1:5">
      <c r="A3" s="6" t="s">
        <v>25</v>
      </c>
      <c r="B3" s="6" t="s">
        <v>26</v>
      </c>
      <c r="C3" s="6" t="s">
        <v>47</v>
      </c>
      <c r="D3" s="6" t="s">
        <v>55</v>
      </c>
      <c r="E3" s="6" t="s">
        <v>48</v>
      </c>
    </row>
    <row r="4" spans="1:5">
      <c r="A4" s="6" t="s">
        <v>39</v>
      </c>
      <c r="B4" s="6" t="s">
        <v>27</v>
      </c>
      <c r="C4" s="18">
        <v>7.83</v>
      </c>
      <c r="D4" s="17" t="s">
        <v>56</v>
      </c>
      <c r="E4" s="7">
        <v>220570</v>
      </c>
    </row>
    <row r="5" spans="1:5">
      <c r="A5" s="6" t="s">
        <v>40</v>
      </c>
      <c r="B5" s="6" t="s">
        <v>27</v>
      </c>
      <c r="C5" s="18">
        <v>8.4</v>
      </c>
      <c r="D5" s="17" t="s">
        <v>57</v>
      </c>
      <c r="E5" s="7">
        <v>1262479</v>
      </c>
    </row>
    <row r="6" spans="1:5">
      <c r="A6" s="6" t="s">
        <v>41</v>
      </c>
      <c r="B6" s="6" t="s">
        <v>49</v>
      </c>
      <c r="C6" s="18">
        <v>9.1999999999999993</v>
      </c>
      <c r="D6" s="17" t="s">
        <v>58</v>
      </c>
      <c r="E6" s="7">
        <v>3144878</v>
      </c>
    </row>
    <row r="7" spans="1:5">
      <c r="A7" s="6" t="s">
        <v>42</v>
      </c>
      <c r="B7" s="6" t="s">
        <v>50</v>
      </c>
      <c r="C7" s="18">
        <v>8.3000000000000007</v>
      </c>
      <c r="D7" s="17" t="s">
        <v>59</v>
      </c>
      <c r="E7" s="7">
        <v>2044604</v>
      </c>
    </row>
    <row r="8" spans="1:5">
      <c r="A8" s="6" t="s">
        <v>54</v>
      </c>
      <c r="B8" s="6" t="s">
        <v>28</v>
      </c>
      <c r="C8" s="18">
        <v>9.6</v>
      </c>
      <c r="D8" s="17" t="s">
        <v>60</v>
      </c>
      <c r="E8" s="7">
        <v>190000</v>
      </c>
    </row>
    <row r="9" spans="1:5">
      <c r="A9" s="6" t="s">
        <v>43</v>
      </c>
      <c r="B9" s="6" t="s">
        <v>51</v>
      </c>
      <c r="C9" s="18">
        <v>9.1</v>
      </c>
      <c r="D9" s="17" t="s">
        <v>61</v>
      </c>
      <c r="E9" s="7">
        <v>16353</v>
      </c>
    </row>
    <row r="10" spans="1:5">
      <c r="A10" s="6" t="s">
        <v>62</v>
      </c>
      <c r="B10" s="6" t="s">
        <v>53</v>
      </c>
      <c r="C10" s="18">
        <v>7.83</v>
      </c>
      <c r="D10" s="17" t="s">
        <v>63</v>
      </c>
      <c r="E10" s="7">
        <v>84000</v>
      </c>
    </row>
    <row r="11" spans="1:5">
      <c r="A11" s="6" t="s">
        <v>64</v>
      </c>
      <c r="B11" s="6" t="s">
        <v>53</v>
      </c>
      <c r="C11" s="18">
        <v>9.02</v>
      </c>
      <c r="D11" s="17" t="s">
        <v>65</v>
      </c>
      <c r="E11" s="7">
        <v>330000</v>
      </c>
    </row>
    <row r="12" spans="1:5">
      <c r="A12" s="6" t="s">
        <v>66</v>
      </c>
      <c r="B12" s="6" t="s">
        <v>67</v>
      </c>
      <c r="C12" s="18">
        <v>8.61</v>
      </c>
      <c r="D12" s="17" t="s">
        <v>68</v>
      </c>
      <c r="E12" s="7">
        <v>29000</v>
      </c>
    </row>
    <row r="13" spans="1:5">
      <c r="A13" s="6" t="s">
        <v>44</v>
      </c>
      <c r="B13" s="6" t="s">
        <v>52</v>
      </c>
      <c r="C13" s="18">
        <v>0</v>
      </c>
      <c r="D13" s="17" t="s">
        <v>73</v>
      </c>
      <c r="E13" s="7">
        <v>1676</v>
      </c>
    </row>
    <row r="14" spans="1:5">
      <c r="A14" s="6" t="s">
        <v>45</v>
      </c>
      <c r="B14" s="6" t="s">
        <v>53</v>
      </c>
      <c r="C14" s="18">
        <v>0</v>
      </c>
      <c r="D14" s="17" t="s">
        <v>72</v>
      </c>
      <c r="E14" s="7">
        <v>521</v>
      </c>
    </row>
    <row r="15" spans="1:5">
      <c r="A15" s="6" t="s">
        <v>46</v>
      </c>
      <c r="B15" s="6" t="s">
        <v>50</v>
      </c>
      <c r="C15" s="18">
        <v>0</v>
      </c>
      <c r="D15" s="17" t="s">
        <v>71</v>
      </c>
      <c r="E15" s="7">
        <v>379</v>
      </c>
    </row>
    <row r="16" spans="1:5">
      <c r="A16" s="6" t="s">
        <v>69</v>
      </c>
      <c r="B16" s="6" t="s">
        <v>51</v>
      </c>
      <c r="C16" s="18">
        <v>8.76</v>
      </c>
      <c r="D16" s="17" t="s">
        <v>70</v>
      </c>
      <c r="E16" s="7">
        <v>2750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41"/>
  <sheetViews>
    <sheetView workbookViewId="0"/>
  </sheetViews>
  <sheetFormatPr defaultRowHeight="17"/>
  <cols>
    <col min="3" max="3" width="13.6640625" bestFit="1" customWidth="1"/>
    <col min="4" max="4" width="10.75" bestFit="1" customWidth="1"/>
    <col min="9" max="9" width="11.6640625" bestFit="1" customWidth="1"/>
    <col min="10" max="10" width="10.58203125" bestFit="1" customWidth="1"/>
  </cols>
  <sheetData>
    <row r="1" spans="1:10">
      <c r="A1" s="29" t="s">
        <v>162</v>
      </c>
      <c r="B1" s="30" t="s">
        <v>163</v>
      </c>
      <c r="C1" s="31"/>
      <c r="D1" s="31"/>
      <c r="F1" s="32" t="s">
        <v>164</v>
      </c>
      <c r="G1" s="33" t="s">
        <v>165</v>
      </c>
      <c r="H1" s="34"/>
      <c r="I1" s="34"/>
    </row>
    <row r="2" spans="1:10">
      <c r="A2" s="35" t="s">
        <v>166</v>
      </c>
      <c r="B2" s="35" t="s">
        <v>167</v>
      </c>
      <c r="C2" s="35" t="s">
        <v>168</v>
      </c>
      <c r="D2" s="47" t="s">
        <v>169</v>
      </c>
      <c r="F2" s="36" t="s">
        <v>166</v>
      </c>
      <c r="G2" s="37" t="s">
        <v>170</v>
      </c>
      <c r="H2" s="48" t="s">
        <v>171</v>
      </c>
      <c r="I2" s="48" t="s">
        <v>172</v>
      </c>
    </row>
    <row r="3" spans="1:10">
      <c r="A3" s="1" t="s">
        <v>173</v>
      </c>
      <c r="B3" s="38" t="s">
        <v>174</v>
      </c>
      <c r="C3" s="38" t="s">
        <v>175</v>
      </c>
      <c r="D3" s="39"/>
      <c r="F3" s="1" t="s">
        <v>176</v>
      </c>
      <c r="G3" s="37" t="s">
        <v>177</v>
      </c>
      <c r="H3" s="40"/>
      <c r="I3" s="40"/>
    </row>
    <row r="4" spans="1:10">
      <c r="A4" s="1" t="s">
        <v>178</v>
      </c>
      <c r="B4" s="38" t="s">
        <v>179</v>
      </c>
      <c r="C4" s="38" t="s">
        <v>180</v>
      </c>
      <c r="D4" s="39"/>
      <c r="F4" s="1" t="s">
        <v>178</v>
      </c>
      <c r="G4" s="37" t="s">
        <v>181</v>
      </c>
      <c r="H4" s="40"/>
      <c r="I4" s="40"/>
    </row>
    <row r="5" spans="1:10">
      <c r="A5" s="1" t="s">
        <v>182</v>
      </c>
      <c r="B5" s="38" t="s">
        <v>183</v>
      </c>
      <c r="C5" s="38" t="s">
        <v>184</v>
      </c>
      <c r="D5" s="39"/>
      <c r="F5" s="1" t="s">
        <v>182</v>
      </c>
      <c r="G5" s="37" t="s">
        <v>181</v>
      </c>
      <c r="H5" s="40"/>
      <c r="I5" s="40"/>
    </row>
    <row r="6" spans="1:10">
      <c r="A6" s="1" t="s">
        <v>185</v>
      </c>
      <c r="B6" s="38" t="s">
        <v>186</v>
      </c>
      <c r="C6" s="38" t="s">
        <v>187</v>
      </c>
      <c r="D6" s="39"/>
      <c r="F6" s="1" t="s">
        <v>185</v>
      </c>
      <c r="G6" s="37" t="s">
        <v>188</v>
      </c>
      <c r="H6" s="40"/>
      <c r="I6" s="40"/>
    </row>
    <row r="7" spans="1:10">
      <c r="A7" s="1" t="s">
        <v>189</v>
      </c>
      <c r="B7" s="38" t="s">
        <v>190</v>
      </c>
      <c r="C7" s="38" t="s">
        <v>191</v>
      </c>
      <c r="D7" s="39"/>
      <c r="F7" s="1" t="s">
        <v>189</v>
      </c>
      <c r="G7" s="37" t="s">
        <v>192</v>
      </c>
      <c r="H7" s="40"/>
      <c r="I7" s="40"/>
    </row>
    <row r="8" spans="1:10">
      <c r="A8" s="1" t="s">
        <v>193</v>
      </c>
      <c r="B8" s="38" t="s">
        <v>194</v>
      </c>
      <c r="C8" s="38" t="s">
        <v>195</v>
      </c>
      <c r="D8" s="39"/>
      <c r="F8" s="1" t="s">
        <v>193</v>
      </c>
      <c r="G8" s="37" t="s">
        <v>196</v>
      </c>
      <c r="H8" s="40"/>
      <c r="I8" s="40"/>
    </row>
    <row r="9" spans="1:10">
      <c r="A9" s="1" t="s">
        <v>197</v>
      </c>
      <c r="B9" s="38" t="s">
        <v>198</v>
      </c>
      <c r="C9" s="38" t="s">
        <v>199</v>
      </c>
      <c r="D9" s="39"/>
      <c r="F9" s="1" t="s">
        <v>197</v>
      </c>
      <c r="G9" s="37" t="s">
        <v>200</v>
      </c>
      <c r="H9" s="40"/>
      <c r="I9" s="40"/>
    </row>
    <row r="10" spans="1:10">
      <c r="A10" s="1" t="s">
        <v>201</v>
      </c>
      <c r="B10" s="38" t="s">
        <v>202</v>
      </c>
      <c r="C10" s="38" t="s">
        <v>203</v>
      </c>
      <c r="D10" s="39"/>
      <c r="F10" s="1" t="s">
        <v>201</v>
      </c>
      <c r="G10" s="37" t="s">
        <v>204</v>
      </c>
      <c r="H10" s="40"/>
      <c r="I10" s="40"/>
    </row>
    <row r="11" spans="1:10">
      <c r="A11" s="1" t="s">
        <v>205</v>
      </c>
      <c r="B11" s="38" t="s">
        <v>206</v>
      </c>
      <c r="C11" s="38" t="s">
        <v>207</v>
      </c>
      <c r="D11" s="39"/>
    </row>
    <row r="12" spans="1:10">
      <c r="A12" s="1" t="s">
        <v>208</v>
      </c>
      <c r="B12" s="38" t="s">
        <v>209</v>
      </c>
      <c r="C12" s="38" t="s">
        <v>210</v>
      </c>
      <c r="D12" s="39"/>
    </row>
    <row r="13" spans="1:10">
      <c r="A13" s="1" t="s">
        <v>211</v>
      </c>
      <c r="B13" s="38" t="s">
        <v>212</v>
      </c>
      <c r="C13" s="38" t="s">
        <v>213</v>
      </c>
      <c r="D13" s="39"/>
    </row>
    <row r="15" spans="1:10">
      <c r="A15" s="41" t="s">
        <v>214</v>
      </c>
      <c r="B15" s="26" t="s">
        <v>215</v>
      </c>
      <c r="F15" s="41" t="s">
        <v>216</v>
      </c>
      <c r="G15" s="26" t="s">
        <v>217</v>
      </c>
    </row>
    <row r="16" spans="1:10">
      <c r="A16" s="3" t="s">
        <v>218</v>
      </c>
      <c r="B16" s="3" t="s">
        <v>219</v>
      </c>
      <c r="C16" s="3" t="s">
        <v>220</v>
      </c>
      <c r="F16" s="3" t="s">
        <v>221</v>
      </c>
      <c r="G16" s="3" t="s">
        <v>222</v>
      </c>
      <c r="H16" s="3" t="s">
        <v>223</v>
      </c>
      <c r="I16" s="3" t="s">
        <v>224</v>
      </c>
      <c r="J16" s="49" t="s">
        <v>225</v>
      </c>
    </row>
    <row r="17" spans="1:10">
      <c r="A17" s="1" t="s">
        <v>226</v>
      </c>
      <c r="B17" s="42">
        <v>176</v>
      </c>
      <c r="C17" s="42">
        <v>78</v>
      </c>
      <c r="F17" s="3" t="s">
        <v>227</v>
      </c>
      <c r="G17" s="42">
        <v>350</v>
      </c>
      <c r="H17" s="43">
        <v>20000</v>
      </c>
      <c r="I17" s="43">
        <f t="shared" ref="I17:I25" si="0">G17*H17</f>
        <v>7000000</v>
      </c>
      <c r="J17" s="43"/>
    </row>
    <row r="18" spans="1:10">
      <c r="A18" s="1" t="s">
        <v>228</v>
      </c>
      <c r="B18" s="42">
        <v>178</v>
      </c>
      <c r="C18" s="42">
        <v>72</v>
      </c>
      <c r="F18" s="3" t="s">
        <v>229</v>
      </c>
      <c r="G18" s="42">
        <v>600</v>
      </c>
      <c r="H18" s="43">
        <v>20000</v>
      </c>
      <c r="I18" s="43">
        <f t="shared" si="0"/>
        <v>12000000</v>
      </c>
      <c r="J18" s="43"/>
    </row>
    <row r="19" spans="1:10">
      <c r="A19" s="1" t="s">
        <v>230</v>
      </c>
      <c r="B19" s="42">
        <v>176</v>
      </c>
      <c r="C19" s="42">
        <v>83</v>
      </c>
      <c r="F19" s="3" t="s">
        <v>231</v>
      </c>
      <c r="G19" s="42">
        <v>250</v>
      </c>
      <c r="H19" s="43">
        <v>20000</v>
      </c>
      <c r="I19" s="43">
        <f t="shared" si="0"/>
        <v>5000000</v>
      </c>
      <c r="J19" s="43"/>
    </row>
    <row r="20" spans="1:10">
      <c r="A20" s="1" t="s">
        <v>232</v>
      </c>
      <c r="B20" s="42">
        <v>174</v>
      </c>
      <c r="C20" s="42">
        <v>81</v>
      </c>
      <c r="F20" s="3" t="s">
        <v>233</v>
      </c>
      <c r="G20" s="42">
        <v>280</v>
      </c>
      <c r="H20" s="43">
        <v>20000</v>
      </c>
      <c r="I20" s="43">
        <f t="shared" si="0"/>
        <v>5600000</v>
      </c>
      <c r="J20" s="43"/>
    </row>
    <row r="21" spans="1:10">
      <c r="A21" s="1" t="s">
        <v>234</v>
      </c>
      <c r="B21" s="42">
        <v>182</v>
      </c>
      <c r="C21" s="42">
        <v>62</v>
      </c>
      <c r="F21" s="3" t="s">
        <v>235</v>
      </c>
      <c r="G21" s="42">
        <v>250</v>
      </c>
      <c r="H21" s="43">
        <v>20000</v>
      </c>
      <c r="I21" s="43">
        <f t="shared" si="0"/>
        <v>5000000</v>
      </c>
      <c r="J21" s="43"/>
    </row>
    <row r="22" spans="1:10">
      <c r="A22" s="1" t="s">
        <v>236</v>
      </c>
      <c r="B22" s="42">
        <v>179</v>
      </c>
      <c r="C22" s="42">
        <v>90</v>
      </c>
      <c r="F22" s="3" t="s">
        <v>237</v>
      </c>
      <c r="G22" s="42">
        <v>400</v>
      </c>
      <c r="H22" s="43">
        <v>20000</v>
      </c>
      <c r="I22" s="43">
        <f t="shared" si="0"/>
        <v>8000000</v>
      </c>
      <c r="J22" s="43"/>
    </row>
    <row r="23" spans="1:10">
      <c r="A23" s="1" t="s">
        <v>238</v>
      </c>
      <c r="B23" s="42">
        <v>186</v>
      </c>
      <c r="C23" s="42">
        <v>62</v>
      </c>
      <c r="F23" s="3" t="s">
        <v>239</v>
      </c>
      <c r="G23" s="42">
        <v>550</v>
      </c>
      <c r="H23" s="43">
        <v>20000</v>
      </c>
      <c r="I23" s="43">
        <f t="shared" si="0"/>
        <v>11000000</v>
      </c>
      <c r="J23" s="43"/>
    </row>
    <row r="24" spans="1:10">
      <c r="A24" s="1" t="s">
        <v>240</v>
      </c>
      <c r="B24" s="42">
        <v>174</v>
      </c>
      <c r="C24" s="42">
        <v>72</v>
      </c>
      <c r="F24" s="3" t="s">
        <v>241</v>
      </c>
      <c r="G24" s="42">
        <v>220</v>
      </c>
      <c r="H24" s="43">
        <v>20000</v>
      </c>
      <c r="I24" s="43">
        <f t="shared" si="0"/>
        <v>4400000</v>
      </c>
      <c r="J24" s="43"/>
    </row>
    <row r="25" spans="1:10">
      <c r="A25" s="1" t="s">
        <v>242</v>
      </c>
      <c r="B25" s="42">
        <v>168</v>
      </c>
      <c r="C25" s="42">
        <v>65</v>
      </c>
      <c r="F25" s="3" t="s">
        <v>243</v>
      </c>
      <c r="G25" s="42">
        <v>450</v>
      </c>
      <c r="H25" s="43">
        <v>20000</v>
      </c>
      <c r="I25" s="43">
        <f t="shared" si="0"/>
        <v>9000000</v>
      </c>
      <c r="J25" s="43"/>
    </row>
    <row r="26" spans="1:10">
      <c r="A26" s="1" t="s">
        <v>244</v>
      </c>
      <c r="B26" s="42">
        <v>177</v>
      </c>
      <c r="C26" s="42">
        <v>70</v>
      </c>
      <c r="D26" s="50" t="s">
        <v>245</v>
      </c>
      <c r="E26" s="50"/>
    </row>
    <row r="27" spans="1:10">
      <c r="A27" s="1" t="s">
        <v>246</v>
      </c>
      <c r="B27" s="42">
        <v>178</v>
      </c>
      <c r="C27" s="42">
        <v>95</v>
      </c>
      <c r="D27" s="51"/>
      <c r="E27" s="51"/>
    </row>
    <row r="29" spans="1:10">
      <c r="A29" s="44" t="s">
        <v>247</v>
      </c>
    </row>
    <row r="30" spans="1:10">
      <c r="A30" s="45"/>
      <c r="B30" s="45" t="s">
        <v>248</v>
      </c>
      <c r="C30" s="45" t="s">
        <v>249</v>
      </c>
      <c r="D30" s="3" t="s">
        <v>250</v>
      </c>
      <c r="F30" s="41" t="s">
        <v>251</v>
      </c>
    </row>
    <row r="31" spans="1:10">
      <c r="A31" s="45" t="s">
        <v>252</v>
      </c>
      <c r="B31" s="45" t="s">
        <v>253</v>
      </c>
      <c r="C31" s="45" t="s">
        <v>254</v>
      </c>
      <c r="D31" s="45" t="s">
        <v>255</v>
      </c>
      <c r="F31" s="45" t="s">
        <v>256</v>
      </c>
      <c r="G31" s="45" t="s">
        <v>257</v>
      </c>
      <c r="H31" s="45" t="s">
        <v>258</v>
      </c>
      <c r="I31" s="49" t="s">
        <v>259</v>
      </c>
    </row>
    <row r="32" spans="1:10">
      <c r="A32" s="45" t="s">
        <v>260</v>
      </c>
      <c r="B32" s="45" t="s">
        <v>261</v>
      </c>
      <c r="C32" s="45" t="s">
        <v>262</v>
      </c>
      <c r="D32" s="45" t="s">
        <v>263</v>
      </c>
      <c r="F32" s="3" t="s">
        <v>264</v>
      </c>
      <c r="G32" s="3" t="s">
        <v>265</v>
      </c>
      <c r="H32" s="3" t="s">
        <v>266</v>
      </c>
      <c r="I32" s="46"/>
    </row>
    <row r="33" spans="1:4">
      <c r="A33" s="45" t="s">
        <v>267</v>
      </c>
      <c r="B33" s="45" t="s">
        <v>268</v>
      </c>
      <c r="C33" s="45" t="s">
        <v>269</v>
      </c>
      <c r="D33" s="45" t="s">
        <v>270</v>
      </c>
    </row>
    <row r="35" spans="1:4">
      <c r="A35" t="s">
        <v>271</v>
      </c>
    </row>
    <row r="36" spans="1:4">
      <c r="A36" s="3" t="s">
        <v>257</v>
      </c>
      <c r="B36" s="3" t="s">
        <v>252</v>
      </c>
      <c r="C36" s="3" t="s">
        <v>260</v>
      </c>
      <c r="D36" s="3" t="s">
        <v>267</v>
      </c>
    </row>
    <row r="37" spans="1:4">
      <c r="A37" s="3" t="s">
        <v>272</v>
      </c>
      <c r="B37" s="3">
        <v>1</v>
      </c>
      <c r="C37" s="3">
        <v>2</v>
      </c>
      <c r="D37" s="3">
        <v>3</v>
      </c>
    </row>
    <row r="39" spans="1:4">
      <c r="A39" s="44" t="s">
        <v>273</v>
      </c>
    </row>
    <row r="40" spans="1:4">
      <c r="A40" s="45" t="s">
        <v>258</v>
      </c>
      <c r="B40" s="45" t="s">
        <v>248</v>
      </c>
      <c r="C40" s="45" t="s">
        <v>249</v>
      </c>
      <c r="D40" s="45" t="s">
        <v>250</v>
      </c>
    </row>
    <row r="41" spans="1:4">
      <c r="A41" s="45" t="s">
        <v>272</v>
      </c>
      <c r="B41" s="3">
        <v>1</v>
      </c>
      <c r="C41" s="3">
        <v>2</v>
      </c>
      <c r="D41" s="3">
        <v>3</v>
      </c>
    </row>
  </sheetData>
  <mergeCells count="2">
    <mergeCell ref="D26:E26"/>
    <mergeCell ref="D27:E27"/>
  </mergeCells>
  <phoneticPr fontId="1" type="noConversion"/>
  <dataValidations count="2">
    <dataValidation type="list" allowBlank="1" showInputMessage="1" showErrorMessage="1" sqref="H32">
      <formula1>$B$40:$D$40</formula1>
    </dataValidation>
    <dataValidation type="list" allowBlank="1" showInputMessage="1" showErrorMessage="1" sqref="G32">
      <formula1>$B$36:$D$36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6"/>
  <sheetViews>
    <sheetView workbookViewId="0"/>
  </sheetViews>
  <sheetFormatPr defaultRowHeight="17"/>
  <cols>
    <col min="5" max="5" width="13.9140625" bestFit="1" customWidth="1"/>
    <col min="10" max="10" width="10.58203125" bestFit="1" customWidth="1"/>
  </cols>
  <sheetData>
    <row r="1" spans="1:10">
      <c r="A1" s="26" t="s">
        <v>123</v>
      </c>
    </row>
    <row r="3" spans="1:10">
      <c r="A3" s="19" t="s">
        <v>74</v>
      </c>
      <c r="B3" s="19" t="s">
        <v>75</v>
      </c>
      <c r="C3" s="19" t="s">
        <v>76</v>
      </c>
      <c r="D3" s="19" t="s">
        <v>77</v>
      </c>
      <c r="E3" s="19" t="s">
        <v>78</v>
      </c>
      <c r="F3" s="19" t="s">
        <v>79</v>
      </c>
      <c r="G3" s="19" t="s">
        <v>80</v>
      </c>
      <c r="H3" s="19" t="s">
        <v>81</v>
      </c>
      <c r="I3" s="19" t="s">
        <v>82</v>
      </c>
      <c r="J3" s="19" t="s">
        <v>83</v>
      </c>
    </row>
    <row r="4" spans="1:10">
      <c r="A4" s="20">
        <v>8</v>
      </c>
      <c r="B4" s="20" t="s">
        <v>84</v>
      </c>
      <c r="C4" s="20" t="s">
        <v>85</v>
      </c>
      <c r="D4" s="20" t="s">
        <v>86</v>
      </c>
      <c r="E4" s="8" t="s">
        <v>87</v>
      </c>
      <c r="F4" s="21" t="s">
        <v>20</v>
      </c>
      <c r="G4" s="22">
        <v>5</v>
      </c>
      <c r="H4" s="22">
        <v>100000</v>
      </c>
      <c r="I4" s="22">
        <v>28000</v>
      </c>
      <c r="J4" s="23">
        <v>128000</v>
      </c>
    </row>
    <row r="5" spans="1:10">
      <c r="A5" s="20">
        <v>4</v>
      </c>
      <c r="B5" s="20" t="s">
        <v>88</v>
      </c>
      <c r="C5" s="20" t="s">
        <v>89</v>
      </c>
      <c r="D5" s="20" t="s">
        <v>86</v>
      </c>
      <c r="E5" s="24" t="s">
        <v>90</v>
      </c>
      <c r="F5" s="21" t="s">
        <v>91</v>
      </c>
      <c r="G5" s="22">
        <v>4</v>
      </c>
      <c r="H5" s="22">
        <v>100000</v>
      </c>
      <c r="I5" s="22">
        <v>55000</v>
      </c>
      <c r="J5" s="23">
        <v>155000</v>
      </c>
    </row>
    <row r="6" spans="1:10">
      <c r="A6" s="20">
        <v>3</v>
      </c>
      <c r="B6" s="20" t="s">
        <v>92</v>
      </c>
      <c r="C6" s="20" t="s">
        <v>85</v>
      </c>
      <c r="D6" s="20" t="s">
        <v>93</v>
      </c>
      <c r="E6" s="24" t="s">
        <v>94</v>
      </c>
      <c r="F6" s="21" t="s">
        <v>24</v>
      </c>
      <c r="G6" s="22">
        <v>4</v>
      </c>
      <c r="H6" s="22">
        <v>120000</v>
      </c>
      <c r="I6" s="22">
        <v>50000</v>
      </c>
      <c r="J6" s="23">
        <v>170000</v>
      </c>
    </row>
    <row r="7" spans="1:10">
      <c r="A7" s="20">
        <v>1</v>
      </c>
      <c r="B7" s="20" t="s">
        <v>95</v>
      </c>
      <c r="C7" s="25" t="s">
        <v>96</v>
      </c>
      <c r="D7" s="20" t="s">
        <v>97</v>
      </c>
      <c r="E7" s="8" t="s">
        <v>98</v>
      </c>
      <c r="F7" s="21" t="s">
        <v>91</v>
      </c>
      <c r="G7" s="22">
        <v>6</v>
      </c>
      <c r="H7" s="22">
        <v>120000</v>
      </c>
      <c r="I7" s="22">
        <v>60000</v>
      </c>
      <c r="J7" s="23">
        <v>180000</v>
      </c>
    </row>
    <row r="8" spans="1:10">
      <c r="A8" s="20">
        <v>7</v>
      </c>
      <c r="B8" s="20" t="s">
        <v>99</v>
      </c>
      <c r="C8" s="25" t="s">
        <v>100</v>
      </c>
      <c r="D8" s="20" t="s">
        <v>101</v>
      </c>
      <c r="E8" s="24" t="s">
        <v>102</v>
      </c>
      <c r="F8" s="21" t="s">
        <v>91</v>
      </c>
      <c r="G8" s="22">
        <v>5</v>
      </c>
      <c r="H8" s="22">
        <v>80000</v>
      </c>
      <c r="I8" s="22">
        <v>50000</v>
      </c>
      <c r="J8" s="23">
        <v>130000</v>
      </c>
    </row>
    <row r="9" spans="1:10">
      <c r="A9" s="20">
        <v>5</v>
      </c>
      <c r="B9" s="20" t="s">
        <v>103</v>
      </c>
      <c r="C9" s="25" t="s">
        <v>104</v>
      </c>
      <c r="D9" s="20" t="s">
        <v>97</v>
      </c>
      <c r="E9" s="8" t="s">
        <v>105</v>
      </c>
      <c r="F9" s="21" t="s">
        <v>106</v>
      </c>
      <c r="G9" s="22">
        <v>7</v>
      </c>
      <c r="H9" s="22">
        <v>120000</v>
      </c>
      <c r="I9" s="22">
        <v>30000</v>
      </c>
      <c r="J9" s="23">
        <v>150000</v>
      </c>
    </row>
    <row r="10" spans="1:10">
      <c r="A10" s="20">
        <v>11</v>
      </c>
      <c r="B10" s="20" t="s">
        <v>107</v>
      </c>
      <c r="C10" s="25" t="s">
        <v>96</v>
      </c>
      <c r="D10" s="20" t="s">
        <v>108</v>
      </c>
      <c r="E10" s="8" t="s">
        <v>109</v>
      </c>
      <c r="F10" s="21" t="s">
        <v>106</v>
      </c>
      <c r="G10" s="22">
        <v>6</v>
      </c>
      <c r="H10" s="22">
        <v>65000</v>
      </c>
      <c r="I10" s="22">
        <v>24000</v>
      </c>
      <c r="J10" s="23">
        <v>89000</v>
      </c>
    </row>
    <row r="11" spans="1:10">
      <c r="A11" s="20">
        <v>9</v>
      </c>
      <c r="B11" s="20" t="s">
        <v>110</v>
      </c>
      <c r="C11" s="20" t="s">
        <v>111</v>
      </c>
      <c r="D11" s="20" t="s">
        <v>112</v>
      </c>
      <c r="E11" s="24" t="s">
        <v>113</v>
      </c>
      <c r="F11" s="21" t="s">
        <v>20</v>
      </c>
      <c r="G11" s="22">
        <v>6</v>
      </c>
      <c r="H11" s="22">
        <v>80000</v>
      </c>
      <c r="I11" s="22">
        <v>26000</v>
      </c>
      <c r="J11" s="23">
        <v>106000</v>
      </c>
    </row>
    <row r="12" spans="1:10">
      <c r="A12" s="20">
        <v>12</v>
      </c>
      <c r="B12" s="20" t="s">
        <v>114</v>
      </c>
      <c r="C12" s="25" t="s">
        <v>96</v>
      </c>
      <c r="D12" s="20" t="s">
        <v>108</v>
      </c>
      <c r="E12" s="24" t="s">
        <v>105</v>
      </c>
      <c r="F12" s="21" t="s">
        <v>106</v>
      </c>
      <c r="G12" s="22">
        <v>8</v>
      </c>
      <c r="H12" s="22">
        <v>65000</v>
      </c>
      <c r="I12" s="22">
        <v>24000</v>
      </c>
      <c r="J12" s="23">
        <v>89000</v>
      </c>
    </row>
    <row r="13" spans="1:10">
      <c r="A13" s="20">
        <v>2</v>
      </c>
      <c r="B13" s="20" t="s">
        <v>115</v>
      </c>
      <c r="C13" s="25" t="s">
        <v>104</v>
      </c>
      <c r="D13" s="20" t="s">
        <v>97</v>
      </c>
      <c r="E13" s="24" t="s">
        <v>116</v>
      </c>
      <c r="F13" s="21" t="s">
        <v>24</v>
      </c>
      <c r="G13" s="22">
        <v>6</v>
      </c>
      <c r="H13" s="22">
        <v>120000</v>
      </c>
      <c r="I13" s="22">
        <v>50000</v>
      </c>
      <c r="J13" s="23">
        <v>170000</v>
      </c>
    </row>
    <row r="14" spans="1:10">
      <c r="A14" s="20">
        <v>10</v>
      </c>
      <c r="B14" s="20" t="s">
        <v>117</v>
      </c>
      <c r="C14" s="20" t="s">
        <v>89</v>
      </c>
      <c r="D14" s="20" t="s">
        <v>108</v>
      </c>
      <c r="E14" s="24" t="s">
        <v>98</v>
      </c>
      <c r="F14" s="21" t="s">
        <v>24</v>
      </c>
      <c r="G14" s="22">
        <v>4</v>
      </c>
      <c r="H14" s="22">
        <v>65000</v>
      </c>
      <c r="I14" s="22">
        <v>41000</v>
      </c>
      <c r="J14" s="23">
        <v>106000</v>
      </c>
    </row>
    <row r="15" spans="1:10">
      <c r="A15" s="20">
        <v>6</v>
      </c>
      <c r="B15" s="20" t="s">
        <v>118</v>
      </c>
      <c r="C15" s="25" t="s">
        <v>89</v>
      </c>
      <c r="D15" s="20" t="s">
        <v>86</v>
      </c>
      <c r="E15" s="24" t="s">
        <v>119</v>
      </c>
      <c r="F15" s="21" t="s">
        <v>24</v>
      </c>
      <c r="G15" s="22">
        <v>5</v>
      </c>
      <c r="H15" s="22">
        <v>100000</v>
      </c>
      <c r="I15" s="22">
        <v>47000</v>
      </c>
      <c r="J15" s="23">
        <v>147000</v>
      </c>
    </row>
    <row r="16" spans="1:10">
      <c r="A16" s="20">
        <v>13</v>
      </c>
      <c r="B16" s="20" t="s">
        <v>120</v>
      </c>
      <c r="C16" s="25" t="s">
        <v>96</v>
      </c>
      <c r="D16" s="20" t="s">
        <v>108</v>
      </c>
      <c r="E16" s="24" t="s">
        <v>121</v>
      </c>
      <c r="F16" s="21" t="s">
        <v>106</v>
      </c>
      <c r="G16" s="22">
        <v>3</v>
      </c>
      <c r="H16" s="22">
        <v>65000</v>
      </c>
      <c r="I16" s="22">
        <v>24000</v>
      </c>
      <c r="J16" s="23">
        <v>89000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"/>
  <sheetViews>
    <sheetView workbookViewId="0">
      <selection activeCell="B7" sqref="B7"/>
    </sheetView>
  </sheetViews>
  <sheetFormatPr defaultRowHeight="17"/>
  <sheetData>
    <row r="1" spans="1:13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</row>
    <row r="2" spans="1:13">
      <c r="A2" s="9"/>
      <c r="B2" s="10" t="s">
        <v>29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</row>
    <row r="3" spans="1:13">
      <c r="A3" s="9"/>
      <c r="B3" s="3" t="s">
        <v>30</v>
      </c>
      <c r="C3" s="3" t="s">
        <v>31</v>
      </c>
      <c r="D3" s="3" t="s">
        <v>32</v>
      </c>
      <c r="E3" s="3" t="s">
        <v>33</v>
      </c>
      <c r="F3" s="3" t="s">
        <v>34</v>
      </c>
      <c r="G3" s="11" t="s">
        <v>35</v>
      </c>
      <c r="H3" s="9"/>
      <c r="I3" s="9"/>
      <c r="J3" s="9"/>
      <c r="K3" s="9"/>
      <c r="L3" s="9"/>
      <c r="M3" s="9"/>
    </row>
    <row r="4" spans="1:13">
      <c r="A4" s="9"/>
      <c r="B4" s="3" t="s">
        <v>36</v>
      </c>
      <c r="C4" s="3">
        <v>81</v>
      </c>
      <c r="D4" s="3">
        <v>85</v>
      </c>
      <c r="E4" s="3">
        <v>78</v>
      </c>
      <c r="F4" s="3">
        <v>89</v>
      </c>
      <c r="G4" s="52">
        <f>SUMPRODUCT(C4:F4,C5:F5)</f>
        <v>83.25</v>
      </c>
      <c r="H4" s="9"/>
      <c r="I4" s="9"/>
      <c r="J4" s="9"/>
      <c r="K4" s="9"/>
      <c r="L4" s="9"/>
      <c r="M4" s="9"/>
    </row>
    <row r="5" spans="1:13">
      <c r="A5" s="9"/>
      <c r="B5" s="3" t="s">
        <v>37</v>
      </c>
      <c r="C5" s="12">
        <v>0.25</v>
      </c>
      <c r="D5" s="12">
        <v>0.25</v>
      </c>
      <c r="E5" s="12">
        <v>0.25</v>
      </c>
      <c r="F5" s="12">
        <v>0.25</v>
      </c>
      <c r="G5" s="52"/>
      <c r="H5" s="9"/>
      <c r="I5" s="9"/>
      <c r="J5" s="9"/>
      <c r="K5" s="9"/>
      <c r="L5" s="9"/>
      <c r="M5" s="9"/>
    </row>
    <row r="6" spans="1:13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</row>
    <row r="7" spans="1:13">
      <c r="A7" s="9"/>
      <c r="B7" s="10" t="s">
        <v>274</v>
      </c>
      <c r="C7" s="9"/>
      <c r="D7" s="9"/>
      <c r="E7" s="9"/>
      <c r="F7" s="9"/>
      <c r="G7" s="9"/>
      <c r="H7" s="9"/>
      <c r="I7" s="9"/>
      <c r="J7" s="9"/>
      <c r="K7" s="9"/>
      <c r="L7" s="9"/>
      <c r="M7" s="9"/>
    </row>
    <row r="8" spans="1:13">
      <c r="A8" s="9"/>
      <c r="B8" s="9"/>
      <c r="C8" s="13"/>
      <c r="D8" s="9"/>
      <c r="E8" s="9"/>
      <c r="F8" s="9"/>
      <c r="G8" s="9"/>
      <c r="H8" s="9"/>
      <c r="I8" s="9"/>
      <c r="J8" s="9"/>
      <c r="K8" s="9"/>
      <c r="L8" s="9"/>
      <c r="M8" s="9"/>
    </row>
    <row r="9" spans="1:13">
      <c r="A9" s="14"/>
      <c r="B9" s="11" t="s">
        <v>124</v>
      </c>
      <c r="C9" s="15"/>
      <c r="M9" s="9"/>
    </row>
    <row r="10" spans="1:13">
      <c r="A10" s="14"/>
      <c r="B10" s="11">
        <v>55</v>
      </c>
      <c r="C10" s="2"/>
      <c r="M10" s="9"/>
    </row>
    <row r="11" spans="1:13">
      <c r="A11" s="14"/>
      <c r="B11" s="11">
        <v>60</v>
      </c>
      <c r="C11" s="2"/>
      <c r="M11" s="9"/>
    </row>
    <row r="12" spans="1:13">
      <c r="A12" s="14"/>
      <c r="B12" s="11">
        <v>65</v>
      </c>
      <c r="C12" s="2"/>
      <c r="M12" s="9"/>
    </row>
    <row r="13" spans="1:13">
      <c r="A13" s="16"/>
      <c r="B13" s="11">
        <v>70</v>
      </c>
      <c r="C13" s="2"/>
      <c r="M13" s="9"/>
    </row>
    <row r="14" spans="1:13">
      <c r="A14" s="9"/>
      <c r="B14" s="11">
        <v>75</v>
      </c>
      <c r="C14" s="2"/>
      <c r="M14" s="9"/>
    </row>
    <row r="15" spans="1:13">
      <c r="A15" s="9"/>
      <c r="B15" s="11">
        <v>80</v>
      </c>
      <c r="C15" s="2"/>
      <c r="M15" s="9"/>
    </row>
    <row r="16" spans="1:13">
      <c r="A16" s="9"/>
      <c r="B16" s="11">
        <v>85</v>
      </c>
      <c r="C16" s="2"/>
      <c r="M16" s="9"/>
    </row>
    <row r="17" spans="1:13">
      <c r="A17" s="9"/>
      <c r="B17" s="11">
        <v>90</v>
      </c>
      <c r="C17" s="2"/>
      <c r="M17" s="9"/>
    </row>
    <row r="18" spans="1:13">
      <c r="A18" s="9"/>
      <c r="B18" s="11">
        <v>95</v>
      </c>
      <c r="C18" s="2"/>
      <c r="M18" s="9"/>
    </row>
    <row r="19" spans="1:13">
      <c r="A19" s="9"/>
      <c r="B19" s="11">
        <v>100</v>
      </c>
      <c r="C19" s="2"/>
      <c r="M19" s="9"/>
    </row>
    <row r="20" spans="1:13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</row>
  </sheetData>
  <mergeCells count="1">
    <mergeCell ref="G4:G5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13"/>
  <sheetViews>
    <sheetView workbookViewId="0">
      <selection activeCell="H7" sqref="H7"/>
    </sheetView>
  </sheetViews>
  <sheetFormatPr defaultRowHeight="17"/>
  <cols>
    <col min="1" max="1" width="12.33203125" bestFit="1" customWidth="1"/>
    <col min="4" max="4" width="9.08203125" bestFit="1" customWidth="1"/>
  </cols>
  <sheetData>
    <row r="2" spans="1:7">
      <c r="A2" s="4" t="s">
        <v>8</v>
      </c>
      <c r="B2" s="4" t="s">
        <v>9</v>
      </c>
      <c r="C2" s="4" t="s">
        <v>10</v>
      </c>
      <c r="D2" s="4" t="s">
        <v>11</v>
      </c>
      <c r="E2" s="4" t="s">
        <v>12</v>
      </c>
      <c r="F2" s="4" t="s">
        <v>13</v>
      </c>
      <c r="G2" s="27" t="s">
        <v>125</v>
      </c>
    </row>
    <row r="3" spans="1:7">
      <c r="A3" s="4" t="s">
        <v>14</v>
      </c>
      <c r="B3" s="5">
        <v>37500</v>
      </c>
      <c r="C3" s="5">
        <v>67500</v>
      </c>
      <c r="D3" s="5">
        <v>42000</v>
      </c>
      <c r="E3" s="5">
        <v>28500</v>
      </c>
      <c r="F3" s="5">
        <v>24000</v>
      </c>
    </row>
    <row r="4" spans="1:7">
      <c r="A4" s="4" t="s">
        <v>15</v>
      </c>
      <c r="B4" s="5">
        <v>57000</v>
      </c>
      <c r="C4" s="5">
        <v>48000</v>
      </c>
      <c r="D4" s="5">
        <v>67500</v>
      </c>
      <c r="E4" s="5">
        <v>37500</v>
      </c>
      <c r="F4" s="5">
        <v>49500</v>
      </c>
    </row>
    <row r="5" spans="1:7">
      <c r="A5" s="4" t="s">
        <v>16</v>
      </c>
      <c r="B5" s="5">
        <v>30000</v>
      </c>
      <c r="C5" s="5">
        <v>73500</v>
      </c>
      <c r="D5" s="5">
        <v>34500</v>
      </c>
      <c r="E5" s="5">
        <v>21000</v>
      </c>
      <c r="F5" s="5">
        <v>16500</v>
      </c>
    </row>
    <row r="6" spans="1:7">
      <c r="A6" s="4" t="s">
        <v>17</v>
      </c>
      <c r="B6" s="5">
        <v>52500</v>
      </c>
      <c r="C6" s="5">
        <v>25800</v>
      </c>
      <c r="D6" s="5">
        <v>25500</v>
      </c>
      <c r="E6" s="5">
        <v>28500</v>
      </c>
      <c r="F6" s="5">
        <v>16550</v>
      </c>
    </row>
    <row r="7" spans="1:7">
      <c r="A7" s="4" t="s">
        <v>18</v>
      </c>
      <c r="B7" s="5">
        <v>45000</v>
      </c>
      <c r="C7" s="5">
        <v>27000</v>
      </c>
      <c r="D7" s="5">
        <v>16580</v>
      </c>
      <c r="E7" s="5">
        <v>21000</v>
      </c>
      <c r="F7" s="5">
        <v>16500</v>
      </c>
    </row>
    <row r="8" spans="1:7">
      <c r="A8" s="4" t="s">
        <v>19</v>
      </c>
      <c r="B8" s="5">
        <v>50000</v>
      </c>
      <c r="C8" s="5">
        <v>57000</v>
      </c>
      <c r="D8" s="5">
        <v>31500</v>
      </c>
      <c r="E8" s="5">
        <v>15000</v>
      </c>
      <c r="F8" s="5">
        <v>13500</v>
      </c>
    </row>
    <row r="9" spans="1:7">
      <c r="A9" s="4" t="s">
        <v>20</v>
      </c>
      <c r="B9" s="5">
        <v>30000</v>
      </c>
      <c r="C9" s="5">
        <v>58500</v>
      </c>
      <c r="D9" s="5">
        <v>34500</v>
      </c>
      <c r="E9" s="5">
        <v>19500</v>
      </c>
      <c r="F9" s="5">
        <v>18000</v>
      </c>
    </row>
    <row r="10" spans="1:7">
      <c r="A10" s="4" t="s">
        <v>21</v>
      </c>
      <c r="B10" s="5">
        <v>33000</v>
      </c>
      <c r="C10" s="5">
        <v>55500</v>
      </c>
      <c r="D10" s="5">
        <v>37500</v>
      </c>
      <c r="E10" s="5">
        <v>25800</v>
      </c>
      <c r="F10" s="5">
        <v>19500</v>
      </c>
    </row>
    <row r="11" spans="1:7">
      <c r="A11" s="4" t="s">
        <v>22</v>
      </c>
      <c r="B11" s="5">
        <v>30000</v>
      </c>
      <c r="C11" s="5">
        <v>13500</v>
      </c>
      <c r="D11" s="5">
        <v>34500</v>
      </c>
      <c r="E11" s="5">
        <v>7500</v>
      </c>
      <c r="F11" s="5">
        <v>16500</v>
      </c>
    </row>
    <row r="12" spans="1:7">
      <c r="A12" s="4" t="s">
        <v>23</v>
      </c>
      <c r="B12" s="5">
        <v>37500</v>
      </c>
      <c r="C12" s="5">
        <v>46500</v>
      </c>
      <c r="D12" s="5">
        <v>42000</v>
      </c>
      <c r="E12" s="5">
        <v>25500</v>
      </c>
      <c r="F12" s="5">
        <v>24000</v>
      </c>
    </row>
    <row r="13" spans="1:7">
      <c r="A13" s="4" t="s">
        <v>24</v>
      </c>
      <c r="B13" s="5">
        <v>34500</v>
      </c>
      <c r="C13" s="5">
        <v>75000</v>
      </c>
      <c r="D13" s="5">
        <v>39000</v>
      </c>
      <c r="E13" s="5">
        <v>25500</v>
      </c>
      <c r="F13" s="5">
        <v>21000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"/>
  <sheetViews>
    <sheetView workbookViewId="0">
      <selection activeCell="E36" sqref="E36"/>
    </sheetView>
  </sheetViews>
  <sheetFormatPr defaultRowHeight="17"/>
  <cols>
    <col min="1" max="1" width="15.75" bestFit="1" customWidth="1"/>
  </cols>
  <sheetData>
    <row r="1" spans="1:3">
      <c r="A1" t="s">
        <v>0</v>
      </c>
    </row>
    <row r="2" spans="1:3">
      <c r="A2" s="1" t="s">
        <v>1</v>
      </c>
      <c r="B2" s="1" t="s">
        <v>2</v>
      </c>
      <c r="C2" s="1" t="s">
        <v>3</v>
      </c>
    </row>
    <row r="3" spans="1:3">
      <c r="A3" s="2" t="s">
        <v>4</v>
      </c>
      <c r="B3" s="2">
        <v>351</v>
      </c>
      <c r="C3" s="2">
        <v>221</v>
      </c>
    </row>
    <row r="4" spans="1:3">
      <c r="A4" s="2" t="s">
        <v>5</v>
      </c>
      <c r="B4" s="2">
        <v>280</v>
      </c>
      <c r="C4" s="2">
        <v>85</v>
      </c>
    </row>
    <row r="5" spans="1:3">
      <c r="A5" s="2" t="s">
        <v>6</v>
      </c>
      <c r="B5" s="2">
        <v>53</v>
      </c>
      <c r="C5" s="2">
        <v>15</v>
      </c>
    </row>
    <row r="6" spans="1:3">
      <c r="A6" s="2" t="s">
        <v>7</v>
      </c>
      <c r="B6" s="2">
        <v>334</v>
      </c>
      <c r="C6" s="2">
        <v>210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2021-09-01T10:05:05Z</dcterms:created>
  <dcterms:modified xsi:type="dcterms:W3CDTF">2022-11-03T03:39:16Z</dcterms:modified>
</cp:coreProperties>
</file>