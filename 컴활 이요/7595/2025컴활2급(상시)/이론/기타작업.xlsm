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5년)\2급\상시공략집\2025컴활2급(상시)\이론\"/>
    </mc:Choice>
  </mc:AlternateContent>
  <xr:revisionPtr revIDLastSave="0" documentId="13_ncr:1_{6C9D966F-595D-4466-BD7D-98B90194B736}" xr6:coauthVersionLast="47" xr6:coauthVersionMax="47" xr10:uidLastSave="{00000000-0000-0000-0000-000000000000}"/>
  <bookViews>
    <workbookView xWindow="13740" yWindow="1935" windowWidth="23715" windowHeight="13860" xr2:uid="{00000000-000D-0000-FFFF-FFFF00000000}"/>
  </bookViews>
  <sheets>
    <sheet name="매크로" sheetId="5" r:id="rId1"/>
    <sheet name="매크로(결과)" sheetId="3" r:id="rId2"/>
    <sheet name="차트" sheetId="10" r:id="rId3"/>
    <sheet name="차트(결과)" sheetId="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5" l="1"/>
  <c r="E11" i="5" s="1"/>
  <c r="D10" i="5"/>
  <c r="E10" i="5" s="1"/>
  <c r="D9" i="5"/>
  <c r="E9" i="5" s="1"/>
  <c r="D8" i="5"/>
  <c r="E8" i="5" s="1"/>
  <c r="D7" i="5"/>
  <c r="E7" i="5" s="1"/>
  <c r="D6" i="5"/>
  <c r="E6" i="5" s="1"/>
  <c r="D5" i="5"/>
  <c r="E5" i="5" s="1"/>
  <c r="D4" i="5"/>
  <c r="E4" i="5" s="1"/>
  <c r="D11" i="3" l="1"/>
  <c r="D10" i="3"/>
  <c r="D9" i="3"/>
  <c r="D8" i="3"/>
  <c r="D7" i="3"/>
  <c r="D6" i="3"/>
  <c r="D5" i="3"/>
  <c r="D4" i="3"/>
  <c r="E4" i="3" l="1"/>
  <c r="F4" i="3" s="1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</calcChain>
</file>

<file path=xl/sharedStrings.xml><?xml version="1.0" encoding="utf-8"?>
<sst xmlns="http://schemas.openxmlformats.org/spreadsheetml/2006/main" count="48" uniqueCount="24">
  <si>
    <t>가전 제품 판매 현황</t>
    <phoneticPr fontId="5" type="noConversion"/>
  </si>
  <si>
    <t>제품명</t>
  </si>
  <si>
    <t>판매단가</t>
    <phoneticPr fontId="5" type="noConversion"/>
  </si>
  <si>
    <t>판매수량</t>
    <phoneticPr fontId="5" type="noConversion"/>
  </si>
  <si>
    <t>판매금액</t>
    <phoneticPr fontId="5" type="noConversion"/>
  </si>
  <si>
    <t>매입금액</t>
    <phoneticPr fontId="5" type="noConversion"/>
  </si>
  <si>
    <t>이익금액</t>
    <phoneticPr fontId="5" type="noConversion"/>
  </si>
  <si>
    <t>건조기</t>
    <phoneticPr fontId="5" type="noConversion"/>
  </si>
  <si>
    <t>공기청정기</t>
    <phoneticPr fontId="5" type="noConversion"/>
  </si>
  <si>
    <t>김치냉장고</t>
    <phoneticPr fontId="5" type="noConversion"/>
  </si>
  <si>
    <t>노트북</t>
    <phoneticPr fontId="5" type="noConversion"/>
  </si>
  <si>
    <t>냉장고</t>
    <phoneticPr fontId="5" type="noConversion"/>
  </si>
  <si>
    <t>TV</t>
    <phoneticPr fontId="5" type="noConversion"/>
  </si>
  <si>
    <t>세탁기</t>
    <phoneticPr fontId="5" type="noConversion"/>
  </si>
  <si>
    <t>에어컨</t>
    <phoneticPr fontId="5" type="noConversion"/>
  </si>
  <si>
    <t>학년별 장학금 현황</t>
    <phoneticPr fontId="1" type="noConversion"/>
  </si>
  <si>
    <t>구분</t>
    <phoneticPr fontId="1" type="noConversion"/>
  </si>
  <si>
    <t>1학년</t>
    <phoneticPr fontId="1" type="noConversion"/>
  </si>
  <si>
    <t>2학년</t>
    <phoneticPr fontId="1" type="noConversion"/>
  </si>
  <si>
    <t>3학년</t>
    <phoneticPr fontId="1" type="noConversion"/>
  </si>
  <si>
    <t>성적장학</t>
    <phoneticPr fontId="1" type="noConversion"/>
  </si>
  <si>
    <t>가계장학</t>
    <phoneticPr fontId="1" type="noConversion"/>
  </si>
  <si>
    <t>근로장학</t>
    <phoneticPr fontId="1" type="noConversion"/>
  </si>
  <si>
    <t>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</si>
</sst>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2" applyNumberFormat="1" applyFont="1" applyBorder="1" applyAlignment="1">
      <alignment horizontal="center"/>
    </xf>
    <xf numFmtId="0" fontId="7" fillId="2" borderId="1" xfId="3" applyBorder="1" applyAlignment="1">
      <alignment horizontal="center"/>
    </xf>
    <xf numFmtId="0" fontId="10" fillId="0" borderId="0" xfId="1" applyFont="1">
      <alignment vertical="center"/>
    </xf>
    <xf numFmtId="0" fontId="10" fillId="0" borderId="0" xfId="1" applyFont="1" applyAlignment="1">
      <alignment horizontal="right" vertical="center"/>
    </xf>
    <xf numFmtId="0" fontId="10" fillId="0" borderId="1" xfId="1" applyNumberFormat="1" applyFont="1" applyBorder="1" applyAlignment="1">
      <alignment horizontal="center" vertical="center"/>
    </xf>
    <xf numFmtId="3" fontId="10" fillId="0" borderId="1" xfId="4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10" fillId="0" borderId="1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5">
    <cellStyle name="강조색1" xfId="3" builtinId="29"/>
    <cellStyle name="쉼표 [0]" xfId="4" builtinId="6"/>
    <cellStyle name="쉼표 [0] 2" xfId="2" xr:uid="{00000000-0005-0000-0000-000002000000}"/>
    <cellStyle name="표준" xfId="0" builtinId="0"/>
    <cellStyle name="표준 2" xfId="1" xr:uid="{00000000-0005-0000-0000-000004000000}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6D-4928-8865-3EFAF2F279CC}"/>
            </c:ext>
          </c:extLst>
        </c:ser>
        <c:ser>
          <c:idx val="1"/>
          <c:order val="1"/>
          <c:tx>
            <c:strRef>
              <c:f>차트!$A$5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6D-4928-8865-3EFAF2F279CC}"/>
            </c:ext>
          </c:extLst>
        </c:ser>
        <c:ser>
          <c:idx val="2"/>
          <c:order val="2"/>
          <c:tx>
            <c:strRef>
              <c:f>차트!$A$6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6D-4928-8865-3EFAF2F279CC}"/>
            </c:ext>
          </c:extLst>
        </c:ser>
        <c:ser>
          <c:idx val="3"/>
          <c:order val="3"/>
          <c:tx>
            <c:strRef>
              <c:f>차트!$A$7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차트!$B$7:$D$7</c:f>
              <c:numCache>
                <c:formatCode>#,##0</c:formatCode>
                <c:ptCount val="3"/>
                <c:pt idx="0">
                  <c:v>81448</c:v>
                </c:pt>
                <c:pt idx="1">
                  <c:v>84374</c:v>
                </c:pt>
                <c:pt idx="2">
                  <c:v>92353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6D-4928-8865-3EFAF2F27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2233392"/>
        <c:axId val="692236304"/>
      </c:barChart>
      <c:catAx>
        <c:axId val="69223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6304"/>
        <c:crosses val="autoZero"/>
        <c:auto val="1"/>
        <c:lblAlgn val="ctr"/>
        <c:lblOffset val="100"/>
        <c:noMultiLvlLbl val="0"/>
      </c:catAx>
      <c:valAx>
        <c:axId val="69223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'차트(결과)'!$A$1:$D$1</c:f>
          <c:strCache>
            <c:ptCount val="4"/>
            <c:pt idx="0">
              <c:v>학년별 장학금 현황</c:v>
            </c:pt>
          </c:strCache>
        </c:strRef>
      </c:tx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'차트(결과)'!$A$4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'차트(결과)'!$B$3:$D$3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'차트(결과)'!$B$4:$D$4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F-460F-93DB-94A7EC6B4770}"/>
            </c:ext>
          </c:extLst>
        </c:ser>
        <c:ser>
          <c:idx val="1"/>
          <c:order val="1"/>
          <c:tx>
            <c:strRef>
              <c:f>'차트(결과)'!$A$5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'차트(결과)'!$B$3:$D$3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'차트(결과)'!$B$5:$D$5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F-460F-93DB-94A7EC6B4770}"/>
            </c:ext>
          </c:extLst>
        </c:ser>
        <c:ser>
          <c:idx val="2"/>
          <c:order val="2"/>
          <c:tx>
            <c:strRef>
              <c:f>'차트(결과)'!$A$6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'차트(결과)'!$B$3:$D$3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'차트(결과)'!$B$6:$D$6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shape val="cone"/>
          <c:extLst>
            <c:ext xmlns:c16="http://schemas.microsoft.com/office/drawing/2014/chart" uri="{C3380CC4-5D6E-409C-BE32-E72D297353CC}">
              <c16:uniqueId val="{00000002-025F-460F-93DB-94A7EC6B4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692233392"/>
        <c:axId val="692236304"/>
        <c:axId val="0"/>
      </c:bar3DChart>
      <c:catAx>
        <c:axId val="69223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6304"/>
        <c:crosses val="autoZero"/>
        <c:auto val="1"/>
        <c:lblAlgn val="ctr"/>
        <c:lblOffset val="100"/>
        <c:noMultiLvlLbl val="0"/>
      </c:catAx>
      <c:valAx>
        <c:axId val="69223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3392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accent4"/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12</xdr:row>
      <xdr:rowOff>0</xdr:rowOff>
    </xdr:from>
    <xdr:to>
      <xdr:col>6</xdr:col>
      <xdr:colOff>0</xdr:colOff>
      <xdr:row>14</xdr:row>
      <xdr:rowOff>0</xdr:rowOff>
    </xdr:to>
    <xdr:sp macro="[0]!셀스타일결과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97250" y="2698750"/>
          <a:ext cx="18034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F11"/>
  <sheetViews>
    <sheetView tabSelected="1" workbookViewId="0">
      <selection sqref="A1:F1"/>
    </sheetView>
  </sheetViews>
  <sheetFormatPr defaultRowHeight="16.5"/>
  <cols>
    <col min="1" max="1" width="13.25" customWidth="1"/>
    <col min="2" max="2" width="10.875" bestFit="1" customWidth="1"/>
    <col min="4" max="5" width="11.875" bestFit="1" customWidth="1"/>
    <col min="6" max="6" width="11.875" customWidth="1"/>
  </cols>
  <sheetData>
    <row r="1" spans="1:6" ht="26.25">
      <c r="A1" s="12" t="s">
        <v>0</v>
      </c>
      <c r="B1" s="12"/>
      <c r="C1" s="12"/>
      <c r="D1" s="12"/>
      <c r="E1" s="12"/>
      <c r="F1" s="12"/>
    </row>
    <row r="2" spans="1:6">
      <c r="A2" s="1"/>
      <c r="B2" s="1"/>
      <c r="C2" s="1"/>
      <c r="D2" s="1"/>
      <c r="E2" s="1"/>
      <c r="F2" s="1"/>
    </row>
    <row r="3" spans="1:6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</row>
    <row r="4" spans="1:6">
      <c r="A4" s="2" t="s">
        <v>7</v>
      </c>
      <c r="B4" s="3">
        <v>1400000</v>
      </c>
      <c r="C4" s="4">
        <v>34</v>
      </c>
      <c r="D4" s="3">
        <f>B4*C4</f>
        <v>47600000</v>
      </c>
      <c r="E4" s="3">
        <f>D4*80%</f>
        <v>38080000</v>
      </c>
      <c r="F4" s="3"/>
    </row>
    <row r="5" spans="1:6">
      <c r="A5" s="2" t="s">
        <v>8</v>
      </c>
      <c r="B5" s="3">
        <v>960000</v>
      </c>
      <c r="C5" s="4">
        <v>25</v>
      </c>
      <c r="D5" s="3">
        <f t="shared" ref="D5:D11" si="0">B5*C5</f>
        <v>24000000</v>
      </c>
      <c r="E5" s="3">
        <f t="shared" ref="E5:E11" si="1">D5*80%</f>
        <v>19200000</v>
      </c>
      <c r="F5" s="3"/>
    </row>
    <row r="6" spans="1:6">
      <c r="A6" s="2" t="s">
        <v>9</v>
      </c>
      <c r="B6" s="3">
        <v>1585000</v>
      </c>
      <c r="C6" s="4">
        <v>55</v>
      </c>
      <c r="D6" s="3">
        <f t="shared" si="0"/>
        <v>87175000</v>
      </c>
      <c r="E6" s="3">
        <f t="shared" si="1"/>
        <v>69740000</v>
      </c>
      <c r="F6" s="3"/>
    </row>
    <row r="7" spans="1:6">
      <c r="A7" s="2" t="s">
        <v>10</v>
      </c>
      <c r="B7" s="3">
        <v>790000</v>
      </c>
      <c r="C7" s="4">
        <v>27</v>
      </c>
      <c r="D7" s="3">
        <f t="shared" si="0"/>
        <v>21330000</v>
      </c>
      <c r="E7" s="3">
        <f t="shared" si="1"/>
        <v>17064000</v>
      </c>
      <c r="F7" s="3"/>
    </row>
    <row r="8" spans="1:6">
      <c r="A8" s="2" t="s">
        <v>11</v>
      </c>
      <c r="B8" s="3">
        <v>1564000</v>
      </c>
      <c r="C8" s="4">
        <v>28</v>
      </c>
      <c r="D8" s="3">
        <f t="shared" si="0"/>
        <v>43792000</v>
      </c>
      <c r="E8" s="3">
        <f t="shared" si="1"/>
        <v>35033600</v>
      </c>
      <c r="F8" s="3"/>
    </row>
    <row r="9" spans="1:6">
      <c r="A9" s="2" t="s">
        <v>12</v>
      </c>
      <c r="B9" s="3">
        <v>887000</v>
      </c>
      <c r="C9" s="4">
        <v>36</v>
      </c>
      <c r="D9" s="3">
        <f t="shared" si="0"/>
        <v>31932000</v>
      </c>
      <c r="E9" s="3">
        <f t="shared" si="1"/>
        <v>25545600</v>
      </c>
      <c r="F9" s="3"/>
    </row>
    <row r="10" spans="1:6">
      <c r="A10" s="2" t="s">
        <v>13</v>
      </c>
      <c r="B10" s="3">
        <v>705000</v>
      </c>
      <c r="C10" s="4">
        <v>38</v>
      </c>
      <c r="D10" s="3">
        <f t="shared" si="0"/>
        <v>26790000</v>
      </c>
      <c r="E10" s="3">
        <f t="shared" si="1"/>
        <v>21432000</v>
      </c>
      <c r="F10" s="3"/>
    </row>
    <row r="11" spans="1:6">
      <c r="A11" s="2" t="s">
        <v>14</v>
      </c>
      <c r="B11" s="3">
        <v>1870000</v>
      </c>
      <c r="C11" s="4">
        <v>52</v>
      </c>
      <c r="D11" s="3">
        <f t="shared" si="0"/>
        <v>97240000</v>
      </c>
      <c r="E11" s="3">
        <f t="shared" si="1"/>
        <v>77792000</v>
      </c>
      <c r="F11" s="3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1"/>
  <sheetViews>
    <sheetView workbookViewId="0">
      <selection sqref="A1:F1"/>
    </sheetView>
  </sheetViews>
  <sheetFormatPr defaultRowHeight="16.5"/>
  <cols>
    <col min="1" max="1" width="13.25" customWidth="1"/>
    <col min="2" max="2" width="10.875" bestFit="1" customWidth="1"/>
    <col min="4" max="5" width="11.875" bestFit="1" customWidth="1"/>
    <col min="6" max="6" width="11.875" customWidth="1"/>
  </cols>
  <sheetData>
    <row r="1" spans="1:6" ht="26.25">
      <c r="A1" s="12" t="s">
        <v>0</v>
      </c>
      <c r="B1" s="12"/>
      <c r="C1" s="12"/>
      <c r="D1" s="12"/>
      <c r="E1" s="12"/>
      <c r="F1" s="12"/>
    </row>
    <row r="2" spans="1:6">
      <c r="A2" s="1"/>
      <c r="B2" s="1"/>
      <c r="C2" s="1"/>
      <c r="D2" s="1"/>
      <c r="E2" s="1"/>
      <c r="F2" s="1"/>
    </row>
    <row r="3" spans="1:6">
      <c r="A3" s="5" t="s">
        <v>1</v>
      </c>
      <c r="B3" s="5" t="s">
        <v>2</v>
      </c>
      <c r="C3" s="5" t="s">
        <v>3</v>
      </c>
      <c r="D3" s="5" t="s">
        <v>4</v>
      </c>
      <c r="E3" s="5" t="s">
        <v>5</v>
      </c>
      <c r="F3" s="5" t="s">
        <v>6</v>
      </c>
    </row>
    <row r="4" spans="1:6">
      <c r="A4" s="2" t="s">
        <v>7</v>
      </c>
      <c r="B4" s="3">
        <v>1400000</v>
      </c>
      <c r="C4" s="4">
        <v>34</v>
      </c>
      <c r="D4" s="3">
        <f>B4*C4</f>
        <v>47600000</v>
      </c>
      <c r="E4" s="3">
        <f>D4*80%</f>
        <v>38080000</v>
      </c>
      <c r="F4" s="3">
        <f>D4-E4</f>
        <v>9520000</v>
      </c>
    </row>
    <row r="5" spans="1:6">
      <c r="A5" s="2" t="s">
        <v>8</v>
      </c>
      <c r="B5" s="3">
        <v>960000</v>
      </c>
      <c r="C5" s="4">
        <v>25</v>
      </c>
      <c r="D5" s="3">
        <f t="shared" ref="D5:D11" si="0">B5*C5</f>
        <v>24000000</v>
      </c>
      <c r="E5" s="3">
        <f t="shared" ref="E5:E11" si="1">D5*80%</f>
        <v>19200000</v>
      </c>
      <c r="F5" s="3">
        <f t="shared" ref="F5:F11" si="2">D5-E5</f>
        <v>4800000</v>
      </c>
    </row>
    <row r="6" spans="1:6">
      <c r="A6" s="2" t="s">
        <v>9</v>
      </c>
      <c r="B6" s="3">
        <v>1585000</v>
      </c>
      <c r="C6" s="4">
        <v>55</v>
      </c>
      <c r="D6" s="3">
        <f t="shared" si="0"/>
        <v>87175000</v>
      </c>
      <c r="E6" s="3">
        <f t="shared" si="1"/>
        <v>69740000</v>
      </c>
      <c r="F6" s="3">
        <f t="shared" si="2"/>
        <v>17435000</v>
      </c>
    </row>
    <row r="7" spans="1:6">
      <c r="A7" s="2" t="s">
        <v>10</v>
      </c>
      <c r="B7" s="3">
        <v>790000</v>
      </c>
      <c r="C7" s="4">
        <v>27</v>
      </c>
      <c r="D7" s="3">
        <f t="shared" si="0"/>
        <v>21330000</v>
      </c>
      <c r="E7" s="3">
        <f t="shared" si="1"/>
        <v>17064000</v>
      </c>
      <c r="F7" s="3">
        <f t="shared" si="2"/>
        <v>4266000</v>
      </c>
    </row>
    <row r="8" spans="1:6">
      <c r="A8" s="2" t="s">
        <v>11</v>
      </c>
      <c r="B8" s="3">
        <v>1564000</v>
      </c>
      <c r="C8" s="4">
        <v>28</v>
      </c>
      <c r="D8" s="3">
        <f t="shared" si="0"/>
        <v>43792000</v>
      </c>
      <c r="E8" s="3">
        <f t="shared" si="1"/>
        <v>35033600</v>
      </c>
      <c r="F8" s="3">
        <f t="shared" si="2"/>
        <v>8758400</v>
      </c>
    </row>
    <row r="9" spans="1:6">
      <c r="A9" s="2" t="s">
        <v>12</v>
      </c>
      <c r="B9" s="3">
        <v>887000</v>
      </c>
      <c r="C9" s="4">
        <v>36</v>
      </c>
      <c r="D9" s="3">
        <f t="shared" si="0"/>
        <v>31932000</v>
      </c>
      <c r="E9" s="3">
        <f t="shared" si="1"/>
        <v>25545600</v>
      </c>
      <c r="F9" s="3">
        <f t="shared" si="2"/>
        <v>6386400</v>
      </c>
    </row>
    <row r="10" spans="1:6">
      <c r="A10" s="2" t="s">
        <v>13</v>
      </c>
      <c r="B10" s="3">
        <v>705000</v>
      </c>
      <c r="C10" s="4">
        <v>38</v>
      </c>
      <c r="D10" s="3">
        <f t="shared" si="0"/>
        <v>26790000</v>
      </c>
      <c r="E10" s="3">
        <f t="shared" si="1"/>
        <v>21432000</v>
      </c>
      <c r="F10" s="3">
        <f t="shared" si="2"/>
        <v>5358000</v>
      </c>
    </row>
    <row r="11" spans="1:6">
      <c r="A11" s="2" t="s">
        <v>14</v>
      </c>
      <c r="B11" s="3">
        <v>1870000</v>
      </c>
      <c r="C11" s="4">
        <v>52</v>
      </c>
      <c r="D11" s="3">
        <f t="shared" si="0"/>
        <v>97240000</v>
      </c>
      <c r="E11" s="3">
        <f t="shared" si="1"/>
        <v>77792000</v>
      </c>
      <c r="F11" s="3">
        <f t="shared" si="2"/>
        <v>19448000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이익금액결과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8124-A539-4EB9-8995-A480984634FE}">
  <sheetPr codeName="Sheet4"/>
  <dimension ref="A1:D7"/>
  <sheetViews>
    <sheetView workbookViewId="0">
      <selection sqref="A1:D1"/>
    </sheetView>
  </sheetViews>
  <sheetFormatPr defaultRowHeight="16.5"/>
  <cols>
    <col min="1" max="5" width="18.625" customWidth="1"/>
  </cols>
  <sheetData>
    <row r="1" spans="1:4" ht="26.25">
      <c r="A1" s="13" t="s">
        <v>15</v>
      </c>
      <c r="B1" s="13"/>
      <c r="C1" s="13"/>
      <c r="D1" s="13"/>
    </row>
    <row r="2" spans="1:4">
      <c r="A2" s="6"/>
      <c r="B2" s="6"/>
      <c r="C2" s="6"/>
      <c r="D2" s="7"/>
    </row>
    <row r="3" spans="1:4">
      <c r="A3" s="8" t="s">
        <v>16</v>
      </c>
      <c r="B3" s="8" t="s">
        <v>17</v>
      </c>
      <c r="C3" s="8" t="s">
        <v>18</v>
      </c>
      <c r="D3" s="8" t="s">
        <v>19</v>
      </c>
    </row>
    <row r="4" spans="1:4">
      <c r="A4" s="8" t="s">
        <v>20</v>
      </c>
      <c r="B4" s="9">
        <v>42437</v>
      </c>
      <c r="C4" s="9">
        <v>43632</v>
      </c>
      <c r="D4" s="10">
        <v>47664</v>
      </c>
    </row>
    <row r="5" spans="1:4">
      <c r="A5" s="8" t="s">
        <v>21</v>
      </c>
      <c r="B5" s="9">
        <v>11666</v>
      </c>
      <c r="C5" s="9">
        <v>12769</v>
      </c>
      <c r="D5" s="10">
        <v>13182</v>
      </c>
    </row>
    <row r="6" spans="1:4">
      <c r="A6" s="11" t="s">
        <v>22</v>
      </c>
      <c r="B6" s="10">
        <v>27345</v>
      </c>
      <c r="C6" s="9">
        <v>27973</v>
      </c>
      <c r="D6" s="10">
        <v>31570</v>
      </c>
    </row>
    <row r="7" spans="1:4">
      <c r="A7" s="8" t="s">
        <v>23</v>
      </c>
      <c r="B7" s="10">
        <v>81448</v>
      </c>
      <c r="C7" s="10">
        <v>84374</v>
      </c>
      <c r="D7" s="10">
        <v>92353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C599D-3D6A-45A2-87E9-3E4BE61BD957}">
  <sheetPr codeName="Sheet3"/>
  <dimension ref="A1:D7"/>
  <sheetViews>
    <sheetView showGridLines="0" workbookViewId="0">
      <selection activeCell="G10" sqref="G10"/>
    </sheetView>
  </sheetViews>
  <sheetFormatPr defaultRowHeight="16.5"/>
  <cols>
    <col min="1" max="5" width="18.625" customWidth="1"/>
  </cols>
  <sheetData>
    <row r="1" spans="1:4" ht="26.25">
      <c r="A1" s="13" t="s">
        <v>15</v>
      </c>
      <c r="B1" s="13"/>
      <c r="C1" s="13"/>
      <c r="D1" s="13"/>
    </row>
    <row r="2" spans="1:4">
      <c r="A2" s="6"/>
      <c r="B2" s="6"/>
      <c r="C2" s="6"/>
      <c r="D2" s="7"/>
    </row>
    <row r="3" spans="1:4">
      <c r="A3" s="8" t="s">
        <v>16</v>
      </c>
      <c r="B3" s="8" t="s">
        <v>17</v>
      </c>
      <c r="C3" s="8" t="s">
        <v>18</v>
      </c>
      <c r="D3" s="8" t="s">
        <v>19</v>
      </c>
    </row>
    <row r="4" spans="1:4">
      <c r="A4" s="8" t="s">
        <v>20</v>
      </c>
      <c r="B4" s="9">
        <v>42437</v>
      </c>
      <c r="C4" s="9">
        <v>43632</v>
      </c>
      <c r="D4" s="10">
        <v>47664</v>
      </c>
    </row>
    <row r="5" spans="1:4">
      <c r="A5" s="8" t="s">
        <v>21</v>
      </c>
      <c r="B5" s="9">
        <v>11666</v>
      </c>
      <c r="C5" s="9">
        <v>12769</v>
      </c>
      <c r="D5" s="10">
        <v>13182</v>
      </c>
    </row>
    <row r="6" spans="1:4">
      <c r="A6" s="11" t="s">
        <v>22</v>
      </c>
      <c r="B6" s="10">
        <v>27345</v>
      </c>
      <c r="C6" s="9">
        <v>27973</v>
      </c>
      <c r="D6" s="10">
        <v>31570</v>
      </c>
    </row>
    <row r="7" spans="1:4">
      <c r="A7" s="8" t="s">
        <v>23</v>
      </c>
      <c r="B7" s="10">
        <v>81448</v>
      </c>
      <c r="C7" s="10">
        <v>84374</v>
      </c>
      <c r="D7" s="10">
        <v>92353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매크로</vt:lpstr>
      <vt:lpstr>매크로(결과)</vt:lpstr>
      <vt:lpstr>차트</vt:lpstr>
      <vt:lpstr>차트(결과)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2020-04-05T12:34:42Z</dcterms:created>
  <dcterms:modified xsi:type="dcterms:W3CDTF">2024-09-13T09:50:02Z</dcterms:modified>
</cp:coreProperties>
</file>