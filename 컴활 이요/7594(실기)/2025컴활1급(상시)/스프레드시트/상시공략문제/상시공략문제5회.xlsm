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922DEE02-E69C-455B-AE57-A97D55DA5543}" xr6:coauthVersionLast="47" xr6:coauthVersionMax="47" xr10:uidLastSave="{00000000-0000-0000-0000-000000000000}"/>
  <bookViews>
    <workbookView xWindow="90" yWindow="105" windowWidth="18840" windowHeight="15405" tabRatio="865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9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'기본작업-1'!$A$2:$G$16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4" i="2"/>
  <c r="G2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기출예상문제집\1급\엑셀\예상2회\쇼핑몰.xlsx" keepAlive="1" name="쇼핑몰" type="5" refreshedVersion="6">
    <dbPr connection="Provider=Microsoft.ACE.OLEDB.12.0;User ID=Admin;Data Source=E:\영진(2022년)\기출예상문제집\1급\엑셀\예상2회\쇼핑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가방$" commandType="3"/>
  </connection>
</connections>
</file>

<file path=xl/sharedStrings.xml><?xml version="1.0" encoding="utf-8"?>
<sst xmlns="http://schemas.openxmlformats.org/spreadsheetml/2006/main" count="323" uniqueCount="172">
  <si>
    <t>[표1]</t>
    <phoneticPr fontId="1" type="noConversion"/>
  </si>
  <si>
    <t>구매자</t>
    <phoneticPr fontId="1" type="noConversion"/>
  </si>
  <si>
    <t>품명</t>
    <phoneticPr fontId="1" type="noConversion"/>
  </si>
  <si>
    <t>단가</t>
    <phoneticPr fontId="1" type="noConversion"/>
  </si>
  <si>
    <t>수량</t>
    <phoneticPr fontId="1" type="noConversion"/>
  </si>
  <si>
    <t>금액</t>
    <phoneticPr fontId="1" type="noConversion"/>
  </si>
  <si>
    <t>배송비</t>
    <phoneticPr fontId="1" type="noConversion"/>
  </si>
  <si>
    <t>품명</t>
    <phoneticPr fontId="1" type="noConversion"/>
  </si>
  <si>
    <t>단가</t>
    <phoneticPr fontId="1" type="noConversion"/>
  </si>
  <si>
    <t>USB</t>
    <phoneticPr fontId="1" type="noConversion"/>
  </si>
  <si>
    <t>마우스</t>
    <phoneticPr fontId="1" type="noConversion"/>
  </si>
  <si>
    <t>외장하드</t>
    <phoneticPr fontId="1" type="noConversion"/>
  </si>
  <si>
    <t>작성일자</t>
    <phoneticPr fontId="1" type="noConversion"/>
  </si>
  <si>
    <t>작성날짜:</t>
    <phoneticPr fontId="1" type="noConversion"/>
  </si>
  <si>
    <t>제품코드</t>
  </si>
  <si>
    <t>제품명</t>
  </si>
  <si>
    <t>제조국</t>
  </si>
  <si>
    <t>제조사</t>
  </si>
  <si>
    <t>생산량</t>
  </si>
  <si>
    <t>FR5451</t>
  </si>
  <si>
    <t>인터스텔라</t>
  </si>
  <si>
    <t>베트남</t>
  </si>
  <si>
    <t>요조비</t>
  </si>
  <si>
    <t>EF3812</t>
  </si>
  <si>
    <t>레이니</t>
  </si>
  <si>
    <t>중국</t>
  </si>
  <si>
    <t>제닌</t>
  </si>
  <si>
    <t>AR2323</t>
  </si>
  <si>
    <t>캠벨수프</t>
  </si>
  <si>
    <t>CF5343</t>
  </si>
  <si>
    <t>코니칼</t>
  </si>
  <si>
    <t>EV3784</t>
  </si>
  <si>
    <t>유니텔</t>
  </si>
  <si>
    <t>AV5132</t>
  </si>
  <si>
    <t>그립필</t>
  </si>
  <si>
    <t>PF9124</t>
  </si>
  <si>
    <t>미니햇</t>
  </si>
  <si>
    <t>필리핀</t>
  </si>
  <si>
    <t>비즈</t>
  </si>
  <si>
    <t>FF5231</t>
  </si>
  <si>
    <t>패브릭</t>
  </si>
  <si>
    <t>불량률(%)</t>
    <phoneticPr fontId="1" type="noConversion"/>
  </si>
  <si>
    <t>생산비용
(단위:백만원)</t>
    <phoneticPr fontId="1" type="noConversion"/>
  </si>
  <si>
    <t>[표1]</t>
    <phoneticPr fontId="1" type="noConversion"/>
  </si>
  <si>
    <t>대만</t>
    <phoneticPr fontId="1" type="noConversion"/>
  </si>
  <si>
    <t>인도네시아</t>
    <phoneticPr fontId="1" type="noConversion"/>
  </si>
  <si>
    <t>오즈카</t>
    <phoneticPr fontId="1" type="noConversion"/>
  </si>
  <si>
    <t>오즈카</t>
    <phoneticPr fontId="1" type="noConversion"/>
  </si>
  <si>
    <t>오스림</t>
    <phoneticPr fontId="1" type="noConversion"/>
  </si>
  <si>
    <t>비즈옴</t>
    <phoneticPr fontId="1" type="noConversion"/>
  </si>
  <si>
    <t>슬라젠</t>
    <phoneticPr fontId="1" type="noConversion"/>
  </si>
  <si>
    <t>슬라젠</t>
    <phoneticPr fontId="1" type="noConversion"/>
  </si>
  <si>
    <t>후렌지</t>
    <phoneticPr fontId="1" type="noConversion"/>
  </si>
  <si>
    <t>니플</t>
    <phoneticPr fontId="1" type="noConversion"/>
  </si>
  <si>
    <t>루나솔</t>
    <phoneticPr fontId="1" type="noConversion"/>
  </si>
  <si>
    <t>미사일</t>
    <phoneticPr fontId="1" type="noConversion"/>
  </si>
  <si>
    <t>YT1405</t>
    <phoneticPr fontId="1" type="noConversion"/>
  </si>
  <si>
    <t>베트남</t>
    <phoneticPr fontId="1" type="noConversion"/>
  </si>
  <si>
    <t>필리핀</t>
    <phoneticPr fontId="1" type="noConversion"/>
  </si>
  <si>
    <t>FT1020</t>
    <phoneticPr fontId="1" type="noConversion"/>
  </si>
  <si>
    <t>NF9871</t>
    <phoneticPr fontId="1" type="noConversion"/>
  </si>
  <si>
    <t>RN9876</t>
    <phoneticPr fontId="1" type="noConversion"/>
  </si>
  <si>
    <t>미니햇</t>
    <phoneticPr fontId="1" type="noConversion"/>
  </si>
  <si>
    <t>패브릭</t>
    <phoneticPr fontId="1" type="noConversion"/>
  </si>
  <si>
    <t>PF5423</t>
    <phoneticPr fontId="1" type="noConversion"/>
  </si>
  <si>
    <t>FF9017</t>
    <phoneticPr fontId="1" type="noConversion"/>
  </si>
  <si>
    <t>상품명</t>
  </si>
  <si>
    <t>상품코드</t>
  </si>
  <si>
    <t>구분</t>
  </si>
  <si>
    <t>상품입고일</t>
  </si>
  <si>
    <t>재고수량</t>
  </si>
  <si>
    <t>H3-081</t>
  </si>
  <si>
    <t>라벤더</t>
    <phoneticPr fontId="1" type="noConversion"/>
  </si>
  <si>
    <t>허브차</t>
  </si>
  <si>
    <t>B5-102</t>
  </si>
  <si>
    <t>원미소타</t>
  </si>
  <si>
    <t>보이차</t>
  </si>
  <si>
    <t>H7-028</t>
  </si>
  <si>
    <t>로즈힙</t>
    <phoneticPr fontId="1" type="noConversion"/>
  </si>
  <si>
    <t>N2-102</t>
  </si>
  <si>
    <t>유기농 대작</t>
    <phoneticPr fontId="1" type="noConversion"/>
  </si>
  <si>
    <t>녹차</t>
  </si>
  <si>
    <t>B6-019</t>
  </si>
  <si>
    <t>교목산차</t>
  </si>
  <si>
    <t>N7-093</t>
  </si>
  <si>
    <t>옥로 발효차</t>
  </si>
  <si>
    <t>N4-077</t>
  </si>
  <si>
    <t>차예화개녹차</t>
  </si>
  <si>
    <t>H1-093</t>
  </si>
  <si>
    <t>루이보스</t>
    <phoneticPr fontId="1" type="noConversion"/>
  </si>
  <si>
    <t>가격</t>
    <phoneticPr fontId="1" type="noConversion"/>
  </si>
  <si>
    <t>판매량</t>
    <phoneticPr fontId="1" type="noConversion"/>
  </si>
  <si>
    <t>보이차</t>
    <phoneticPr fontId="1" type="noConversion"/>
  </si>
  <si>
    <t>허브차</t>
    <phoneticPr fontId="1" type="noConversion"/>
  </si>
  <si>
    <t>편장보이타차</t>
    <phoneticPr fontId="1" type="noConversion"/>
  </si>
  <si>
    <t>노포보이병차</t>
    <phoneticPr fontId="1" type="noConversion"/>
  </si>
  <si>
    <t>캐모마일</t>
    <phoneticPr fontId="1" type="noConversion"/>
  </si>
  <si>
    <t>허브차</t>
    <phoneticPr fontId="1" type="noConversion"/>
  </si>
  <si>
    <t>페퍼민트</t>
    <phoneticPr fontId="1" type="noConversion"/>
  </si>
  <si>
    <t>허브차</t>
    <phoneticPr fontId="1" type="noConversion"/>
  </si>
  <si>
    <t>히비스커스</t>
    <phoneticPr fontId="1" type="noConversion"/>
  </si>
  <si>
    <t>H2-842</t>
    <phoneticPr fontId="1" type="noConversion"/>
  </si>
  <si>
    <t>B3-954</t>
    <phoneticPr fontId="1" type="noConversion"/>
  </si>
  <si>
    <t>H5-587</t>
    <phoneticPr fontId="1" type="noConversion"/>
  </si>
  <si>
    <t>H6-987</t>
    <phoneticPr fontId="1" type="noConversion"/>
  </si>
  <si>
    <t>B9-875</t>
    <phoneticPr fontId="1" type="noConversion"/>
  </si>
  <si>
    <t>태블릿</t>
    <phoneticPr fontId="1" type="noConversion"/>
  </si>
  <si>
    <t>총입고수량</t>
    <phoneticPr fontId="1" type="noConversion"/>
  </si>
  <si>
    <t>[표1]</t>
    <phoneticPr fontId="5" type="noConversion"/>
  </si>
  <si>
    <t>자산코드</t>
    <phoneticPr fontId="5" type="noConversion"/>
  </si>
  <si>
    <t>자산구분</t>
    <phoneticPr fontId="5" type="noConversion"/>
  </si>
  <si>
    <t>자산명</t>
    <phoneticPr fontId="5" type="noConversion"/>
  </si>
  <si>
    <t>취득원가</t>
    <phoneticPr fontId="5" type="noConversion"/>
  </si>
  <si>
    <t>내용연수</t>
    <phoneticPr fontId="5" type="noConversion"/>
  </si>
  <si>
    <t>잔존가치</t>
    <phoneticPr fontId="5" type="noConversion"/>
  </si>
  <si>
    <t>감가상각비</t>
    <phoneticPr fontId="5" type="noConversion"/>
  </si>
  <si>
    <t>비고</t>
    <phoneticPr fontId="5" type="noConversion"/>
  </si>
  <si>
    <t>A251S</t>
  </si>
  <si>
    <t>노트북</t>
    <phoneticPr fontId="5" type="noConversion"/>
  </si>
  <si>
    <t>C404T</t>
  </si>
  <si>
    <t>책상</t>
    <phoneticPr fontId="5" type="noConversion"/>
  </si>
  <si>
    <t>D625U</t>
  </si>
  <si>
    <t>냉장고</t>
    <phoneticPr fontId="5" type="noConversion"/>
  </si>
  <si>
    <t>A311S</t>
  </si>
  <si>
    <t>POS단말기</t>
    <phoneticPr fontId="5" type="noConversion"/>
  </si>
  <si>
    <t>D251S</t>
  </si>
  <si>
    <t>A808U</t>
  </si>
  <si>
    <t>커피머신</t>
    <phoneticPr fontId="5" type="noConversion"/>
  </si>
  <si>
    <t>D505T</t>
  </si>
  <si>
    <t>의자</t>
    <phoneticPr fontId="5" type="noConversion"/>
  </si>
  <si>
    <t>B606T</t>
  </si>
  <si>
    <t>테이블</t>
    <phoneticPr fontId="5" type="noConversion"/>
  </si>
  <si>
    <t>C808U</t>
  </si>
  <si>
    <t>C606T</t>
  </si>
  <si>
    <t>A404T</t>
  </si>
  <si>
    <t>B251S</t>
  </si>
  <si>
    <t>B707U</t>
  </si>
  <si>
    <t>정수기</t>
    <phoneticPr fontId="5" type="noConversion"/>
  </si>
  <si>
    <t>C311S</t>
  </si>
  <si>
    <t>A909U</t>
  </si>
  <si>
    <t>대형TV</t>
    <phoneticPr fontId="5" type="noConversion"/>
  </si>
  <si>
    <t>B808U</t>
  </si>
  <si>
    <t>C251S</t>
  </si>
  <si>
    <t>A625U</t>
  </si>
  <si>
    <t>D311S</t>
  </si>
  <si>
    <t>A606T</t>
  </si>
  <si>
    <t>B271S</t>
  </si>
  <si>
    <t>복합기</t>
    <phoneticPr fontId="5" type="noConversion"/>
  </si>
  <si>
    <t>[표4]</t>
    <phoneticPr fontId="5" type="noConversion"/>
  </si>
  <si>
    <t>센터코드</t>
    <phoneticPr fontId="5" type="noConversion"/>
  </si>
  <si>
    <t>A</t>
    <phoneticPr fontId="5" type="noConversion"/>
  </si>
  <si>
    <t>B</t>
    <phoneticPr fontId="5" type="noConversion"/>
  </si>
  <si>
    <t>C</t>
    <phoneticPr fontId="5" type="noConversion"/>
  </si>
  <si>
    <t>D</t>
    <phoneticPr fontId="5" type="noConversion"/>
  </si>
  <si>
    <t>자산명(자산코드)</t>
    <phoneticPr fontId="5" type="noConversion"/>
  </si>
  <si>
    <t>센터명</t>
    <phoneticPr fontId="5" type="noConversion"/>
  </si>
  <si>
    <t>서울센터</t>
    <phoneticPr fontId="5" type="noConversion"/>
  </si>
  <si>
    <t>대전센터</t>
    <phoneticPr fontId="5" type="noConversion"/>
  </si>
  <si>
    <t>부산센터</t>
    <phoneticPr fontId="5" type="noConversion"/>
  </si>
  <si>
    <t>인천센터</t>
    <phoneticPr fontId="5" type="noConversion"/>
  </si>
  <si>
    <t>[표3]</t>
    <phoneticPr fontId="5" type="noConversion"/>
  </si>
  <si>
    <t>구분코드</t>
    <phoneticPr fontId="5" type="noConversion"/>
  </si>
  <si>
    <t>구분</t>
    <phoneticPr fontId="5" type="noConversion"/>
  </si>
  <si>
    <t>S</t>
    <phoneticPr fontId="5" type="noConversion"/>
  </si>
  <si>
    <t>컴퓨터 및 사무기기</t>
    <phoneticPr fontId="5" type="noConversion"/>
  </si>
  <si>
    <t>T</t>
    <phoneticPr fontId="5" type="noConversion"/>
  </si>
  <si>
    <t>가구류</t>
    <phoneticPr fontId="5" type="noConversion"/>
  </si>
  <si>
    <t>U</t>
    <phoneticPr fontId="5" type="noConversion"/>
  </si>
  <si>
    <t>고객쉼터용</t>
    <phoneticPr fontId="5" type="noConversion"/>
  </si>
  <si>
    <t>[표5]</t>
    <phoneticPr fontId="5" type="noConversion"/>
  </si>
  <si>
    <t>노트북/테이블 감가상각비 평균</t>
    <phoneticPr fontId="5" type="noConversion"/>
  </si>
  <si>
    <t>[표2]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</si>
</sst>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_);[Red]\(0.0\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2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1" xfId="3" applyNumberFormat="1" applyFont="1" applyFill="1" applyBorder="1" applyAlignment="1">
      <alignment horizontal="right" vertical="center"/>
    </xf>
    <xf numFmtId="41" fontId="4" fillId="0" borderId="1" xfId="4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3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14" fontId="4" fillId="0" borderId="1" xfId="1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41" fontId="0" fillId="0" borderId="1" xfId="1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</cellXfs>
  <cellStyles count="5">
    <cellStyle name="경고문" xfId="2" builtinId="11"/>
    <cellStyle name="백분율" xfId="3" builtinId="5"/>
    <cellStyle name="쉼표 [0]" xfId="1" builtinId="6"/>
    <cellStyle name="쉼표 [0] 2" xfId="4" xr:uid="{00000000-0005-0000-0000-000003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보이차</a:t>
            </a:r>
            <a:r>
              <a:rPr lang="ko-KR" altLang="en-US" baseline="0"/>
              <a:t> 가격</a:t>
            </a:r>
            <a:r>
              <a:rPr lang="en-US" altLang="ko-KR" baseline="0"/>
              <a:t>/</a:t>
            </a:r>
            <a:r>
              <a:rPr lang="ko-KR" altLang="en-US" baseline="0"/>
              <a:t>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'기본작업-2'!$E$3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('기본작업-2'!$B$5,'기본작업-2'!$B$7,'기본작업-2'!$B$11,'기본작업-2'!$B$16)</c:f>
              <c:strCache>
                <c:ptCount val="4"/>
                <c:pt idx="0">
                  <c:v>편장보이타차</c:v>
                </c:pt>
                <c:pt idx="1">
                  <c:v>원미소타</c:v>
                </c:pt>
                <c:pt idx="2">
                  <c:v>교목산차</c:v>
                </c:pt>
                <c:pt idx="3">
                  <c:v>노포보이병차</c:v>
                </c:pt>
              </c:strCache>
            </c:strRef>
          </c:cat>
          <c:val>
            <c:numRef>
              <c:f>('기본작업-2'!$E$5,'기본작업-2'!$E$7,'기본작업-2'!$E$11,'기본작업-2'!$E$16)</c:f>
              <c:numCache>
                <c:formatCode>_(* #,##0_);_(* \(#,##0\);_(* "-"_);_(@_)</c:formatCode>
                <c:ptCount val="4"/>
                <c:pt idx="0">
                  <c:v>52</c:v>
                </c:pt>
                <c:pt idx="1">
                  <c:v>64</c:v>
                </c:pt>
                <c:pt idx="2">
                  <c:v>46</c:v>
                </c:pt>
                <c:pt idx="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8-4954-B40D-71ADC5E54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3624976"/>
        <c:axId val="1023626224"/>
      </c:barChart>
      <c:lineChart>
        <c:grouping val="standard"/>
        <c:varyColors val="0"/>
        <c:ser>
          <c:idx val="0"/>
          <c:order val="0"/>
          <c:tx>
            <c:strRef>
              <c:f>'기본작업-2'!$D$3</c:f>
              <c:strCache>
                <c:ptCount val="1"/>
                <c:pt idx="0">
                  <c:v>가격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('기본작업-2'!$B$5,'기본작업-2'!$B$7,'기본작업-2'!$B$11,'기본작업-2'!$B$16)</c:f>
              <c:strCache>
                <c:ptCount val="4"/>
                <c:pt idx="0">
                  <c:v>편장보이타차</c:v>
                </c:pt>
                <c:pt idx="1">
                  <c:v>원미소타</c:v>
                </c:pt>
                <c:pt idx="2">
                  <c:v>교목산차</c:v>
                </c:pt>
                <c:pt idx="3">
                  <c:v>노포보이병차</c:v>
                </c:pt>
              </c:strCache>
            </c:strRef>
          </c:cat>
          <c:val>
            <c:numRef>
              <c:f>('기본작업-2'!$D$5,'기본작업-2'!$D$7,'기본작업-2'!$D$11,'기본작업-2'!$D$16)</c:f>
              <c:numCache>
                <c:formatCode>_(* #,##0_);_(* \(#,##0\);_(* "-"_);_(@_)</c:formatCode>
                <c:ptCount val="4"/>
                <c:pt idx="0">
                  <c:v>32000</c:v>
                </c:pt>
                <c:pt idx="1">
                  <c:v>33500</c:v>
                </c:pt>
                <c:pt idx="2">
                  <c:v>72000</c:v>
                </c:pt>
                <c:pt idx="3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8-4954-B40D-71ADC5E54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501120"/>
        <c:axId val="1223499040"/>
      </c:lineChart>
      <c:catAx>
        <c:axId val="10236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3626224"/>
        <c:crosses val="autoZero"/>
        <c:auto val="1"/>
        <c:lblAlgn val="ctr"/>
        <c:lblOffset val="100"/>
        <c:noMultiLvlLbl val="0"/>
      </c:catAx>
      <c:valAx>
        <c:axId val="102362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3624976"/>
        <c:crosses val="autoZero"/>
        <c:crossBetween val="between"/>
      </c:valAx>
      <c:valAx>
        <c:axId val="122349904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3501120"/>
        <c:crosses val="max"/>
        <c:crossBetween val="between"/>
      </c:valAx>
      <c:catAx>
        <c:axId val="1223501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3499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'기타작업-1'!$B$3:$B$8</c:f>
              <c:strCache>
                <c:ptCount val="6"/>
                <c:pt idx="0">
                  <c:v>히비스커스</c:v>
                </c:pt>
                <c:pt idx="1">
                  <c:v>라벤더</c:v>
                </c:pt>
                <c:pt idx="2">
                  <c:v>캐모마일</c:v>
                </c:pt>
                <c:pt idx="3">
                  <c:v>로즈힙</c:v>
                </c:pt>
                <c:pt idx="4">
                  <c:v>페퍼민트</c:v>
                </c:pt>
                <c:pt idx="5">
                  <c:v>루이보스</c:v>
                </c:pt>
              </c:strCache>
            </c:strRef>
          </c:cat>
          <c:val>
            <c:numRef>
              <c:f>'기타작업-1'!$F$3:$F$8</c:f>
              <c:numCache>
                <c:formatCode>_(* #,##0_);_(* \(#,##0\);_(* "-"_);_(@_)</c:formatCode>
                <c:ptCount val="6"/>
                <c:pt idx="0">
                  <c:v>85</c:v>
                </c:pt>
                <c:pt idx="1">
                  <c:v>74</c:v>
                </c:pt>
                <c:pt idx="2">
                  <c:v>92</c:v>
                </c:pt>
                <c:pt idx="3">
                  <c:v>66</c:v>
                </c:pt>
                <c:pt idx="4">
                  <c:v>84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3-470D-BEAC-AAEF8AD8605F}"/>
            </c:ext>
          </c:extLst>
        </c:ser>
        <c:ser>
          <c:idx val="1"/>
          <c:order val="1"/>
          <c:tx>
            <c:strRef>
              <c:f>'기타작업-1'!$G$2</c:f>
              <c:strCache>
                <c:ptCount val="1"/>
                <c:pt idx="0">
                  <c:v>재고수량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'기타작업-1'!$B$3:$B$8</c:f>
              <c:strCache>
                <c:ptCount val="6"/>
                <c:pt idx="0">
                  <c:v>히비스커스</c:v>
                </c:pt>
                <c:pt idx="1">
                  <c:v>라벤더</c:v>
                </c:pt>
                <c:pt idx="2">
                  <c:v>캐모마일</c:v>
                </c:pt>
                <c:pt idx="3">
                  <c:v>로즈힙</c:v>
                </c:pt>
                <c:pt idx="4">
                  <c:v>페퍼민트</c:v>
                </c:pt>
                <c:pt idx="5">
                  <c:v>루이보스</c:v>
                </c:pt>
              </c:strCache>
            </c:strRef>
          </c:cat>
          <c:val>
            <c:numRef>
              <c:f>'기타작업-1'!$G$3:$G$8</c:f>
              <c:numCache>
                <c:formatCode>_(* #,##0_);_(* \(#,##0\);_(* "-"_);_(@_)</c:formatCode>
                <c:ptCount val="6"/>
                <c:pt idx="0">
                  <c:v>31</c:v>
                </c:pt>
                <c:pt idx="1">
                  <c:v>37</c:v>
                </c:pt>
                <c:pt idx="2">
                  <c:v>21</c:v>
                </c:pt>
                <c:pt idx="3">
                  <c:v>24</c:v>
                </c:pt>
                <c:pt idx="4">
                  <c:v>18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3-470D-BEAC-AAEF8AD86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7578992"/>
        <c:axId val="497592304"/>
        <c:axId val="0"/>
      </c:bar3DChart>
      <c:catAx>
        <c:axId val="49757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592304"/>
        <c:crosses val="autoZero"/>
        <c:auto val="1"/>
        <c:lblAlgn val="ctr"/>
        <c:lblOffset val="100"/>
        <c:noMultiLvlLbl val="0"/>
      </c:catAx>
      <c:valAx>
        <c:axId val="49759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57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0</xdr:row>
      <xdr:rowOff>114302</xdr:rowOff>
    </xdr:from>
    <xdr:to>
      <xdr:col>6</xdr:col>
      <xdr:colOff>10885</xdr:colOff>
      <xdr:row>1</xdr:row>
      <xdr:rowOff>266700</xdr:rowOff>
    </xdr:to>
    <xdr:sp macro="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96686" y="114302"/>
          <a:ext cx="3744685" cy="58782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ko-KR" sz="1800">
              <a:latin typeface="+mj-ea"/>
              <a:ea typeface="+mj-ea"/>
            </a:rPr>
            <a:t>Tea</a:t>
          </a:r>
          <a:r>
            <a:rPr lang="ko-KR" altLang="en-US" sz="1800">
              <a:latin typeface="+mj-ea"/>
              <a:ea typeface="+mj-ea"/>
            </a:rPr>
            <a:t> 판매</a:t>
          </a:r>
          <a:r>
            <a:rPr lang="en-US" altLang="ko-KR" sz="1800">
              <a:latin typeface="+mj-ea"/>
              <a:ea typeface="+mj-ea"/>
            </a:rPr>
            <a:t>/</a:t>
          </a:r>
          <a:r>
            <a:rPr lang="ko-KR" altLang="en-US" sz="1800">
              <a:latin typeface="+mj-ea"/>
              <a:ea typeface="+mj-ea"/>
            </a:rPr>
            <a:t>재고 현황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8</xdr:row>
      <xdr:rowOff>215899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9525</xdr:rowOff>
        </xdr:from>
        <xdr:to>
          <xdr:col>10</xdr:col>
          <xdr:colOff>76200</xdr:colOff>
          <xdr:row>4</xdr:row>
          <xdr:rowOff>9525</xdr:rowOff>
        </xdr:to>
        <xdr:sp macro="" textlink="">
          <xdr:nvSpPr>
            <xdr:cNvPr id="1025" name="cmd물품구매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6"/>
  <sheetViews>
    <sheetView tabSelected="1" workbookViewId="0"/>
  </sheetViews>
  <sheetFormatPr defaultRowHeight="16.5" x14ac:dyDescent="0.3"/>
  <cols>
    <col min="1" max="1" width="9.125" style="1"/>
    <col min="2" max="2" width="11.75" customWidth="1"/>
    <col min="3" max="3" width="13.25" customWidth="1"/>
    <col min="4" max="5" width="10.5" bestFit="1" customWidth="1"/>
    <col min="6" max="6" width="10.875" customWidth="1"/>
    <col min="7" max="8" width="14.375" bestFit="1" customWidth="1"/>
  </cols>
  <sheetData>
    <row r="1" spans="1:7" s="6" customFormat="1" x14ac:dyDescent="0.3">
      <c r="A1" s="1" t="s">
        <v>43</v>
      </c>
    </row>
    <row r="2" spans="1:7" ht="33" x14ac:dyDescent="0.3">
      <c r="A2" s="7" t="s">
        <v>14</v>
      </c>
      <c r="B2" s="7" t="s">
        <v>15</v>
      </c>
      <c r="C2" s="7" t="s">
        <v>16</v>
      </c>
      <c r="D2" s="10" t="s">
        <v>17</v>
      </c>
      <c r="E2" s="7" t="s">
        <v>18</v>
      </c>
      <c r="F2" s="10" t="s">
        <v>41</v>
      </c>
      <c r="G2" s="10" t="s">
        <v>42</v>
      </c>
    </row>
    <row r="3" spans="1:7" x14ac:dyDescent="0.3">
      <c r="A3" s="7" t="s">
        <v>19</v>
      </c>
      <c r="B3" s="7" t="s">
        <v>20</v>
      </c>
      <c r="C3" s="7" t="s">
        <v>21</v>
      </c>
      <c r="D3" s="7" t="s">
        <v>22</v>
      </c>
      <c r="E3" s="11">
        <v>454</v>
      </c>
      <c r="F3" s="8">
        <v>8.4</v>
      </c>
      <c r="G3" s="9">
        <v>1854</v>
      </c>
    </row>
    <row r="4" spans="1:7" x14ac:dyDescent="0.3">
      <c r="A4" s="7" t="s">
        <v>23</v>
      </c>
      <c r="B4" s="7" t="s">
        <v>24</v>
      </c>
      <c r="C4" s="7" t="s">
        <v>25</v>
      </c>
      <c r="D4" s="7" t="s">
        <v>26</v>
      </c>
      <c r="E4" s="11">
        <v>683</v>
      </c>
      <c r="F4" s="8">
        <v>2.5</v>
      </c>
      <c r="G4" s="9">
        <v>7640</v>
      </c>
    </row>
    <row r="5" spans="1:7" x14ac:dyDescent="0.3">
      <c r="A5" s="7" t="s">
        <v>27</v>
      </c>
      <c r="B5" s="7" t="s">
        <v>28</v>
      </c>
      <c r="C5" s="7" t="s">
        <v>21</v>
      </c>
      <c r="D5" s="7" t="s">
        <v>22</v>
      </c>
      <c r="E5" s="11">
        <v>229</v>
      </c>
      <c r="F5" s="8">
        <v>3.6999999999999997</v>
      </c>
      <c r="G5" s="9">
        <v>2607</v>
      </c>
    </row>
    <row r="6" spans="1:7" x14ac:dyDescent="0.3">
      <c r="A6" s="7" t="s">
        <v>29</v>
      </c>
      <c r="B6" s="7" t="s">
        <v>30</v>
      </c>
      <c r="C6" s="7" t="s">
        <v>25</v>
      </c>
      <c r="D6" s="7" t="s">
        <v>26</v>
      </c>
      <c r="E6" s="11">
        <v>721</v>
      </c>
      <c r="F6" s="8">
        <v>10.6</v>
      </c>
      <c r="G6" s="9">
        <v>2786</v>
      </c>
    </row>
    <row r="7" spans="1:7" x14ac:dyDescent="0.3">
      <c r="A7" s="7" t="s">
        <v>31</v>
      </c>
      <c r="B7" s="7" t="s">
        <v>32</v>
      </c>
      <c r="C7" s="7" t="s">
        <v>21</v>
      </c>
      <c r="D7" s="7" t="s">
        <v>22</v>
      </c>
      <c r="E7" s="11">
        <v>485</v>
      </c>
      <c r="F7" s="8">
        <v>3.1</v>
      </c>
      <c r="G7" s="9">
        <v>1728</v>
      </c>
    </row>
    <row r="8" spans="1:7" x14ac:dyDescent="0.3">
      <c r="A8" s="7" t="s">
        <v>33</v>
      </c>
      <c r="B8" s="7" t="s">
        <v>34</v>
      </c>
      <c r="C8" s="7" t="s">
        <v>21</v>
      </c>
      <c r="D8" s="7" t="s">
        <v>22</v>
      </c>
      <c r="E8" s="11">
        <v>930</v>
      </c>
      <c r="F8" s="8">
        <v>4.1000000000000005</v>
      </c>
      <c r="G8" s="9">
        <v>2319</v>
      </c>
    </row>
    <row r="9" spans="1:7" x14ac:dyDescent="0.3">
      <c r="A9" s="7" t="s">
        <v>35</v>
      </c>
      <c r="B9" s="7" t="s">
        <v>36</v>
      </c>
      <c r="C9" s="7" t="s">
        <v>37</v>
      </c>
      <c r="D9" s="7" t="s">
        <v>38</v>
      </c>
      <c r="E9" s="11">
        <v>995</v>
      </c>
      <c r="F9" s="8">
        <v>5.2</v>
      </c>
      <c r="G9" s="9">
        <v>1253</v>
      </c>
    </row>
    <row r="10" spans="1:7" x14ac:dyDescent="0.3">
      <c r="A10" s="7" t="s">
        <v>39</v>
      </c>
      <c r="B10" s="7" t="s">
        <v>40</v>
      </c>
      <c r="C10" s="7" t="s">
        <v>37</v>
      </c>
      <c r="D10" s="7" t="s">
        <v>38</v>
      </c>
      <c r="E10" s="11">
        <v>776</v>
      </c>
      <c r="F10" s="8">
        <v>1.7999999999999998</v>
      </c>
      <c r="G10" s="9">
        <v>2691</v>
      </c>
    </row>
    <row r="11" spans="1:7" x14ac:dyDescent="0.3">
      <c r="A11" s="2" t="s">
        <v>59</v>
      </c>
      <c r="B11" s="7" t="s">
        <v>52</v>
      </c>
      <c r="C11" s="7" t="s">
        <v>44</v>
      </c>
      <c r="D11" s="7" t="s">
        <v>46</v>
      </c>
      <c r="E11" s="12">
        <v>512</v>
      </c>
      <c r="F11" s="12">
        <v>2.5</v>
      </c>
      <c r="G11" s="3">
        <v>2574</v>
      </c>
    </row>
    <row r="12" spans="1:7" x14ac:dyDescent="0.3">
      <c r="A12" s="2" t="s">
        <v>60</v>
      </c>
      <c r="B12" s="7" t="s">
        <v>53</v>
      </c>
      <c r="C12" s="7" t="s">
        <v>44</v>
      </c>
      <c r="D12" s="7" t="s">
        <v>47</v>
      </c>
      <c r="E12" s="12">
        <v>358</v>
      </c>
      <c r="F12" s="12">
        <v>4.5999999999999996</v>
      </c>
      <c r="G12" s="3">
        <v>1987</v>
      </c>
    </row>
    <row r="13" spans="1:7" x14ac:dyDescent="0.3">
      <c r="A13" s="2" t="s">
        <v>61</v>
      </c>
      <c r="B13" s="7" t="s">
        <v>54</v>
      </c>
      <c r="C13" s="7" t="s">
        <v>45</v>
      </c>
      <c r="D13" s="7" t="s">
        <v>48</v>
      </c>
      <c r="E13" s="12">
        <v>153</v>
      </c>
      <c r="F13" s="12">
        <v>8.1</v>
      </c>
      <c r="G13" s="3">
        <v>1874</v>
      </c>
    </row>
    <row r="14" spans="1:7" x14ac:dyDescent="0.3">
      <c r="A14" s="2" t="s">
        <v>56</v>
      </c>
      <c r="B14" s="7" t="s">
        <v>55</v>
      </c>
      <c r="C14" s="2" t="s">
        <v>57</v>
      </c>
      <c r="D14" s="7" t="s">
        <v>49</v>
      </c>
      <c r="E14" s="12">
        <v>258</v>
      </c>
      <c r="F14" s="12">
        <v>10.1</v>
      </c>
      <c r="G14" s="3">
        <v>2978</v>
      </c>
    </row>
    <row r="15" spans="1:7" x14ac:dyDescent="0.3">
      <c r="A15" s="2" t="s">
        <v>64</v>
      </c>
      <c r="B15" s="2" t="s">
        <v>62</v>
      </c>
      <c r="C15" s="2" t="s">
        <v>58</v>
      </c>
      <c r="D15" s="7" t="s">
        <v>50</v>
      </c>
      <c r="E15" s="12">
        <v>978</v>
      </c>
      <c r="F15" s="12">
        <v>9.5</v>
      </c>
      <c r="G15" s="3">
        <v>9547</v>
      </c>
    </row>
    <row r="16" spans="1:7" x14ac:dyDescent="0.3">
      <c r="A16" s="2" t="s">
        <v>65</v>
      </c>
      <c r="B16" s="2" t="s">
        <v>63</v>
      </c>
      <c r="C16" s="2" t="s">
        <v>58</v>
      </c>
      <c r="D16" s="7" t="s">
        <v>51</v>
      </c>
      <c r="E16" s="12">
        <v>157</v>
      </c>
      <c r="F16" s="12">
        <v>7.3</v>
      </c>
      <c r="G16" s="3">
        <v>3157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6"/>
  <sheetViews>
    <sheetView zoomScaleNormal="100" zoomScaleSheetLayoutView="100" workbookViewId="0"/>
  </sheetViews>
  <sheetFormatPr defaultRowHeight="16.5" x14ac:dyDescent="0.3"/>
  <cols>
    <col min="2" max="2" width="12.375" bestFit="1" customWidth="1"/>
    <col min="7" max="7" width="10.5" bestFit="1" customWidth="1"/>
  </cols>
  <sheetData>
    <row r="1" spans="1:7" ht="34.35" customHeight="1" x14ac:dyDescent="0.3"/>
    <row r="2" spans="1:7" ht="34.35" customHeight="1" x14ac:dyDescent="0.3"/>
    <row r="3" spans="1:7" x14ac:dyDescent="0.3">
      <c r="A3" s="7" t="s">
        <v>67</v>
      </c>
      <c r="B3" s="7" t="s">
        <v>66</v>
      </c>
      <c r="C3" s="7" t="s">
        <v>68</v>
      </c>
      <c r="D3" s="10" t="s">
        <v>90</v>
      </c>
      <c r="E3" s="10" t="s">
        <v>91</v>
      </c>
      <c r="F3" s="7" t="s">
        <v>70</v>
      </c>
      <c r="G3" s="7" t="s">
        <v>107</v>
      </c>
    </row>
    <row r="4" spans="1:7" x14ac:dyDescent="0.3">
      <c r="A4" s="2" t="s">
        <v>101</v>
      </c>
      <c r="B4" s="2" t="s">
        <v>100</v>
      </c>
      <c r="C4" s="2" t="s">
        <v>99</v>
      </c>
      <c r="D4" s="3">
        <v>19000</v>
      </c>
      <c r="E4" s="3">
        <v>85</v>
      </c>
      <c r="F4" s="3">
        <v>31</v>
      </c>
      <c r="G4" s="16">
        <f>E4+F4</f>
        <v>116</v>
      </c>
    </row>
    <row r="5" spans="1:7" x14ac:dyDescent="0.3">
      <c r="A5" s="2" t="s">
        <v>102</v>
      </c>
      <c r="B5" s="2" t="s">
        <v>94</v>
      </c>
      <c r="C5" s="2" t="s">
        <v>92</v>
      </c>
      <c r="D5" s="3">
        <v>32000</v>
      </c>
      <c r="E5" s="3">
        <v>52</v>
      </c>
      <c r="F5" s="3">
        <v>25</v>
      </c>
      <c r="G5" s="16">
        <f t="shared" ref="G5:G16" si="0">E5+F5</f>
        <v>77</v>
      </c>
    </row>
    <row r="6" spans="1:7" x14ac:dyDescent="0.3">
      <c r="A6" s="7" t="s">
        <v>71</v>
      </c>
      <c r="B6" s="7" t="s">
        <v>72</v>
      </c>
      <c r="C6" s="7" t="s">
        <v>73</v>
      </c>
      <c r="D6" s="14">
        <v>25000</v>
      </c>
      <c r="E6" s="14">
        <v>74</v>
      </c>
      <c r="F6" s="14">
        <v>37</v>
      </c>
      <c r="G6" s="16">
        <f t="shared" si="0"/>
        <v>111</v>
      </c>
    </row>
    <row r="7" spans="1:7" x14ac:dyDescent="0.3">
      <c r="A7" s="7" t="s">
        <v>74</v>
      </c>
      <c r="B7" s="7" t="s">
        <v>75</v>
      </c>
      <c r="C7" s="7" t="s">
        <v>76</v>
      </c>
      <c r="D7" s="14">
        <v>33500</v>
      </c>
      <c r="E7" s="14">
        <v>64</v>
      </c>
      <c r="F7" s="14">
        <v>16</v>
      </c>
      <c r="G7" s="16">
        <f t="shared" si="0"/>
        <v>80</v>
      </c>
    </row>
    <row r="8" spans="1:7" x14ac:dyDescent="0.3">
      <c r="A8" s="2" t="s">
        <v>103</v>
      </c>
      <c r="B8" s="2" t="s">
        <v>96</v>
      </c>
      <c r="C8" s="2" t="s">
        <v>93</v>
      </c>
      <c r="D8" s="3">
        <v>17000</v>
      </c>
      <c r="E8" s="3">
        <v>92</v>
      </c>
      <c r="F8" s="3">
        <v>21</v>
      </c>
      <c r="G8" s="16">
        <f t="shared" si="0"/>
        <v>113</v>
      </c>
    </row>
    <row r="9" spans="1:7" x14ac:dyDescent="0.3">
      <c r="A9" s="7" t="s">
        <v>77</v>
      </c>
      <c r="B9" s="7" t="s">
        <v>78</v>
      </c>
      <c r="C9" s="7" t="s">
        <v>73</v>
      </c>
      <c r="D9" s="14">
        <v>25000</v>
      </c>
      <c r="E9" s="14">
        <v>66</v>
      </c>
      <c r="F9" s="14">
        <v>24</v>
      </c>
      <c r="G9" s="16">
        <f t="shared" si="0"/>
        <v>90</v>
      </c>
    </row>
    <row r="10" spans="1:7" x14ac:dyDescent="0.3">
      <c r="A10" s="7" t="s">
        <v>79</v>
      </c>
      <c r="B10" s="7" t="s">
        <v>80</v>
      </c>
      <c r="C10" s="7" t="s">
        <v>81</v>
      </c>
      <c r="D10" s="14">
        <v>55000</v>
      </c>
      <c r="E10" s="14">
        <v>56</v>
      </c>
      <c r="F10" s="14">
        <v>29</v>
      </c>
      <c r="G10" s="16">
        <f t="shared" si="0"/>
        <v>85</v>
      </c>
    </row>
    <row r="11" spans="1:7" x14ac:dyDescent="0.3">
      <c r="A11" s="7" t="s">
        <v>82</v>
      </c>
      <c r="B11" s="7" t="s">
        <v>83</v>
      </c>
      <c r="C11" s="7" t="s">
        <v>76</v>
      </c>
      <c r="D11" s="14">
        <v>72000</v>
      </c>
      <c r="E11" s="14">
        <v>46</v>
      </c>
      <c r="F11" s="14">
        <v>35</v>
      </c>
      <c r="G11" s="16">
        <f t="shared" si="0"/>
        <v>81</v>
      </c>
    </row>
    <row r="12" spans="1:7" x14ac:dyDescent="0.3">
      <c r="A12" s="2" t="s">
        <v>104</v>
      </c>
      <c r="B12" s="2" t="s">
        <v>98</v>
      </c>
      <c r="C12" s="2" t="s">
        <v>97</v>
      </c>
      <c r="D12" s="3">
        <v>18000</v>
      </c>
      <c r="E12" s="3">
        <v>84</v>
      </c>
      <c r="F12" s="3">
        <v>18</v>
      </c>
      <c r="G12" s="16">
        <f t="shared" si="0"/>
        <v>102</v>
      </c>
    </row>
    <row r="13" spans="1:7" x14ac:dyDescent="0.3">
      <c r="A13" s="7" t="s">
        <v>84</v>
      </c>
      <c r="B13" s="7" t="s">
        <v>85</v>
      </c>
      <c r="C13" s="7" t="s">
        <v>81</v>
      </c>
      <c r="D13" s="14">
        <v>35000</v>
      </c>
      <c r="E13" s="14">
        <v>52</v>
      </c>
      <c r="F13" s="14">
        <v>31</v>
      </c>
      <c r="G13" s="16">
        <f t="shared" si="0"/>
        <v>83</v>
      </c>
    </row>
    <row r="14" spans="1:7" x14ac:dyDescent="0.3">
      <c r="A14" s="7" t="s">
        <v>86</v>
      </c>
      <c r="B14" s="7" t="s">
        <v>87</v>
      </c>
      <c r="C14" s="7" t="s">
        <v>81</v>
      </c>
      <c r="D14" s="14">
        <v>33000</v>
      </c>
      <c r="E14" s="14">
        <v>48</v>
      </c>
      <c r="F14" s="14">
        <v>27</v>
      </c>
      <c r="G14" s="16">
        <f t="shared" si="0"/>
        <v>75</v>
      </c>
    </row>
    <row r="15" spans="1:7" x14ac:dyDescent="0.3">
      <c r="A15" s="7" t="s">
        <v>88</v>
      </c>
      <c r="B15" s="7" t="s">
        <v>89</v>
      </c>
      <c r="C15" s="7" t="s">
        <v>73</v>
      </c>
      <c r="D15" s="14">
        <v>32000</v>
      </c>
      <c r="E15" s="14">
        <v>32</v>
      </c>
      <c r="F15" s="14">
        <v>20</v>
      </c>
      <c r="G15" s="16">
        <f t="shared" si="0"/>
        <v>52</v>
      </c>
    </row>
    <row r="16" spans="1:7" x14ac:dyDescent="0.3">
      <c r="A16" s="2" t="s">
        <v>105</v>
      </c>
      <c r="B16" s="2" t="s">
        <v>95</v>
      </c>
      <c r="C16" s="2" t="s">
        <v>92</v>
      </c>
      <c r="D16" s="3">
        <v>24000</v>
      </c>
      <c r="E16" s="3">
        <v>39</v>
      </c>
      <c r="F16" s="3">
        <v>14</v>
      </c>
      <c r="G16" s="16">
        <f t="shared" si="0"/>
        <v>53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41"/>
  <sheetViews>
    <sheetView workbookViewId="0"/>
  </sheetViews>
  <sheetFormatPr defaultRowHeight="16.5" x14ac:dyDescent="0.3"/>
  <cols>
    <col min="2" max="2" width="21" bestFit="1" customWidth="1"/>
    <col min="3" max="4" width="10.625" bestFit="1" customWidth="1"/>
    <col min="6" max="6" width="10.625" bestFit="1" customWidth="1"/>
    <col min="7" max="7" width="10.375" bestFit="1" customWidth="1"/>
    <col min="8" max="8" width="18.625" bestFit="1" customWidth="1"/>
  </cols>
  <sheetData>
    <row r="1" spans="1:9" x14ac:dyDescent="0.3">
      <c r="A1" s="17" t="s">
        <v>108</v>
      </c>
      <c r="B1" s="17"/>
      <c r="C1" s="17"/>
      <c r="D1" s="17"/>
      <c r="E1" s="17"/>
      <c r="F1" s="17"/>
      <c r="G1" s="17"/>
      <c r="H1" s="17"/>
      <c r="I1" s="18"/>
    </row>
    <row r="2" spans="1:9" x14ac:dyDescent="0.3">
      <c r="A2" s="2" t="s">
        <v>109</v>
      </c>
      <c r="B2" s="19" t="s">
        <v>110</v>
      </c>
      <c r="C2" s="2" t="s">
        <v>111</v>
      </c>
      <c r="D2" s="2" t="s">
        <v>112</v>
      </c>
      <c r="E2" s="2" t="s">
        <v>113</v>
      </c>
      <c r="F2" s="2" t="s">
        <v>114</v>
      </c>
      <c r="G2" s="2" t="s">
        <v>115</v>
      </c>
      <c r="H2" s="19" t="s">
        <v>116</v>
      </c>
      <c r="I2" s="18"/>
    </row>
    <row r="3" spans="1:9" x14ac:dyDescent="0.3">
      <c r="A3" s="2" t="s">
        <v>117</v>
      </c>
      <c r="B3" s="20"/>
      <c r="C3" s="2" t="s">
        <v>118</v>
      </c>
      <c r="D3" s="21">
        <v>1500000</v>
      </c>
      <c r="E3" s="22">
        <v>1</v>
      </c>
      <c r="F3" s="21">
        <v>1250000</v>
      </c>
      <c r="G3" s="21">
        <v>250000</v>
      </c>
      <c r="H3" s="2"/>
      <c r="I3" s="18"/>
    </row>
    <row r="4" spans="1:9" x14ac:dyDescent="0.3">
      <c r="A4" s="2" t="s">
        <v>119</v>
      </c>
      <c r="B4" s="20"/>
      <c r="C4" s="2" t="s">
        <v>120</v>
      </c>
      <c r="D4" s="21">
        <v>900000</v>
      </c>
      <c r="E4" s="22">
        <v>4</v>
      </c>
      <c r="F4" s="21">
        <v>300000</v>
      </c>
      <c r="G4" s="21">
        <v>150000</v>
      </c>
      <c r="H4" s="2"/>
      <c r="I4" s="18"/>
    </row>
    <row r="5" spans="1:9" x14ac:dyDescent="0.3">
      <c r="A5" s="2" t="s">
        <v>121</v>
      </c>
      <c r="B5" s="20"/>
      <c r="C5" s="2" t="s">
        <v>122</v>
      </c>
      <c r="D5" s="21">
        <v>2800000</v>
      </c>
      <c r="E5" s="22">
        <v>2</v>
      </c>
      <c r="F5" s="21">
        <v>1867000</v>
      </c>
      <c r="G5" s="21">
        <v>499000</v>
      </c>
      <c r="H5" s="2"/>
      <c r="I5" s="18"/>
    </row>
    <row r="6" spans="1:9" x14ac:dyDescent="0.3">
      <c r="A6" s="2" t="s">
        <v>123</v>
      </c>
      <c r="B6" s="20"/>
      <c r="C6" s="2" t="s">
        <v>124</v>
      </c>
      <c r="D6" s="21">
        <v>3500000</v>
      </c>
      <c r="E6" s="22">
        <v>4</v>
      </c>
      <c r="F6" s="21">
        <v>1167000</v>
      </c>
      <c r="G6" s="21">
        <v>583000</v>
      </c>
      <c r="H6" s="2"/>
      <c r="I6" s="18"/>
    </row>
    <row r="7" spans="1:9" x14ac:dyDescent="0.3">
      <c r="A7" s="2" t="s">
        <v>125</v>
      </c>
      <c r="B7" s="20"/>
      <c r="C7" s="2" t="s">
        <v>118</v>
      </c>
      <c r="D7" s="21">
        <v>1500000</v>
      </c>
      <c r="E7" s="22">
        <v>3</v>
      </c>
      <c r="F7" s="21">
        <v>750000</v>
      </c>
      <c r="G7" s="21">
        <v>250000</v>
      </c>
      <c r="H7" s="2"/>
      <c r="I7" s="18"/>
    </row>
    <row r="8" spans="1:9" x14ac:dyDescent="0.3">
      <c r="A8" s="2" t="s">
        <v>126</v>
      </c>
      <c r="B8" s="20"/>
      <c r="C8" s="2" t="s">
        <v>127</v>
      </c>
      <c r="D8" s="21">
        <v>2000000</v>
      </c>
      <c r="E8" s="22">
        <v>3</v>
      </c>
      <c r="F8" s="21">
        <v>1000000</v>
      </c>
      <c r="G8" s="21">
        <v>333000</v>
      </c>
      <c r="H8" s="2"/>
      <c r="I8" s="18"/>
    </row>
    <row r="9" spans="1:9" x14ac:dyDescent="0.3">
      <c r="A9" s="2" t="s">
        <v>128</v>
      </c>
      <c r="B9" s="20"/>
      <c r="C9" s="2" t="s">
        <v>129</v>
      </c>
      <c r="D9" s="21">
        <v>250000</v>
      </c>
      <c r="E9" s="22">
        <v>3</v>
      </c>
      <c r="F9" s="21">
        <v>125000</v>
      </c>
      <c r="G9" s="21">
        <v>42000</v>
      </c>
      <c r="H9" s="2"/>
      <c r="I9" s="18"/>
    </row>
    <row r="10" spans="1:9" x14ac:dyDescent="0.3">
      <c r="A10" s="2" t="s">
        <v>130</v>
      </c>
      <c r="B10" s="20"/>
      <c r="C10" s="2" t="s">
        <v>131</v>
      </c>
      <c r="D10" s="21">
        <v>1200000</v>
      </c>
      <c r="E10" s="22">
        <v>5</v>
      </c>
      <c r="F10" s="21">
        <v>200000</v>
      </c>
      <c r="G10" s="21">
        <v>180000</v>
      </c>
      <c r="H10" s="2"/>
      <c r="I10" s="18"/>
    </row>
    <row r="11" spans="1:9" x14ac:dyDescent="0.3">
      <c r="A11" s="2" t="s">
        <v>132</v>
      </c>
      <c r="B11" s="20"/>
      <c r="C11" s="2" t="s">
        <v>127</v>
      </c>
      <c r="D11" s="21">
        <v>2000000</v>
      </c>
      <c r="E11" s="22">
        <v>3</v>
      </c>
      <c r="F11" s="21">
        <v>1000000</v>
      </c>
      <c r="G11" s="21">
        <v>333000</v>
      </c>
      <c r="H11" s="2"/>
      <c r="I11" s="18"/>
    </row>
    <row r="12" spans="1:9" x14ac:dyDescent="0.3">
      <c r="A12" s="2" t="s">
        <v>133</v>
      </c>
      <c r="B12" s="20"/>
      <c r="C12" s="2" t="s">
        <v>131</v>
      </c>
      <c r="D12" s="21">
        <v>1200000</v>
      </c>
      <c r="E12" s="22">
        <v>4</v>
      </c>
      <c r="F12" s="21">
        <v>400000</v>
      </c>
      <c r="G12" s="21">
        <v>200000</v>
      </c>
      <c r="H12" s="2"/>
      <c r="I12" s="18"/>
    </row>
    <row r="13" spans="1:9" x14ac:dyDescent="0.3">
      <c r="A13" s="2" t="s">
        <v>134</v>
      </c>
      <c r="B13" s="20"/>
      <c r="C13" s="2" t="s">
        <v>120</v>
      </c>
      <c r="D13" s="21">
        <v>900000</v>
      </c>
      <c r="E13" s="22">
        <v>5</v>
      </c>
      <c r="F13" s="21">
        <v>150000</v>
      </c>
      <c r="G13" s="21">
        <v>150000</v>
      </c>
      <c r="H13" s="2"/>
      <c r="I13" s="18"/>
    </row>
    <row r="14" spans="1:9" x14ac:dyDescent="0.3">
      <c r="A14" s="2" t="s">
        <v>135</v>
      </c>
      <c r="B14" s="20"/>
      <c r="C14" s="2" t="s">
        <v>118</v>
      </c>
      <c r="D14" s="21">
        <v>1500000</v>
      </c>
      <c r="E14" s="22">
        <v>3</v>
      </c>
      <c r="F14" s="21">
        <v>750000</v>
      </c>
      <c r="G14" s="21">
        <v>250000</v>
      </c>
      <c r="H14" s="2"/>
      <c r="I14" s="18"/>
    </row>
    <row r="15" spans="1:9" x14ac:dyDescent="0.3">
      <c r="A15" s="2" t="s">
        <v>136</v>
      </c>
      <c r="B15" s="20"/>
      <c r="C15" s="2" t="s">
        <v>137</v>
      </c>
      <c r="D15" s="21">
        <v>1800000</v>
      </c>
      <c r="E15" s="22">
        <v>4</v>
      </c>
      <c r="F15" s="21">
        <v>600000</v>
      </c>
      <c r="G15" s="21">
        <v>300000</v>
      </c>
      <c r="H15" s="2"/>
      <c r="I15" s="18"/>
    </row>
    <row r="16" spans="1:9" x14ac:dyDescent="0.3">
      <c r="A16" s="2" t="s">
        <v>138</v>
      </c>
      <c r="B16" s="20"/>
      <c r="C16" s="2" t="s">
        <v>124</v>
      </c>
      <c r="D16" s="21">
        <v>3500000</v>
      </c>
      <c r="E16" s="22">
        <v>5</v>
      </c>
      <c r="F16" s="21">
        <v>583000</v>
      </c>
      <c r="G16" s="21">
        <v>173000</v>
      </c>
      <c r="H16" s="2"/>
      <c r="I16" s="18"/>
    </row>
    <row r="17" spans="1:9" x14ac:dyDescent="0.3">
      <c r="A17" s="2" t="s">
        <v>139</v>
      </c>
      <c r="B17" s="20"/>
      <c r="C17" s="2" t="s">
        <v>140</v>
      </c>
      <c r="D17" s="21">
        <v>4500000</v>
      </c>
      <c r="E17" s="22">
        <v>3</v>
      </c>
      <c r="F17" s="21">
        <v>2250000</v>
      </c>
      <c r="G17" s="21">
        <v>750000</v>
      </c>
      <c r="H17" s="2"/>
      <c r="I17" s="18"/>
    </row>
    <row r="18" spans="1:9" x14ac:dyDescent="0.3">
      <c r="A18" s="2" t="s">
        <v>128</v>
      </c>
      <c r="B18" s="20"/>
      <c r="C18" s="2" t="s">
        <v>129</v>
      </c>
      <c r="D18" s="21">
        <v>250000</v>
      </c>
      <c r="E18" s="22">
        <v>2</v>
      </c>
      <c r="F18" s="21">
        <v>167000</v>
      </c>
      <c r="G18" s="21">
        <v>42000</v>
      </c>
      <c r="H18" s="2"/>
      <c r="I18" s="18"/>
    </row>
    <row r="19" spans="1:9" x14ac:dyDescent="0.3">
      <c r="A19" s="2" t="s">
        <v>141</v>
      </c>
      <c r="B19" s="20"/>
      <c r="C19" s="2" t="s">
        <v>127</v>
      </c>
      <c r="D19" s="21">
        <v>2000000</v>
      </c>
      <c r="E19" s="22">
        <v>3</v>
      </c>
      <c r="F19" s="21">
        <v>1000000</v>
      </c>
      <c r="G19" s="21">
        <v>333000</v>
      </c>
      <c r="H19" s="2"/>
      <c r="I19" s="18"/>
    </row>
    <row r="20" spans="1:9" x14ac:dyDescent="0.3">
      <c r="A20" s="2" t="s">
        <v>142</v>
      </c>
      <c r="B20" s="20"/>
      <c r="C20" s="2" t="s">
        <v>118</v>
      </c>
      <c r="D20" s="21">
        <v>1500000</v>
      </c>
      <c r="E20" s="22">
        <v>2</v>
      </c>
      <c r="F20" s="21">
        <v>1000000</v>
      </c>
      <c r="G20" s="21">
        <v>250000</v>
      </c>
      <c r="H20" s="2"/>
      <c r="I20" s="18"/>
    </row>
    <row r="21" spans="1:9" x14ac:dyDescent="0.3">
      <c r="A21" s="2" t="s">
        <v>143</v>
      </c>
      <c r="B21" s="20"/>
      <c r="C21" s="2" t="s">
        <v>122</v>
      </c>
      <c r="D21" s="21">
        <v>2800000</v>
      </c>
      <c r="E21" s="22">
        <v>3</v>
      </c>
      <c r="F21" s="21">
        <v>1400000</v>
      </c>
      <c r="G21" s="21">
        <v>467000</v>
      </c>
      <c r="H21" s="2"/>
      <c r="I21" s="18"/>
    </row>
    <row r="22" spans="1:9" x14ac:dyDescent="0.3">
      <c r="A22" s="2" t="s">
        <v>144</v>
      </c>
      <c r="B22" s="20"/>
      <c r="C22" s="2" t="s">
        <v>124</v>
      </c>
      <c r="D22" s="21">
        <v>3500000</v>
      </c>
      <c r="E22" s="22">
        <v>2</v>
      </c>
      <c r="F22" s="21">
        <v>1883000</v>
      </c>
      <c r="G22" s="21">
        <v>483000</v>
      </c>
      <c r="H22" s="2"/>
      <c r="I22" s="18"/>
    </row>
    <row r="23" spans="1:9" x14ac:dyDescent="0.3">
      <c r="A23" s="2" t="s">
        <v>145</v>
      </c>
      <c r="B23" s="20"/>
      <c r="C23" s="2" t="s">
        <v>131</v>
      </c>
      <c r="D23" s="21">
        <v>1200000</v>
      </c>
      <c r="E23" s="22">
        <v>2</v>
      </c>
      <c r="F23" s="21">
        <v>800000</v>
      </c>
      <c r="G23" s="21">
        <v>200000</v>
      </c>
      <c r="H23" s="2"/>
      <c r="I23" s="18"/>
    </row>
    <row r="24" spans="1:9" x14ac:dyDescent="0.3">
      <c r="A24" s="2" t="s">
        <v>146</v>
      </c>
      <c r="B24" s="20"/>
      <c r="C24" s="2" t="s">
        <v>147</v>
      </c>
      <c r="D24" s="21">
        <v>800000</v>
      </c>
      <c r="E24" s="2">
        <v>3</v>
      </c>
      <c r="F24" s="21">
        <v>400000</v>
      </c>
      <c r="G24" s="21">
        <v>133000</v>
      </c>
      <c r="H24" s="2"/>
      <c r="I24" s="18"/>
    </row>
    <row r="25" spans="1:9" x14ac:dyDescent="0.3">
      <c r="A25" s="17"/>
      <c r="B25" s="17"/>
      <c r="C25" s="17"/>
      <c r="D25" s="17"/>
      <c r="E25" s="17"/>
      <c r="F25" s="17"/>
      <c r="G25" s="17"/>
      <c r="H25" s="17"/>
      <c r="I25" s="18"/>
    </row>
    <row r="26" spans="1:9" x14ac:dyDescent="0.3">
      <c r="A26" s="17" t="s">
        <v>171</v>
      </c>
      <c r="B26" s="17"/>
      <c r="C26" s="17"/>
      <c r="D26" s="17"/>
      <c r="E26" s="17"/>
      <c r="F26" s="17"/>
      <c r="G26" s="17" t="s">
        <v>148</v>
      </c>
      <c r="H26" s="17"/>
      <c r="I26" s="18"/>
    </row>
    <row r="27" spans="1:9" x14ac:dyDescent="0.3">
      <c r="A27" s="2" t="s">
        <v>149</v>
      </c>
      <c r="B27" s="2" t="s">
        <v>150</v>
      </c>
      <c r="C27" s="2" t="s">
        <v>151</v>
      </c>
      <c r="D27" s="2" t="s">
        <v>152</v>
      </c>
      <c r="E27" s="2" t="s">
        <v>153</v>
      </c>
      <c r="F27" s="17"/>
      <c r="G27" s="2" t="s">
        <v>113</v>
      </c>
      <c r="H27" s="19" t="s">
        <v>154</v>
      </c>
      <c r="I27" s="18"/>
    </row>
    <row r="28" spans="1:9" x14ac:dyDescent="0.3">
      <c r="A28" s="2" t="s">
        <v>155</v>
      </c>
      <c r="B28" s="2" t="s">
        <v>156</v>
      </c>
      <c r="C28" s="2" t="s">
        <v>157</v>
      </c>
      <c r="D28" s="2" t="s">
        <v>158</v>
      </c>
      <c r="E28" s="2" t="s">
        <v>159</v>
      </c>
      <c r="F28" s="17"/>
      <c r="G28" s="2">
        <v>1</v>
      </c>
      <c r="H28" s="21"/>
      <c r="I28" s="18"/>
    </row>
    <row r="29" spans="1:9" x14ac:dyDescent="0.3">
      <c r="A29" s="17"/>
      <c r="B29" s="17"/>
      <c r="C29" s="17"/>
      <c r="D29" s="17"/>
      <c r="E29" s="17"/>
      <c r="F29" s="17"/>
      <c r="G29" s="2">
        <v>2</v>
      </c>
      <c r="H29" s="21"/>
      <c r="I29" s="18"/>
    </row>
    <row r="30" spans="1:9" x14ac:dyDescent="0.3">
      <c r="A30" s="17" t="s">
        <v>160</v>
      </c>
      <c r="B30" s="17"/>
      <c r="C30" s="17"/>
      <c r="D30" s="17"/>
      <c r="E30" s="17"/>
      <c r="F30" s="17"/>
      <c r="G30" s="2">
        <v>3</v>
      </c>
      <c r="H30" s="21"/>
      <c r="I30" s="18"/>
    </row>
    <row r="31" spans="1:9" x14ac:dyDescent="0.3">
      <c r="A31" s="2" t="s">
        <v>161</v>
      </c>
      <c r="B31" s="2" t="s">
        <v>162</v>
      </c>
      <c r="C31" s="19" t="s">
        <v>114</v>
      </c>
      <c r="D31" s="19" t="s">
        <v>115</v>
      </c>
      <c r="E31" s="17"/>
      <c r="F31" s="17"/>
      <c r="G31" s="2">
        <v>4</v>
      </c>
      <c r="H31" s="21"/>
      <c r="I31" s="18"/>
    </row>
    <row r="32" spans="1:9" x14ac:dyDescent="0.3">
      <c r="A32" s="2" t="s">
        <v>163</v>
      </c>
      <c r="B32" s="2" t="s">
        <v>164</v>
      </c>
      <c r="C32" s="21"/>
      <c r="D32" s="21"/>
      <c r="E32" s="17"/>
      <c r="F32" s="17"/>
      <c r="G32" s="2">
        <v>5</v>
      </c>
      <c r="H32" s="21"/>
      <c r="I32" s="18"/>
    </row>
    <row r="33" spans="1:9" x14ac:dyDescent="0.3">
      <c r="A33" s="2" t="s">
        <v>165</v>
      </c>
      <c r="B33" s="2" t="s">
        <v>166</v>
      </c>
      <c r="C33" s="21"/>
      <c r="D33" s="21"/>
      <c r="E33" s="17"/>
      <c r="F33" s="17"/>
      <c r="G33" s="17"/>
      <c r="H33" s="17"/>
      <c r="I33" s="18"/>
    </row>
    <row r="34" spans="1:9" x14ac:dyDescent="0.3">
      <c r="A34" s="2" t="s">
        <v>167</v>
      </c>
      <c r="B34" s="2" t="s">
        <v>168</v>
      </c>
      <c r="C34" s="21"/>
      <c r="D34" s="21"/>
      <c r="E34" s="17"/>
      <c r="F34" s="17"/>
      <c r="G34" s="17" t="s">
        <v>169</v>
      </c>
      <c r="H34" s="17"/>
      <c r="I34" s="18"/>
    </row>
    <row r="35" spans="1:9" x14ac:dyDescent="0.3">
      <c r="A35" s="17"/>
      <c r="B35" s="17"/>
      <c r="C35" s="17"/>
      <c r="D35" s="17"/>
      <c r="E35" s="17"/>
      <c r="F35" s="17"/>
      <c r="G35" s="23" t="s">
        <v>170</v>
      </c>
      <c r="H35" s="24"/>
      <c r="I35" s="18"/>
    </row>
    <row r="36" spans="1:9" x14ac:dyDescent="0.3">
      <c r="A36" s="17"/>
      <c r="B36" s="17"/>
      <c r="C36" s="17"/>
      <c r="D36" s="17"/>
      <c r="E36" s="17"/>
      <c r="F36" s="17"/>
      <c r="G36" s="25"/>
      <c r="H36" s="26"/>
      <c r="I36" s="18"/>
    </row>
    <row r="37" spans="1:9" x14ac:dyDescent="0.3">
      <c r="A37" s="17"/>
      <c r="B37" s="17"/>
      <c r="C37" s="17"/>
      <c r="D37" s="17"/>
      <c r="E37" s="17"/>
      <c r="F37" s="17"/>
      <c r="G37" s="17"/>
      <c r="H37" s="17"/>
      <c r="I37" s="18"/>
    </row>
    <row r="38" spans="1:9" x14ac:dyDescent="0.3">
      <c r="A38" s="17"/>
      <c r="B38" s="17"/>
      <c r="C38" s="17"/>
      <c r="D38" s="17"/>
      <c r="E38" s="17"/>
      <c r="F38" s="17"/>
      <c r="G38" s="17"/>
      <c r="H38" s="17"/>
      <c r="I38" s="18"/>
    </row>
    <row r="39" spans="1:9" x14ac:dyDescent="0.3">
      <c r="A39" s="17"/>
      <c r="B39" s="17"/>
      <c r="C39" s="17"/>
      <c r="D39" s="17"/>
      <c r="E39" s="17"/>
      <c r="F39" s="17"/>
      <c r="G39" s="17"/>
      <c r="H39" s="17"/>
      <c r="I39" s="18"/>
    </row>
    <row r="40" spans="1:9" x14ac:dyDescent="0.3">
      <c r="A40" s="17"/>
      <c r="B40" s="17"/>
      <c r="C40" s="17"/>
      <c r="D40" s="17"/>
      <c r="E40" s="17"/>
      <c r="F40" s="17"/>
      <c r="G40" s="17"/>
      <c r="H40" s="17"/>
      <c r="I40" s="18"/>
    </row>
    <row r="41" spans="1:9" x14ac:dyDescent="0.3">
      <c r="A41" s="6"/>
      <c r="B41" s="6"/>
      <c r="C41" s="6"/>
      <c r="D41" s="6"/>
      <c r="E41" s="6"/>
      <c r="F41" s="6"/>
      <c r="G41" s="6"/>
      <c r="H41" s="6"/>
      <c r="I41" s="6"/>
    </row>
  </sheetData>
  <mergeCells count="2">
    <mergeCell ref="G35:H35"/>
    <mergeCell ref="G36:H3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15"/>
  <sheetViews>
    <sheetView workbookViewId="0"/>
  </sheetViews>
  <sheetFormatPr defaultRowHeight="16.5" x14ac:dyDescent="0.3"/>
  <cols>
    <col min="2" max="2" width="12.375" bestFit="1" customWidth="1"/>
    <col min="4" max="4" width="12.125" bestFit="1" customWidth="1"/>
    <col min="5" max="5" width="9.375" bestFit="1" customWidth="1"/>
    <col min="6" max="7" width="9.25" bestFit="1" customWidth="1"/>
  </cols>
  <sheetData>
    <row r="1" spans="1:7" s="6" customFormat="1" x14ac:dyDescent="0.3">
      <c r="A1" s="6" t="s">
        <v>0</v>
      </c>
    </row>
    <row r="2" spans="1:7" x14ac:dyDescent="0.3">
      <c r="A2" s="7" t="s">
        <v>67</v>
      </c>
      <c r="B2" s="7" t="s">
        <v>66</v>
      </c>
      <c r="C2" s="7" t="s">
        <v>68</v>
      </c>
      <c r="D2" s="7" t="s">
        <v>69</v>
      </c>
      <c r="E2" s="10" t="s">
        <v>90</v>
      </c>
      <c r="F2" s="10" t="s">
        <v>91</v>
      </c>
      <c r="G2" s="7" t="s">
        <v>70</v>
      </c>
    </row>
    <row r="3" spans="1:7" x14ac:dyDescent="0.3">
      <c r="A3" s="2" t="s">
        <v>101</v>
      </c>
      <c r="B3" s="2" t="s">
        <v>100</v>
      </c>
      <c r="C3" s="2" t="s">
        <v>99</v>
      </c>
      <c r="D3" s="15">
        <v>45662</v>
      </c>
      <c r="E3" s="3">
        <v>19000</v>
      </c>
      <c r="F3" s="3">
        <v>85</v>
      </c>
      <c r="G3" s="3">
        <v>31</v>
      </c>
    </row>
    <row r="4" spans="1:7" x14ac:dyDescent="0.3">
      <c r="A4" s="2" t="s">
        <v>102</v>
      </c>
      <c r="B4" s="2" t="s">
        <v>94</v>
      </c>
      <c r="C4" s="2" t="s">
        <v>92</v>
      </c>
      <c r="D4" s="15">
        <v>45693</v>
      </c>
      <c r="E4" s="3">
        <v>32000</v>
      </c>
      <c r="F4" s="3">
        <v>52</v>
      </c>
      <c r="G4" s="3">
        <v>25</v>
      </c>
    </row>
    <row r="5" spans="1:7" x14ac:dyDescent="0.3">
      <c r="A5" s="7" t="s">
        <v>71</v>
      </c>
      <c r="B5" s="7" t="s">
        <v>72</v>
      </c>
      <c r="C5" s="7" t="s">
        <v>73</v>
      </c>
      <c r="D5" s="13">
        <v>45721</v>
      </c>
      <c r="E5" s="14">
        <v>25000</v>
      </c>
      <c r="F5" s="14">
        <v>74</v>
      </c>
      <c r="G5" s="14">
        <v>37</v>
      </c>
    </row>
    <row r="6" spans="1:7" x14ac:dyDescent="0.3">
      <c r="A6" s="7" t="s">
        <v>74</v>
      </c>
      <c r="B6" s="7" t="s">
        <v>75</v>
      </c>
      <c r="C6" s="7" t="s">
        <v>76</v>
      </c>
      <c r="D6" s="15">
        <v>45752</v>
      </c>
      <c r="E6" s="14">
        <v>33500</v>
      </c>
      <c r="F6" s="14">
        <v>64</v>
      </c>
      <c r="G6" s="14">
        <v>16</v>
      </c>
    </row>
    <row r="7" spans="1:7" x14ac:dyDescent="0.3">
      <c r="A7" s="2" t="s">
        <v>103</v>
      </c>
      <c r="B7" s="2" t="s">
        <v>96</v>
      </c>
      <c r="C7" s="2" t="s">
        <v>93</v>
      </c>
      <c r="D7" s="15">
        <v>45782</v>
      </c>
      <c r="E7" s="3">
        <v>17000</v>
      </c>
      <c r="F7" s="3">
        <v>92</v>
      </c>
      <c r="G7" s="3">
        <v>21</v>
      </c>
    </row>
    <row r="8" spans="1:7" x14ac:dyDescent="0.3">
      <c r="A8" s="7" t="s">
        <v>77</v>
      </c>
      <c r="B8" s="7" t="s">
        <v>78</v>
      </c>
      <c r="C8" s="7" t="s">
        <v>73</v>
      </c>
      <c r="D8" s="13">
        <v>45813</v>
      </c>
      <c r="E8" s="14">
        <v>25000</v>
      </c>
      <c r="F8" s="14">
        <v>66</v>
      </c>
      <c r="G8" s="14">
        <v>24</v>
      </c>
    </row>
    <row r="9" spans="1:7" x14ac:dyDescent="0.3">
      <c r="A9" s="7" t="s">
        <v>79</v>
      </c>
      <c r="B9" s="7" t="s">
        <v>80</v>
      </c>
      <c r="C9" s="7" t="s">
        <v>81</v>
      </c>
      <c r="D9" s="15">
        <v>45843</v>
      </c>
      <c r="E9" s="14">
        <v>55000</v>
      </c>
      <c r="F9" s="14">
        <v>56</v>
      </c>
      <c r="G9" s="14">
        <v>29</v>
      </c>
    </row>
    <row r="10" spans="1:7" x14ac:dyDescent="0.3">
      <c r="A10" s="7" t="s">
        <v>82</v>
      </c>
      <c r="B10" s="7" t="s">
        <v>83</v>
      </c>
      <c r="C10" s="7" t="s">
        <v>76</v>
      </c>
      <c r="D10" s="15">
        <v>45874</v>
      </c>
      <c r="E10" s="14">
        <v>72000</v>
      </c>
      <c r="F10" s="14">
        <v>46</v>
      </c>
      <c r="G10" s="14">
        <v>35</v>
      </c>
    </row>
    <row r="11" spans="1:7" x14ac:dyDescent="0.3">
      <c r="A11" s="2" t="s">
        <v>104</v>
      </c>
      <c r="B11" s="2" t="s">
        <v>98</v>
      </c>
      <c r="C11" s="2" t="s">
        <v>97</v>
      </c>
      <c r="D11" s="13">
        <v>45905</v>
      </c>
      <c r="E11" s="3">
        <v>18000</v>
      </c>
      <c r="F11" s="3">
        <v>84</v>
      </c>
      <c r="G11" s="3">
        <v>18</v>
      </c>
    </row>
    <row r="12" spans="1:7" x14ac:dyDescent="0.3">
      <c r="A12" s="7" t="s">
        <v>84</v>
      </c>
      <c r="B12" s="7" t="s">
        <v>85</v>
      </c>
      <c r="C12" s="7" t="s">
        <v>81</v>
      </c>
      <c r="D12" s="15">
        <v>45935</v>
      </c>
      <c r="E12" s="14">
        <v>35000</v>
      </c>
      <c r="F12" s="14">
        <v>52</v>
      </c>
      <c r="G12" s="14">
        <v>31</v>
      </c>
    </row>
    <row r="13" spans="1:7" x14ac:dyDescent="0.3">
      <c r="A13" s="7" t="s">
        <v>86</v>
      </c>
      <c r="B13" s="7" t="s">
        <v>87</v>
      </c>
      <c r="C13" s="7" t="s">
        <v>81</v>
      </c>
      <c r="D13" s="15">
        <v>45966</v>
      </c>
      <c r="E13" s="14">
        <v>33000</v>
      </c>
      <c r="F13" s="14">
        <v>48</v>
      </c>
      <c r="G13" s="14">
        <v>27</v>
      </c>
    </row>
    <row r="14" spans="1:7" x14ac:dyDescent="0.3">
      <c r="A14" s="7" t="s">
        <v>88</v>
      </c>
      <c r="B14" s="7" t="s">
        <v>89</v>
      </c>
      <c r="C14" s="7" t="s">
        <v>73</v>
      </c>
      <c r="D14" s="13">
        <v>45996</v>
      </c>
      <c r="E14" s="14">
        <v>32000</v>
      </c>
      <c r="F14" s="14">
        <v>32</v>
      </c>
      <c r="G14" s="14">
        <v>20</v>
      </c>
    </row>
    <row r="15" spans="1:7" x14ac:dyDescent="0.3">
      <c r="A15" s="2" t="s">
        <v>105</v>
      </c>
      <c r="B15" s="2" t="s">
        <v>95</v>
      </c>
      <c r="C15" s="2" t="s">
        <v>92</v>
      </c>
      <c r="D15" s="15">
        <v>46016</v>
      </c>
      <c r="E15" s="3">
        <v>24000</v>
      </c>
      <c r="F15" s="3">
        <v>39</v>
      </c>
      <c r="G15" s="3">
        <v>14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G8"/>
  <sheetViews>
    <sheetView workbookViewId="0"/>
  </sheetViews>
  <sheetFormatPr defaultRowHeight="16.5" x14ac:dyDescent="0.3"/>
  <cols>
    <col min="2" max="2" width="12.375" bestFit="1" customWidth="1"/>
    <col min="4" max="4" width="10.75" bestFit="1" customWidth="1"/>
  </cols>
  <sheetData>
    <row r="2" spans="1:7" x14ac:dyDescent="0.3">
      <c r="A2" s="7" t="s">
        <v>67</v>
      </c>
      <c r="B2" s="7" t="s">
        <v>66</v>
      </c>
      <c r="C2" s="7" t="s">
        <v>68</v>
      </c>
      <c r="D2" s="7" t="s">
        <v>69</v>
      </c>
      <c r="E2" s="10" t="s">
        <v>90</v>
      </c>
      <c r="F2" s="10" t="s">
        <v>91</v>
      </c>
      <c r="G2" s="7" t="s">
        <v>70</v>
      </c>
    </row>
    <row r="3" spans="1:7" x14ac:dyDescent="0.3">
      <c r="A3" s="2" t="s">
        <v>101</v>
      </c>
      <c r="B3" s="2" t="s">
        <v>100</v>
      </c>
      <c r="C3" s="2" t="s">
        <v>93</v>
      </c>
      <c r="D3" s="15">
        <v>45662</v>
      </c>
      <c r="E3" s="3">
        <v>19000</v>
      </c>
      <c r="F3" s="3">
        <v>85</v>
      </c>
      <c r="G3" s="3">
        <v>31</v>
      </c>
    </row>
    <row r="4" spans="1:7" x14ac:dyDescent="0.3">
      <c r="A4" s="7" t="s">
        <v>71</v>
      </c>
      <c r="B4" s="7" t="s">
        <v>72</v>
      </c>
      <c r="C4" s="7" t="s">
        <v>73</v>
      </c>
      <c r="D4" s="13">
        <v>45721</v>
      </c>
      <c r="E4" s="14">
        <v>25000</v>
      </c>
      <c r="F4" s="14">
        <v>74</v>
      </c>
      <c r="G4" s="14">
        <v>37</v>
      </c>
    </row>
    <row r="5" spans="1:7" x14ac:dyDescent="0.3">
      <c r="A5" s="2" t="s">
        <v>103</v>
      </c>
      <c r="B5" s="2" t="s">
        <v>96</v>
      </c>
      <c r="C5" s="2" t="s">
        <v>93</v>
      </c>
      <c r="D5" s="15">
        <v>45782</v>
      </c>
      <c r="E5" s="3">
        <v>17000</v>
      </c>
      <c r="F5" s="3">
        <v>92</v>
      </c>
      <c r="G5" s="3">
        <v>21</v>
      </c>
    </row>
    <row r="6" spans="1:7" x14ac:dyDescent="0.3">
      <c r="A6" s="7" t="s">
        <v>77</v>
      </c>
      <c r="B6" s="7" t="s">
        <v>78</v>
      </c>
      <c r="C6" s="7" t="s">
        <v>73</v>
      </c>
      <c r="D6" s="13">
        <v>45813</v>
      </c>
      <c r="E6" s="14">
        <v>25000</v>
      </c>
      <c r="F6" s="14">
        <v>66</v>
      </c>
      <c r="G6" s="14">
        <v>24</v>
      </c>
    </row>
    <row r="7" spans="1:7" x14ac:dyDescent="0.3">
      <c r="A7" s="2" t="s">
        <v>104</v>
      </c>
      <c r="B7" s="2" t="s">
        <v>98</v>
      </c>
      <c r="C7" s="2" t="s">
        <v>93</v>
      </c>
      <c r="D7" s="13">
        <v>45905</v>
      </c>
      <c r="E7" s="3">
        <v>18000</v>
      </c>
      <c r="F7" s="3">
        <v>84</v>
      </c>
      <c r="G7" s="3">
        <v>18</v>
      </c>
    </row>
    <row r="8" spans="1:7" x14ac:dyDescent="0.3">
      <c r="A8" s="7" t="s">
        <v>88</v>
      </c>
      <c r="B8" s="7" t="s">
        <v>89</v>
      </c>
      <c r="C8" s="7" t="s">
        <v>73</v>
      </c>
      <c r="D8" s="13">
        <v>45996</v>
      </c>
      <c r="E8" s="14">
        <v>32000</v>
      </c>
      <c r="F8" s="14">
        <v>32</v>
      </c>
      <c r="G8" s="14">
        <v>20</v>
      </c>
    </row>
  </sheetData>
  <sortState xmlns:xlrd2="http://schemas.microsoft.com/office/spreadsheetml/2017/richdata2" ref="A3:G15">
    <sortCondition ref="C2"/>
  </sortState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15"/>
  <sheetViews>
    <sheetView workbookViewId="0"/>
  </sheetViews>
  <sheetFormatPr defaultRowHeight="16.5" x14ac:dyDescent="0.3"/>
  <cols>
    <col min="2" max="2" width="12.375" bestFit="1" customWidth="1"/>
    <col min="4" max="4" width="10.75" bestFit="1" customWidth="1"/>
  </cols>
  <sheetData>
    <row r="2" spans="1:7" x14ac:dyDescent="0.3">
      <c r="A2" s="7" t="s">
        <v>67</v>
      </c>
      <c r="B2" s="7" t="s">
        <v>66</v>
      </c>
      <c r="C2" s="7" t="s">
        <v>68</v>
      </c>
      <c r="D2" s="7" t="s">
        <v>69</v>
      </c>
      <c r="E2" s="10" t="s">
        <v>90</v>
      </c>
      <c r="F2" s="10" t="s">
        <v>91</v>
      </c>
      <c r="G2" s="7" t="s">
        <v>70</v>
      </c>
    </row>
    <row r="3" spans="1:7" x14ac:dyDescent="0.3">
      <c r="A3" s="2" t="s">
        <v>101</v>
      </c>
      <c r="B3" s="2" t="s">
        <v>100</v>
      </c>
      <c r="C3" s="2" t="s">
        <v>99</v>
      </c>
      <c r="D3" s="15">
        <v>45662</v>
      </c>
      <c r="E3" s="3">
        <v>19000</v>
      </c>
      <c r="F3" s="3">
        <v>85</v>
      </c>
      <c r="G3" s="3">
        <v>31</v>
      </c>
    </row>
    <row r="4" spans="1:7" x14ac:dyDescent="0.3">
      <c r="A4" s="2" t="s">
        <v>102</v>
      </c>
      <c r="B4" s="2" t="s">
        <v>94</v>
      </c>
      <c r="C4" s="2" t="s">
        <v>92</v>
      </c>
      <c r="D4" s="15">
        <v>45693</v>
      </c>
      <c r="E4" s="3">
        <v>32000</v>
      </c>
      <c r="F4" s="3">
        <v>52</v>
      </c>
      <c r="G4" s="3">
        <v>25</v>
      </c>
    </row>
    <row r="5" spans="1:7" x14ac:dyDescent="0.3">
      <c r="A5" s="7" t="s">
        <v>71</v>
      </c>
      <c r="B5" s="7" t="s">
        <v>72</v>
      </c>
      <c r="C5" s="7" t="s">
        <v>73</v>
      </c>
      <c r="D5" s="13">
        <v>45721</v>
      </c>
      <c r="E5" s="14">
        <v>25000</v>
      </c>
      <c r="F5" s="14">
        <v>74</v>
      </c>
      <c r="G5" s="14">
        <v>37</v>
      </c>
    </row>
    <row r="6" spans="1:7" x14ac:dyDescent="0.3">
      <c r="A6" s="7" t="s">
        <v>74</v>
      </c>
      <c r="B6" s="7" t="s">
        <v>75</v>
      </c>
      <c r="C6" s="7" t="s">
        <v>76</v>
      </c>
      <c r="D6" s="15">
        <v>45752</v>
      </c>
      <c r="E6" s="14">
        <v>33500</v>
      </c>
      <c r="F6" s="14">
        <v>64</v>
      </c>
      <c r="G6" s="14">
        <v>16</v>
      </c>
    </row>
    <row r="7" spans="1:7" x14ac:dyDescent="0.3">
      <c r="A7" s="2" t="s">
        <v>103</v>
      </c>
      <c r="B7" s="2" t="s">
        <v>96</v>
      </c>
      <c r="C7" s="2" t="s">
        <v>93</v>
      </c>
      <c r="D7" s="15">
        <v>45782</v>
      </c>
      <c r="E7" s="3">
        <v>17000</v>
      </c>
      <c r="F7" s="3">
        <v>92</v>
      </c>
      <c r="G7" s="3">
        <v>21</v>
      </c>
    </row>
    <row r="8" spans="1:7" x14ac:dyDescent="0.3">
      <c r="A8" s="7" t="s">
        <v>77</v>
      </c>
      <c r="B8" s="7" t="s">
        <v>78</v>
      </c>
      <c r="C8" s="7" t="s">
        <v>73</v>
      </c>
      <c r="D8" s="13">
        <v>45813</v>
      </c>
      <c r="E8" s="14">
        <v>25000</v>
      </c>
      <c r="F8" s="14">
        <v>66</v>
      </c>
      <c r="G8" s="14">
        <v>24</v>
      </c>
    </row>
    <row r="9" spans="1:7" x14ac:dyDescent="0.3">
      <c r="A9" s="7" t="s">
        <v>79</v>
      </c>
      <c r="B9" s="7" t="s">
        <v>80</v>
      </c>
      <c r="C9" s="7" t="s">
        <v>81</v>
      </c>
      <c r="D9" s="15">
        <v>45843</v>
      </c>
      <c r="E9" s="14">
        <v>55000</v>
      </c>
      <c r="F9" s="14">
        <v>56</v>
      </c>
      <c r="G9" s="14">
        <v>29</v>
      </c>
    </row>
    <row r="10" spans="1:7" x14ac:dyDescent="0.3">
      <c r="A10" s="7" t="s">
        <v>82</v>
      </c>
      <c r="B10" s="7" t="s">
        <v>83</v>
      </c>
      <c r="C10" s="7" t="s">
        <v>76</v>
      </c>
      <c r="D10" s="15">
        <v>45874</v>
      </c>
      <c r="E10" s="14">
        <v>72000</v>
      </c>
      <c r="F10" s="14">
        <v>46</v>
      </c>
      <c r="G10" s="14">
        <v>35</v>
      </c>
    </row>
    <row r="11" spans="1:7" x14ac:dyDescent="0.3">
      <c r="A11" s="2" t="s">
        <v>104</v>
      </c>
      <c r="B11" s="2" t="s">
        <v>98</v>
      </c>
      <c r="C11" s="2" t="s">
        <v>97</v>
      </c>
      <c r="D11" s="13">
        <v>45905</v>
      </c>
      <c r="E11" s="3">
        <v>18000</v>
      </c>
      <c r="F11" s="3">
        <v>84</v>
      </c>
      <c r="G11" s="3">
        <v>18</v>
      </c>
    </row>
    <row r="12" spans="1:7" x14ac:dyDescent="0.3">
      <c r="A12" s="7" t="s">
        <v>84</v>
      </c>
      <c r="B12" s="7" t="s">
        <v>85</v>
      </c>
      <c r="C12" s="7" t="s">
        <v>81</v>
      </c>
      <c r="D12" s="15">
        <v>45935</v>
      </c>
      <c r="E12" s="14">
        <v>35000</v>
      </c>
      <c r="F12" s="14">
        <v>52</v>
      </c>
      <c r="G12" s="14">
        <v>31</v>
      </c>
    </row>
    <row r="13" spans="1:7" x14ac:dyDescent="0.3">
      <c r="A13" s="7" t="s">
        <v>86</v>
      </c>
      <c r="B13" s="7" t="s">
        <v>87</v>
      </c>
      <c r="C13" s="7" t="s">
        <v>81</v>
      </c>
      <c r="D13" s="15">
        <v>45966</v>
      </c>
      <c r="E13" s="14">
        <v>33000</v>
      </c>
      <c r="F13" s="14">
        <v>48</v>
      </c>
      <c r="G13" s="14">
        <v>27</v>
      </c>
    </row>
    <row r="14" spans="1:7" x14ac:dyDescent="0.3">
      <c r="A14" s="7" t="s">
        <v>88</v>
      </c>
      <c r="B14" s="7" t="s">
        <v>89</v>
      </c>
      <c r="C14" s="7" t="s">
        <v>73</v>
      </c>
      <c r="D14" s="13">
        <v>45996</v>
      </c>
      <c r="E14" s="14">
        <v>32000</v>
      </c>
      <c r="F14" s="14">
        <v>32</v>
      </c>
      <c r="G14" s="14">
        <v>20</v>
      </c>
    </row>
    <row r="15" spans="1:7" x14ac:dyDescent="0.3">
      <c r="A15" s="2" t="s">
        <v>105</v>
      </c>
      <c r="B15" s="2" t="s">
        <v>95</v>
      </c>
      <c r="C15" s="2" t="s">
        <v>92</v>
      </c>
      <c r="D15" s="15">
        <v>46016</v>
      </c>
      <c r="E15" s="3">
        <v>24000</v>
      </c>
      <c r="F15" s="3">
        <v>39</v>
      </c>
      <c r="G15" s="3">
        <v>14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M17"/>
  <sheetViews>
    <sheetView workbookViewId="0"/>
  </sheetViews>
  <sheetFormatPr defaultRowHeight="16.5" x14ac:dyDescent="0.3"/>
  <cols>
    <col min="1" max="1" width="12.25" customWidth="1"/>
    <col min="2" max="2" width="10.375" customWidth="1"/>
    <col min="3" max="3" width="12.125" customWidth="1"/>
    <col min="4" max="4" width="11" customWidth="1"/>
    <col min="5" max="5" width="11.875" customWidth="1"/>
    <col min="6" max="6" width="12.75" customWidth="1"/>
    <col min="7" max="7" width="13.625" customWidth="1"/>
    <col min="8" max="8" width="1.625" customWidth="1"/>
    <col min="11" max="11" width="1.625" customWidth="1"/>
    <col min="12" max="13" width="12.375" customWidth="1"/>
  </cols>
  <sheetData>
    <row r="2" spans="1:13" x14ac:dyDescent="0.3">
      <c r="A2" t="s">
        <v>0</v>
      </c>
      <c r="F2" t="s">
        <v>13</v>
      </c>
      <c r="G2" s="5">
        <f ca="1">TODAY()</f>
        <v>45178</v>
      </c>
    </row>
    <row r="3" spans="1:13" x14ac:dyDescent="0.3">
      <c r="A3" s="1" t="s">
        <v>12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L3" s="2" t="s">
        <v>7</v>
      </c>
      <c r="M3" s="2" t="s">
        <v>8</v>
      </c>
    </row>
    <row r="4" spans="1:13" x14ac:dyDescent="0.3">
      <c r="L4" s="2" t="s">
        <v>11</v>
      </c>
      <c r="M4" s="3">
        <v>78000</v>
      </c>
    </row>
    <row r="5" spans="1:13" x14ac:dyDescent="0.3">
      <c r="L5" s="2" t="s">
        <v>9</v>
      </c>
      <c r="M5" s="3">
        <v>5500</v>
      </c>
    </row>
    <row r="6" spans="1:13" x14ac:dyDescent="0.3">
      <c r="L6" s="2" t="s">
        <v>106</v>
      </c>
      <c r="M6" s="3">
        <v>46900</v>
      </c>
    </row>
    <row r="7" spans="1:13" x14ac:dyDescent="0.3">
      <c r="L7" s="2" t="s">
        <v>10</v>
      </c>
      <c r="M7" s="3">
        <v>9300</v>
      </c>
    </row>
    <row r="17" spans="11:11" x14ac:dyDescent="0.3">
      <c r="K17" s="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물품구매">
          <controlPr defaultSize="0" autoLine="0" r:id="rId5">
            <anchor moveWithCells="1">
              <from>
                <xdr:col>8</xdr:col>
                <xdr:colOff>9525</xdr:colOff>
                <xdr:row>2</xdr:row>
                <xdr:rowOff>9525</xdr:rowOff>
              </from>
              <to>
                <xdr:col>10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5" r:id="rId4" name="cmd물품구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2021-08-09T08:11:05Z</cp:lastPrinted>
  <dcterms:created xsi:type="dcterms:W3CDTF">2021-04-18T04:44:57Z</dcterms:created>
  <dcterms:modified xsi:type="dcterms:W3CDTF">2023-09-09T08:03:02Z</dcterms:modified>
</cp:coreProperties>
</file>