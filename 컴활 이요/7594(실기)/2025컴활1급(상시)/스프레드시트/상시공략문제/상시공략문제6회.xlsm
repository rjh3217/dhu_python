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"/>
    </mc:Choice>
  </mc:AlternateContent>
  <xr:revisionPtr revIDLastSave="0" documentId="13_ncr:1_{562BE454-CC8D-474E-8A92-E7B17FCEC84E}" xr6:coauthVersionLast="47" xr6:coauthVersionMax="47" xr10:uidLastSave="{00000000-0000-0000-0000-000000000000}"/>
  <bookViews>
    <workbookView xWindow="60" yWindow="225" windowWidth="18840" windowHeight="15405" tabRatio="865" xr2:uid="{00000000-000D-0000-FFFF-FFFF00000000}"/>
  </bookViews>
  <sheets>
    <sheet name="기본작업-1" sheetId="15" r:id="rId1"/>
    <sheet name="기본작업-2" sheetId="18" r:id="rId2"/>
    <sheet name="계산작업" sheetId="3" r:id="rId3"/>
    <sheet name="분석작업-1" sheetId="11" r:id="rId4"/>
    <sheet name="분석작업-2" sheetId="13" r:id="rId5"/>
    <sheet name="기타작업-1" sheetId="16" r:id="rId6"/>
    <sheet name="기타작업-2" sheetId="17" r:id="rId7"/>
    <sheet name="기타작업-3" sheetId="8" r:id="rId8"/>
  </sheets>
  <definedNames>
    <definedName name="_xlnm._FilterDatabase" localSheetId="0" hidden="1">'기본작업-1'!$A$2:$H$14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5" i="18" l="1"/>
  <c r="H14" i="18"/>
  <c r="H13" i="18"/>
  <c r="H12" i="18"/>
  <c r="H11" i="18"/>
  <c r="H10" i="18"/>
  <c r="H9" i="18"/>
  <c r="H8" i="18"/>
  <c r="H7" i="18"/>
  <c r="H6" i="18"/>
  <c r="H5" i="18"/>
  <c r="H4" i="18"/>
  <c r="B25" i="13" l="1"/>
  <c r="B23" i="13"/>
  <c r="B26" i="13" l="1"/>
  <c r="B30" i="13" s="1"/>
</calcChain>
</file>

<file path=xl/sharedStrings.xml><?xml version="1.0" encoding="utf-8"?>
<sst xmlns="http://schemas.openxmlformats.org/spreadsheetml/2006/main" count="339" uniqueCount="171">
  <si>
    <t>[표1] 아파트 계약현황</t>
    <phoneticPr fontId="1" type="noConversion"/>
  </si>
  <si>
    <t>계약자</t>
    <phoneticPr fontId="1" type="noConversion"/>
  </si>
  <si>
    <t>동호수</t>
    <phoneticPr fontId="1" type="noConversion"/>
  </si>
  <si>
    <t>평형</t>
    <phoneticPr fontId="1" type="noConversion"/>
  </si>
  <si>
    <t>옵션금액</t>
    <phoneticPr fontId="1" type="noConversion"/>
  </si>
  <si>
    <t>35평</t>
    <phoneticPr fontId="1" type="noConversion"/>
  </si>
  <si>
    <t>40평</t>
    <phoneticPr fontId="1" type="noConversion"/>
  </si>
  <si>
    <t>50평</t>
    <phoneticPr fontId="1" type="noConversion"/>
  </si>
  <si>
    <t>30평</t>
    <phoneticPr fontId="1" type="noConversion"/>
  </si>
  <si>
    <t>25평</t>
    <phoneticPr fontId="1" type="noConversion"/>
  </si>
  <si>
    <t>출석</t>
    <phoneticPr fontId="1" type="noConversion"/>
  </si>
  <si>
    <t>[표1]</t>
    <phoneticPr fontId="1" type="noConversion"/>
  </si>
  <si>
    <t>학번</t>
  </si>
  <si>
    <t>이름</t>
  </si>
  <si>
    <t>중간</t>
  </si>
  <si>
    <t>기말</t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</si>
  <si>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</si>
  <si>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</si>
  <si>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</si>
  <si>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</si>
  <si>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</si>
  <si>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</si>
  <si>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</si>
  <si>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</si>
  <si>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</si>
  <si>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</si>
  <si>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</si>
  <si>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</si>
  <si>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</si>
  <si>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</si>
  <si>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</si>
  <si>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수행평가</t>
    <phoneticPr fontId="1" type="noConversion"/>
  </si>
  <si>
    <t>[표2]</t>
    <phoneticPr fontId="1" type="noConversion"/>
  </si>
  <si>
    <t>영업이익 계산시트</t>
    <phoneticPr fontId="7" type="noConversion"/>
  </si>
  <si>
    <t>판매량</t>
    <phoneticPr fontId="7" type="noConversion"/>
  </si>
  <si>
    <t>판매단가</t>
    <phoneticPr fontId="7" type="noConversion"/>
  </si>
  <si>
    <t xml:space="preserve">판매량 </t>
    <phoneticPr fontId="7" type="noConversion"/>
  </si>
  <si>
    <t>매출액</t>
    <phoneticPr fontId="7" type="noConversion"/>
  </si>
  <si>
    <t>판
매
단
가</t>
    <phoneticPr fontId="7" type="noConversion"/>
  </si>
  <si>
    <t>매출원가</t>
    <phoneticPr fontId="7" type="noConversion"/>
  </si>
  <si>
    <t>총이익</t>
    <phoneticPr fontId="7" type="noConversion"/>
  </si>
  <si>
    <t>판매비</t>
    <phoneticPr fontId="7" type="noConversion"/>
  </si>
  <si>
    <t>관리비</t>
    <phoneticPr fontId="7" type="noConversion"/>
  </si>
  <si>
    <t>영업이익</t>
    <phoneticPr fontId="7" type="noConversion"/>
  </si>
  <si>
    <t>상품코드</t>
  </si>
  <si>
    <t>상품명</t>
  </si>
  <si>
    <t>방송시간</t>
    <phoneticPr fontId="1" type="noConversion"/>
  </si>
  <si>
    <t>방송요일</t>
    <phoneticPr fontId="1" type="noConversion"/>
  </si>
  <si>
    <t>분류</t>
  </si>
  <si>
    <t>판매가격
(단위:천원)</t>
    <phoneticPr fontId="1" type="noConversion"/>
  </si>
  <si>
    <t>판매수량</t>
    <phoneticPr fontId="1" type="noConversion"/>
  </si>
  <si>
    <t>상품평</t>
    <phoneticPr fontId="1" type="noConversion"/>
  </si>
  <si>
    <t>R1210</t>
  </si>
  <si>
    <t>마운틴 4도어 냉장고</t>
  </si>
  <si>
    <t>월</t>
    <phoneticPr fontId="1" type="noConversion"/>
  </si>
  <si>
    <t>냉장고</t>
  </si>
  <si>
    <t>W2113</t>
  </si>
  <si>
    <t xml:space="preserve">글로리 드럼 세탁기 </t>
  </si>
  <si>
    <t>화</t>
    <phoneticPr fontId="1" type="noConversion"/>
  </si>
  <si>
    <t>세탁기</t>
  </si>
  <si>
    <t>D8471</t>
    <phoneticPr fontId="1" type="noConversion"/>
  </si>
  <si>
    <t>그랑데 건조기 17KG 블랙</t>
    <phoneticPr fontId="1" type="noConversion"/>
  </si>
  <si>
    <t>금</t>
    <phoneticPr fontId="1" type="noConversion"/>
  </si>
  <si>
    <t>건조기</t>
    <phoneticPr fontId="1" type="noConversion"/>
  </si>
  <si>
    <t>R1213</t>
  </si>
  <si>
    <t>리버 4도어 냉장고</t>
  </si>
  <si>
    <t>월</t>
    <phoneticPr fontId="1" type="noConversion"/>
  </si>
  <si>
    <t>C3115</t>
  </si>
  <si>
    <t>스카이 골드 안마의자</t>
  </si>
  <si>
    <t>수</t>
    <phoneticPr fontId="1" type="noConversion"/>
  </si>
  <si>
    <t>안마의자</t>
  </si>
  <si>
    <t>H1134</t>
    <phoneticPr fontId="1" type="noConversion"/>
  </si>
  <si>
    <t>휴롬 원액기</t>
    <phoneticPr fontId="1" type="noConversion"/>
  </si>
  <si>
    <t>목</t>
    <phoneticPr fontId="1" type="noConversion"/>
  </si>
  <si>
    <t>주방용품</t>
    <phoneticPr fontId="1" type="noConversion"/>
  </si>
  <si>
    <t>W2117</t>
  </si>
  <si>
    <t xml:space="preserve">모닝 드럼 세탁기 </t>
  </si>
  <si>
    <t>일</t>
    <phoneticPr fontId="1" type="noConversion"/>
  </si>
  <si>
    <t>A1092</t>
    <phoneticPr fontId="1" type="noConversion"/>
  </si>
  <si>
    <t>무풍에어컨 클래식 홈멀티형</t>
    <phoneticPr fontId="1" type="noConversion"/>
  </si>
  <si>
    <t>토</t>
    <phoneticPr fontId="1" type="noConversion"/>
  </si>
  <si>
    <t>에어컨</t>
    <phoneticPr fontId="1" type="noConversion"/>
  </si>
  <si>
    <t>R1215</t>
  </si>
  <si>
    <t>월드 5도어 냉장고</t>
  </si>
  <si>
    <t>T8465</t>
    <phoneticPr fontId="1" type="noConversion"/>
  </si>
  <si>
    <t>크리스탈 UHD TV 189cm</t>
    <phoneticPr fontId="1" type="noConversion"/>
  </si>
  <si>
    <t>화</t>
    <phoneticPr fontId="1" type="noConversion"/>
  </si>
  <si>
    <t>TV</t>
    <phoneticPr fontId="1" type="noConversion"/>
  </si>
  <si>
    <t>C3119</t>
  </si>
  <si>
    <t>랜드 실서 안마의자</t>
  </si>
  <si>
    <t>R1218</t>
  </si>
  <si>
    <t>AI 4도어 냉장고</t>
  </si>
  <si>
    <t>수</t>
    <phoneticPr fontId="1" type="noConversion"/>
  </si>
  <si>
    <t>홈쇼핑 가전 제품 판매 현황</t>
    <phoneticPr fontId="1" type="noConversion"/>
  </si>
  <si>
    <t>판매가격</t>
    <phoneticPr fontId="1" type="noConversion"/>
  </si>
  <si>
    <t>포인트</t>
    <phoneticPr fontId="1" type="noConversion"/>
  </si>
  <si>
    <t>홈쇼핑 가전 제품 판매 현황</t>
    <phoneticPr fontId="1" type="noConversion"/>
  </si>
  <si>
    <t>방송요일</t>
    <phoneticPr fontId="1" type="noConversion"/>
  </si>
  <si>
    <t>판매가격</t>
    <phoneticPr fontId="1" type="noConversion"/>
  </si>
  <si>
    <t>판매수량</t>
    <phoneticPr fontId="1" type="noConversion"/>
  </si>
  <si>
    <t>판매금액</t>
    <phoneticPr fontId="1" type="noConversion"/>
  </si>
  <si>
    <t>화</t>
    <phoneticPr fontId="1" type="noConversion"/>
  </si>
  <si>
    <t>D8471</t>
    <phoneticPr fontId="1" type="noConversion"/>
  </si>
  <si>
    <t>금</t>
    <phoneticPr fontId="1" type="noConversion"/>
  </si>
  <si>
    <t>건조기</t>
    <phoneticPr fontId="1" type="noConversion"/>
  </si>
  <si>
    <t>월</t>
    <phoneticPr fontId="1" type="noConversion"/>
  </si>
  <si>
    <t>수</t>
    <phoneticPr fontId="1" type="noConversion"/>
  </si>
  <si>
    <t>일</t>
    <phoneticPr fontId="1" type="noConversion"/>
  </si>
  <si>
    <t>토</t>
    <phoneticPr fontId="1" type="noConversion"/>
  </si>
  <si>
    <t>에어컨</t>
    <phoneticPr fontId="1" type="noConversion"/>
  </si>
  <si>
    <t>H1134</t>
    <phoneticPr fontId="1" type="noConversion"/>
  </si>
  <si>
    <t>휴롬 원액기</t>
    <phoneticPr fontId="1" type="noConversion"/>
  </si>
  <si>
    <t>목</t>
    <phoneticPr fontId="1" type="noConversion"/>
  </si>
  <si>
    <t>주방용품</t>
    <phoneticPr fontId="1" type="noConversion"/>
  </si>
  <si>
    <t>크리스탈 UHD TV 189cm</t>
    <phoneticPr fontId="1" type="noConversion"/>
  </si>
  <si>
    <t>화</t>
    <phoneticPr fontId="1" type="noConversion"/>
  </si>
  <si>
    <t>TV</t>
    <phoneticPr fontId="1" type="noConversion"/>
  </si>
  <si>
    <t>[표1]</t>
    <phoneticPr fontId="9" type="noConversion"/>
  </si>
  <si>
    <t>영업소</t>
    <phoneticPr fontId="9" type="noConversion"/>
  </si>
  <si>
    <t>직급</t>
    <phoneticPr fontId="9" type="noConversion"/>
  </si>
  <si>
    <t>판매실적</t>
    <phoneticPr fontId="9" type="noConversion"/>
  </si>
  <si>
    <t>연봉</t>
    <phoneticPr fontId="9" type="noConversion"/>
  </si>
  <si>
    <t>연봉계약일</t>
    <phoneticPr fontId="9" type="noConversion"/>
  </si>
  <si>
    <t>연봉계약종료일</t>
    <phoneticPr fontId="9" type="noConversion"/>
  </si>
  <si>
    <t>총예상수입</t>
    <phoneticPr fontId="9" type="noConversion"/>
  </si>
  <si>
    <t>인상될연봉</t>
    <phoneticPr fontId="9" type="noConversion"/>
  </si>
  <si>
    <t>연소득</t>
    <phoneticPr fontId="9" type="noConversion"/>
  </si>
  <si>
    <t>서울강남</t>
    <phoneticPr fontId="9" type="noConversion"/>
  </si>
  <si>
    <t>영업소장</t>
    <phoneticPr fontId="9" type="noConversion"/>
  </si>
  <si>
    <t>서울강북</t>
    <phoneticPr fontId="9" type="noConversion"/>
  </si>
  <si>
    <t>과장</t>
    <phoneticPr fontId="9" type="noConversion"/>
  </si>
  <si>
    <t>인천</t>
    <phoneticPr fontId="9" type="noConversion"/>
  </si>
  <si>
    <t>대리</t>
    <phoneticPr fontId="9" type="noConversion"/>
  </si>
  <si>
    <t>인천</t>
    <phoneticPr fontId="9" type="noConversion"/>
  </si>
  <si>
    <t>영업소장</t>
    <phoneticPr fontId="9" type="noConversion"/>
  </si>
  <si>
    <t>부산</t>
    <phoneticPr fontId="9" type="noConversion"/>
  </si>
  <si>
    <t>영업소장</t>
    <phoneticPr fontId="9" type="noConversion"/>
  </si>
  <si>
    <t>광주</t>
    <phoneticPr fontId="9" type="noConversion"/>
  </si>
  <si>
    <t>대리</t>
    <phoneticPr fontId="9" type="noConversion"/>
  </si>
  <si>
    <t>대리</t>
    <phoneticPr fontId="9" type="noConversion"/>
  </si>
  <si>
    <t>인천</t>
    <phoneticPr fontId="9" type="noConversion"/>
  </si>
  <si>
    <t>사원</t>
    <phoneticPr fontId="9" type="noConversion"/>
  </si>
  <si>
    <t>대전</t>
    <phoneticPr fontId="9" type="noConversion"/>
  </si>
  <si>
    <t>과장</t>
    <phoneticPr fontId="9" type="noConversion"/>
  </si>
  <si>
    <t>사원</t>
    <phoneticPr fontId="9" type="noConversion"/>
  </si>
  <si>
    <t>사원</t>
    <phoneticPr fontId="9" type="noConversion"/>
  </si>
  <si>
    <t>서울강북</t>
    <phoneticPr fontId="9" type="noConversion"/>
  </si>
  <si>
    <t>사원</t>
    <phoneticPr fontId="9" type="noConversion"/>
  </si>
  <si>
    <t>부산</t>
    <phoneticPr fontId="9" type="noConversion"/>
  </si>
  <si>
    <t>과장</t>
    <phoneticPr fontId="9" type="noConversion"/>
  </si>
  <si>
    <t>서울강북</t>
    <phoneticPr fontId="9" type="noConversion"/>
  </si>
  <si>
    <t>서울강남</t>
    <phoneticPr fontId="9" type="noConversion"/>
  </si>
  <si>
    <t>인천</t>
    <phoneticPr fontId="9" type="noConversion"/>
  </si>
  <si>
    <t>부산</t>
    <phoneticPr fontId="9" type="noConversion"/>
  </si>
  <si>
    <t>대전</t>
    <phoneticPr fontId="9" type="noConversion"/>
  </si>
  <si>
    <t>[표2]</t>
    <phoneticPr fontId="9" type="noConversion"/>
  </si>
  <si>
    <t>연봉평균</t>
    <phoneticPr fontId="9" type="noConversion"/>
  </si>
  <si>
    <t>[표3]</t>
    <phoneticPr fontId="9" type="noConversion"/>
  </si>
  <si>
    <t>[표4]</t>
    <phoneticPr fontId="9" type="noConversion"/>
  </si>
  <si>
    <t>서울외지역</t>
    <phoneticPr fontId="9" type="noConversion"/>
  </si>
  <si>
    <t>직급</t>
    <phoneticPr fontId="9" type="noConversion"/>
  </si>
  <si>
    <t>판매실적</t>
    <phoneticPr fontId="9" type="noConversion"/>
  </si>
  <si>
    <t>연봉</t>
    <phoneticPr fontId="9" type="noConversion"/>
  </si>
  <si>
    <t>기타직급</t>
    <phoneticPr fontId="9" type="noConversion"/>
  </si>
  <si>
    <t>영업소장</t>
    <phoneticPr fontId="9" type="noConversion"/>
  </si>
  <si>
    <t>판매실적</t>
    <phoneticPr fontId="9" type="noConversion"/>
  </si>
  <si>
    <t>인상률</t>
    <phoneticPr fontId="9" type="noConversion"/>
  </si>
  <si>
    <t>인상률</t>
    <phoneticPr fontId="9" type="noConversion"/>
  </si>
  <si>
    <t>과장</t>
    <phoneticPr fontId="9" type="noConversion"/>
  </si>
  <si>
    <t>대리</t>
    <phoneticPr fontId="9" type="noConversion"/>
  </si>
  <si>
    <t>대리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</si>
</sst>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[$-412]AM/PM\ hh:mm;@"/>
    <numFmt numFmtId="177" formatCode="#,##0&quot;천원&quot;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indexed="63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4" fillId="0" borderId="0"/>
  </cellStyleXfs>
  <cellXfs count="44">
    <xf numFmtId="0" fontId="0" fillId="0" borderId="0" xfId="0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3" fillId="0" borderId="0" xfId="0" applyFont="1">
      <alignment vertical="center"/>
    </xf>
    <xf numFmtId="0" fontId="5" fillId="0" borderId="0" xfId="12" applyFont="1"/>
    <xf numFmtId="0" fontId="5" fillId="0" borderId="0" xfId="12" applyFont="1" applyBorder="1"/>
    <xf numFmtId="0" fontId="3" fillId="0" borderId="2" xfId="0" applyFont="1" applyBorder="1">
      <alignment vertical="center"/>
    </xf>
    <xf numFmtId="0" fontId="5" fillId="0" borderId="4" xfId="12" applyFont="1" applyBorder="1"/>
    <xf numFmtId="0" fontId="8" fillId="0" borderId="1" xfId="0" applyFont="1" applyFill="1" applyBorder="1" applyAlignment="1">
      <alignment horizontal="center"/>
    </xf>
    <xf numFmtId="0" fontId="3" fillId="0" borderId="1" xfId="0" applyFont="1" applyBorder="1">
      <alignment vertical="center"/>
    </xf>
    <xf numFmtId="41" fontId="8" fillId="0" borderId="1" xfId="1" applyFont="1" applyFill="1" applyBorder="1">
      <alignment vertical="center"/>
    </xf>
    <xf numFmtId="41" fontId="8" fillId="0" borderId="1" xfId="1" applyFont="1" applyBorder="1">
      <alignment vertical="center"/>
    </xf>
    <xf numFmtId="41" fontId="8" fillId="0" borderId="1" xfId="1" applyFont="1" applyBorder="1" applyAlignment="1"/>
    <xf numFmtId="41" fontId="8" fillId="0" borderId="0" xfId="1" applyFont="1">
      <alignment vertical="center"/>
    </xf>
    <xf numFmtId="41" fontId="8" fillId="0" borderId="3" xfId="1" applyFont="1" applyBorder="1">
      <alignment vertical="center"/>
    </xf>
    <xf numFmtId="176" fontId="3" fillId="0" borderId="1" xfId="7" applyNumberFormat="1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vertical="center"/>
    </xf>
    <xf numFmtId="41" fontId="3" fillId="0" borderId="1" xfId="1" applyFont="1" applyFill="1" applyBorder="1" applyAlignment="1">
      <alignment vertical="center" wrapText="1"/>
    </xf>
    <xf numFmtId="176" fontId="3" fillId="0" borderId="1" xfId="0" applyNumberFormat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vertical="center"/>
    </xf>
    <xf numFmtId="0" fontId="3" fillId="0" borderId="1" xfId="1" applyNumberFormat="1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/>
    <xf numFmtId="0" fontId="0" fillId="2" borderId="1" xfId="0" applyFill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5" fillId="0" borderId="1" xfId="12" applyFont="1" applyBorder="1" applyAlignment="1">
      <alignment horizontal="center" vertical="center" wrapText="1"/>
    </xf>
    <xf numFmtId="0" fontId="5" fillId="0" borderId="1" xfId="12" applyFont="1" applyBorder="1" applyAlignment="1">
      <alignment horizontal="center" vertical="center"/>
    </xf>
  </cellXfs>
  <cellStyles count="13">
    <cellStyle name="백분율" xfId="2" builtinId="5"/>
    <cellStyle name="쉼표 [0]" xfId="1" builtinId="6"/>
    <cellStyle name="쉼표 [0] 2" xfId="4" xr:uid="{00000000-0005-0000-0000-000002000000}"/>
    <cellStyle name="쉼표 [0] 2 2" xfId="10" xr:uid="{00000000-0005-0000-0000-000003000000}"/>
    <cellStyle name="쉼표 [0] 3" xfId="7" xr:uid="{00000000-0005-0000-0000-000004000000}"/>
    <cellStyle name="쉼표 [0] 4" xfId="8" xr:uid="{00000000-0005-0000-0000-000005000000}"/>
    <cellStyle name="쉼표 [0] 5" xfId="9" xr:uid="{00000000-0005-0000-0000-000006000000}"/>
    <cellStyle name="통화 [0] 2" xfId="11" xr:uid="{00000000-0005-0000-0000-000007000000}"/>
    <cellStyle name="표준" xfId="0" builtinId="0"/>
    <cellStyle name="표준 2" xfId="5" xr:uid="{00000000-0005-0000-0000-000009000000}"/>
    <cellStyle name="표준 2 2" xfId="6" xr:uid="{00000000-0005-0000-0000-00000A000000}"/>
    <cellStyle name="표준 3" xfId="3" xr:uid="{00000000-0005-0000-0000-00000B000000}"/>
    <cellStyle name="표준_상공회의소문제" xfId="12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'기타작업-1'!$G$3</c:f>
              <c:strCache>
                <c:ptCount val="1"/>
                <c:pt idx="0">
                  <c:v>판매가격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'기타작업-1'!$C$4:$C$12</c:f>
              <c:strCache>
                <c:ptCount val="9"/>
                <c:pt idx="0">
                  <c:v>마운틴 4도어 냉장고</c:v>
                </c:pt>
                <c:pt idx="1">
                  <c:v>글로리 드럼 세탁기 </c:v>
                </c:pt>
                <c:pt idx="2">
                  <c:v>그랑데 건조기 17KG 블랙</c:v>
                </c:pt>
                <c:pt idx="3">
                  <c:v>리버 4도어 냉장고</c:v>
                </c:pt>
                <c:pt idx="4">
                  <c:v>스카이 골드 안마의자</c:v>
                </c:pt>
                <c:pt idx="5">
                  <c:v>모닝 드럼 세탁기 </c:v>
                </c:pt>
                <c:pt idx="6">
                  <c:v>무풍에어컨 클래식 홈멀티형</c:v>
                </c:pt>
                <c:pt idx="7">
                  <c:v>월드 5도어 냉장고</c:v>
                </c:pt>
                <c:pt idx="8">
                  <c:v>랜드 실서 안마의자</c:v>
                </c:pt>
              </c:strCache>
            </c:strRef>
          </c:cat>
          <c:val>
            <c:numRef>
              <c:f>'기타작업-1'!$G$4:$G$12</c:f>
              <c:numCache>
                <c:formatCode>_(* #,##0_);_(* \(#,##0\);_(* "-"_);_(@_)</c:formatCode>
                <c:ptCount val="9"/>
                <c:pt idx="0">
                  <c:v>3525</c:v>
                </c:pt>
                <c:pt idx="1">
                  <c:v>1298</c:v>
                </c:pt>
                <c:pt idx="2">
                  <c:v>1149</c:v>
                </c:pt>
                <c:pt idx="3">
                  <c:v>3000</c:v>
                </c:pt>
                <c:pt idx="4">
                  <c:v>4580</c:v>
                </c:pt>
                <c:pt idx="5">
                  <c:v>1598</c:v>
                </c:pt>
                <c:pt idx="6">
                  <c:v>2489</c:v>
                </c:pt>
                <c:pt idx="7">
                  <c:v>4425</c:v>
                </c:pt>
                <c:pt idx="8">
                  <c:v>2985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3-454E-B95F-8B0F227D820E}"/>
            </c:ext>
          </c:extLst>
        </c:ser>
        <c:ser>
          <c:idx val="1"/>
          <c:order val="1"/>
          <c:tx>
            <c:strRef>
              <c:f>'기타작업-1'!$H$3</c:f>
              <c:strCache>
                <c:ptCount val="1"/>
                <c:pt idx="0">
                  <c:v>판매수량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'기타작업-1'!$C$4:$C$12</c:f>
              <c:strCache>
                <c:ptCount val="9"/>
                <c:pt idx="0">
                  <c:v>마운틴 4도어 냉장고</c:v>
                </c:pt>
                <c:pt idx="1">
                  <c:v>글로리 드럼 세탁기 </c:v>
                </c:pt>
                <c:pt idx="2">
                  <c:v>그랑데 건조기 17KG 블랙</c:v>
                </c:pt>
                <c:pt idx="3">
                  <c:v>리버 4도어 냉장고</c:v>
                </c:pt>
                <c:pt idx="4">
                  <c:v>스카이 골드 안마의자</c:v>
                </c:pt>
                <c:pt idx="5">
                  <c:v>모닝 드럼 세탁기 </c:v>
                </c:pt>
                <c:pt idx="6">
                  <c:v>무풍에어컨 클래식 홈멀티형</c:v>
                </c:pt>
                <c:pt idx="7">
                  <c:v>월드 5도어 냉장고</c:v>
                </c:pt>
                <c:pt idx="8">
                  <c:v>랜드 실서 안마의자</c:v>
                </c:pt>
              </c:strCache>
            </c:strRef>
          </c:cat>
          <c:val>
            <c:numRef>
              <c:f>'기타작업-1'!$H$4:$H$12</c:f>
              <c:numCache>
                <c:formatCode>_(* #,##0_);_(* \(#,##0\);_(* "-"_);_(@_)</c:formatCode>
                <c:ptCount val="9"/>
                <c:pt idx="0">
                  <c:v>1822</c:v>
                </c:pt>
                <c:pt idx="1">
                  <c:v>4456</c:v>
                </c:pt>
                <c:pt idx="2">
                  <c:v>250</c:v>
                </c:pt>
                <c:pt idx="3">
                  <c:v>2344</c:v>
                </c:pt>
                <c:pt idx="4">
                  <c:v>854</c:v>
                </c:pt>
                <c:pt idx="5">
                  <c:v>3012</c:v>
                </c:pt>
                <c:pt idx="6">
                  <c:v>1584</c:v>
                </c:pt>
                <c:pt idx="7">
                  <c:v>987</c:v>
                </c:pt>
                <c:pt idx="8">
                  <c:v>2167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3-454E-B95F-8B0F227D8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4893263"/>
        <c:axId val="434885775"/>
      </c:barChart>
      <c:catAx>
        <c:axId val="43489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4885775"/>
        <c:crosses val="autoZero"/>
        <c:auto val="1"/>
        <c:lblAlgn val="ctr"/>
        <c:lblOffset val="100"/>
        <c:noMultiLvlLbl val="0"/>
      </c:catAx>
      <c:valAx>
        <c:axId val="43488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3489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203200</xdr:rowOff>
    </xdr:from>
    <xdr:to>
      <xdr:col>8</xdr:col>
      <xdr:colOff>0</xdr:colOff>
      <xdr:row>32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cmd계약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4"/>
  <sheetViews>
    <sheetView tabSelected="1" workbookViewId="0"/>
  </sheetViews>
  <sheetFormatPr defaultColWidth="9.125" defaultRowHeight="16.5"/>
  <cols>
    <col min="1" max="1" width="9.125" style="9"/>
    <col min="2" max="2" width="25.625" style="9" bestFit="1" customWidth="1"/>
    <col min="3" max="3" width="13.375" style="9" bestFit="1" customWidth="1"/>
    <col min="4" max="4" width="8.625" style="9" bestFit="1" customWidth="1"/>
    <col min="5" max="5" width="10.375" style="9" customWidth="1"/>
    <col min="6" max="6" width="15.875" style="9" bestFit="1" customWidth="1"/>
    <col min="7" max="16384" width="9.125" style="9"/>
  </cols>
  <sheetData>
    <row r="1" spans="1:8">
      <c r="A1" s="9" t="s">
        <v>11</v>
      </c>
    </row>
    <row r="2" spans="1:8" ht="33">
      <c r="A2" s="4" t="s">
        <v>44</v>
      </c>
      <c r="B2" s="4" t="s">
        <v>45</v>
      </c>
      <c r="C2" s="5" t="s">
        <v>46</v>
      </c>
      <c r="D2" s="5" t="s">
        <v>47</v>
      </c>
      <c r="E2" s="5" t="s">
        <v>48</v>
      </c>
      <c r="F2" s="5" t="s">
        <v>49</v>
      </c>
      <c r="G2" s="5" t="s">
        <v>50</v>
      </c>
      <c r="H2" s="5" t="s">
        <v>51</v>
      </c>
    </row>
    <row r="3" spans="1:8">
      <c r="A3" s="4" t="s">
        <v>52</v>
      </c>
      <c r="B3" s="4" t="s">
        <v>53</v>
      </c>
      <c r="C3" s="21">
        <v>0.83333333333333337</v>
      </c>
      <c r="D3" s="21" t="s">
        <v>54</v>
      </c>
      <c r="E3" s="22" t="s">
        <v>55</v>
      </c>
      <c r="F3" s="23">
        <v>3525</v>
      </c>
      <c r="G3" s="23">
        <v>1822</v>
      </c>
      <c r="H3" s="23">
        <v>356</v>
      </c>
    </row>
    <row r="4" spans="1:8">
      <c r="A4" s="4" t="s">
        <v>56</v>
      </c>
      <c r="B4" s="4" t="s">
        <v>57</v>
      </c>
      <c r="C4" s="21">
        <v>0.875</v>
      </c>
      <c r="D4" s="21" t="s">
        <v>58</v>
      </c>
      <c r="E4" s="22" t="s">
        <v>59</v>
      </c>
      <c r="F4" s="23">
        <v>1298</v>
      </c>
      <c r="G4" s="23">
        <v>4456</v>
      </c>
      <c r="H4" s="23">
        <v>1657</v>
      </c>
    </row>
    <row r="5" spans="1:8">
      <c r="A5" s="4" t="s">
        <v>60</v>
      </c>
      <c r="B5" s="4" t="s">
        <v>61</v>
      </c>
      <c r="C5" s="21">
        <v>0.36805555555555558</v>
      </c>
      <c r="D5" s="21" t="s">
        <v>62</v>
      </c>
      <c r="E5" s="22" t="s">
        <v>63</v>
      </c>
      <c r="F5" s="23">
        <v>1149</v>
      </c>
      <c r="G5" s="23">
        <v>250</v>
      </c>
      <c r="H5" s="23">
        <v>51</v>
      </c>
    </row>
    <row r="6" spans="1:8">
      <c r="A6" s="4" t="s">
        <v>64</v>
      </c>
      <c r="B6" s="4" t="s">
        <v>65</v>
      </c>
      <c r="C6" s="21">
        <v>0.91666666666666663</v>
      </c>
      <c r="D6" s="21" t="s">
        <v>66</v>
      </c>
      <c r="E6" s="22" t="s">
        <v>55</v>
      </c>
      <c r="F6" s="23">
        <v>3000</v>
      </c>
      <c r="G6" s="23">
        <v>2344</v>
      </c>
      <c r="H6" s="23">
        <v>875</v>
      </c>
    </row>
    <row r="7" spans="1:8">
      <c r="A7" s="4" t="s">
        <v>67</v>
      </c>
      <c r="B7" s="4" t="s">
        <v>68</v>
      </c>
      <c r="C7" s="21">
        <v>0.95833333333333337</v>
      </c>
      <c r="D7" s="21" t="s">
        <v>69</v>
      </c>
      <c r="E7" s="22" t="s">
        <v>70</v>
      </c>
      <c r="F7" s="23">
        <v>4580</v>
      </c>
      <c r="G7" s="23">
        <v>854</v>
      </c>
      <c r="H7" s="23">
        <v>34</v>
      </c>
    </row>
    <row r="8" spans="1:8">
      <c r="A8" s="4" t="s">
        <v>71</v>
      </c>
      <c r="B8" s="4" t="s">
        <v>72</v>
      </c>
      <c r="C8" s="21">
        <v>0.77777777777777779</v>
      </c>
      <c r="D8" s="21" t="s">
        <v>73</v>
      </c>
      <c r="E8" s="22" t="s">
        <v>74</v>
      </c>
      <c r="F8" s="23">
        <v>459</v>
      </c>
      <c r="G8" s="23">
        <v>2587</v>
      </c>
      <c r="H8" s="23">
        <v>315</v>
      </c>
    </row>
    <row r="9" spans="1:8">
      <c r="A9" s="4" t="s">
        <v>75</v>
      </c>
      <c r="B9" s="4" t="s">
        <v>76</v>
      </c>
      <c r="C9" s="21">
        <v>0.41666666666666669</v>
      </c>
      <c r="D9" s="21" t="s">
        <v>77</v>
      </c>
      <c r="E9" s="22" t="s">
        <v>59</v>
      </c>
      <c r="F9" s="23">
        <v>1598</v>
      </c>
      <c r="G9" s="23">
        <v>3012</v>
      </c>
      <c r="H9" s="23">
        <v>1125</v>
      </c>
    </row>
    <row r="10" spans="1:8">
      <c r="A10" s="4" t="s">
        <v>78</v>
      </c>
      <c r="B10" s="4" t="s">
        <v>79</v>
      </c>
      <c r="C10" s="21">
        <v>0.53125</v>
      </c>
      <c r="D10" s="21" t="s">
        <v>80</v>
      </c>
      <c r="E10" s="5" t="s">
        <v>81</v>
      </c>
      <c r="F10" s="24">
        <v>2489</v>
      </c>
      <c r="G10" s="24">
        <v>1584</v>
      </c>
      <c r="H10" s="24">
        <v>501</v>
      </c>
    </row>
    <row r="11" spans="1:8">
      <c r="A11" s="4" t="s">
        <v>82</v>
      </c>
      <c r="B11" s="4" t="s">
        <v>83</v>
      </c>
      <c r="C11" s="21">
        <v>0.45833333333333331</v>
      </c>
      <c r="D11" s="21" t="s">
        <v>66</v>
      </c>
      <c r="E11" s="22" t="s">
        <v>55</v>
      </c>
      <c r="F11" s="23">
        <v>4425</v>
      </c>
      <c r="G11" s="23">
        <v>987</v>
      </c>
      <c r="H11" s="23">
        <v>67</v>
      </c>
    </row>
    <row r="12" spans="1:8">
      <c r="A12" s="4" t="s">
        <v>84</v>
      </c>
      <c r="B12" s="4" t="s">
        <v>85</v>
      </c>
      <c r="C12" s="21">
        <v>0.72569444444444453</v>
      </c>
      <c r="D12" s="21" t="s">
        <v>86</v>
      </c>
      <c r="E12" s="22" t="s">
        <v>87</v>
      </c>
      <c r="F12" s="23">
        <v>2149</v>
      </c>
      <c r="G12" s="23">
        <v>257</v>
      </c>
      <c r="H12" s="23">
        <v>158</v>
      </c>
    </row>
    <row r="13" spans="1:8">
      <c r="A13" s="4" t="s">
        <v>88</v>
      </c>
      <c r="B13" s="4" t="s">
        <v>89</v>
      </c>
      <c r="C13" s="21">
        <v>0.5</v>
      </c>
      <c r="D13" s="21" t="s">
        <v>62</v>
      </c>
      <c r="E13" s="22" t="s">
        <v>70</v>
      </c>
      <c r="F13" s="23">
        <v>2985</v>
      </c>
      <c r="G13" s="23">
        <v>2167</v>
      </c>
      <c r="H13" s="23">
        <v>785</v>
      </c>
    </row>
    <row r="14" spans="1:8">
      <c r="A14" s="4" t="s">
        <v>90</v>
      </c>
      <c r="B14" s="4" t="s">
        <v>91</v>
      </c>
      <c r="C14" s="25">
        <v>0.75</v>
      </c>
      <c r="D14" s="25" t="s">
        <v>92</v>
      </c>
      <c r="E14" s="22" t="s">
        <v>55</v>
      </c>
      <c r="F14" s="23">
        <v>2500</v>
      </c>
      <c r="G14" s="23">
        <v>1788</v>
      </c>
      <c r="H14" s="23">
        <v>895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H15"/>
  <sheetViews>
    <sheetView zoomScaleNormal="100" workbookViewId="0"/>
  </sheetViews>
  <sheetFormatPr defaultRowHeight="16.5"/>
  <cols>
    <col min="2" max="2" width="25.625" bestFit="1" customWidth="1"/>
    <col min="3" max="3" width="12" customWidth="1"/>
    <col min="8" max="8" width="10.625" bestFit="1" customWidth="1"/>
  </cols>
  <sheetData>
    <row r="2" spans="1:8">
      <c r="A2" s="3" t="s">
        <v>96</v>
      </c>
      <c r="B2" s="3"/>
      <c r="C2" s="3"/>
      <c r="D2" s="3"/>
      <c r="E2" s="3"/>
      <c r="F2" s="3"/>
      <c r="G2" s="3"/>
      <c r="H2" s="3"/>
    </row>
    <row r="3" spans="1:8">
      <c r="A3" s="4" t="s">
        <v>44</v>
      </c>
      <c r="B3" s="4" t="s">
        <v>45</v>
      </c>
      <c r="C3" s="5" t="s">
        <v>46</v>
      </c>
      <c r="D3" s="5" t="s">
        <v>97</v>
      </c>
      <c r="E3" s="5" t="s">
        <v>48</v>
      </c>
      <c r="F3" s="5" t="s">
        <v>98</v>
      </c>
      <c r="G3" s="5" t="s">
        <v>99</v>
      </c>
      <c r="H3" s="5" t="s">
        <v>100</v>
      </c>
    </row>
    <row r="4" spans="1:8">
      <c r="A4" s="4" t="s">
        <v>52</v>
      </c>
      <c r="B4" s="4" t="s">
        <v>53</v>
      </c>
      <c r="C4" s="21">
        <v>0.83333333333333337</v>
      </c>
      <c r="D4" s="21" t="s">
        <v>54</v>
      </c>
      <c r="E4" s="22" t="s">
        <v>55</v>
      </c>
      <c r="F4" s="23">
        <v>3525</v>
      </c>
      <c r="G4" s="23">
        <v>1822</v>
      </c>
      <c r="H4" s="29">
        <f>F4*G4</f>
        <v>6422550</v>
      </c>
    </row>
    <row r="5" spans="1:8">
      <c r="A5" s="4" t="s">
        <v>56</v>
      </c>
      <c r="B5" s="4" t="s">
        <v>57</v>
      </c>
      <c r="C5" s="21">
        <v>0.875</v>
      </c>
      <c r="D5" s="21" t="s">
        <v>101</v>
      </c>
      <c r="E5" s="22" t="s">
        <v>59</v>
      </c>
      <c r="F5" s="23">
        <v>1298</v>
      </c>
      <c r="G5" s="23">
        <v>4456</v>
      </c>
      <c r="H5" s="29">
        <f t="shared" ref="H5:H15" si="0">F5*G5</f>
        <v>5783888</v>
      </c>
    </row>
    <row r="6" spans="1:8">
      <c r="A6" s="4" t="s">
        <v>102</v>
      </c>
      <c r="B6" s="4" t="s">
        <v>61</v>
      </c>
      <c r="C6" s="21">
        <v>0.36805555555555558</v>
      </c>
      <c r="D6" s="21" t="s">
        <v>103</v>
      </c>
      <c r="E6" s="22" t="s">
        <v>104</v>
      </c>
      <c r="F6" s="23">
        <v>1149</v>
      </c>
      <c r="G6" s="23">
        <v>250</v>
      </c>
      <c r="H6" s="29">
        <f t="shared" si="0"/>
        <v>287250</v>
      </c>
    </row>
    <row r="7" spans="1:8">
      <c r="A7" s="4" t="s">
        <v>64</v>
      </c>
      <c r="B7" s="4" t="s">
        <v>65</v>
      </c>
      <c r="C7" s="21">
        <v>0.91666666666666663</v>
      </c>
      <c r="D7" s="21" t="s">
        <v>105</v>
      </c>
      <c r="E7" s="22" t="s">
        <v>55</v>
      </c>
      <c r="F7" s="23">
        <v>3000</v>
      </c>
      <c r="G7" s="23">
        <v>2344</v>
      </c>
      <c r="H7" s="29">
        <f t="shared" si="0"/>
        <v>7032000</v>
      </c>
    </row>
    <row r="8" spans="1:8">
      <c r="A8" s="4" t="s">
        <v>67</v>
      </c>
      <c r="B8" s="4" t="s">
        <v>68</v>
      </c>
      <c r="C8" s="21">
        <v>0.95833333333333337</v>
      </c>
      <c r="D8" s="21" t="s">
        <v>106</v>
      </c>
      <c r="E8" s="22" t="s">
        <v>70</v>
      </c>
      <c r="F8" s="23">
        <v>4580</v>
      </c>
      <c r="G8" s="23">
        <v>854</v>
      </c>
      <c r="H8" s="29">
        <f t="shared" si="0"/>
        <v>3911320</v>
      </c>
    </row>
    <row r="9" spans="1:8">
      <c r="A9" s="4" t="s">
        <v>75</v>
      </c>
      <c r="B9" s="4" t="s">
        <v>76</v>
      </c>
      <c r="C9" s="21">
        <v>0.41666666666666669</v>
      </c>
      <c r="D9" s="21" t="s">
        <v>107</v>
      </c>
      <c r="E9" s="22" t="s">
        <v>59</v>
      </c>
      <c r="F9" s="23">
        <v>1598</v>
      </c>
      <c r="G9" s="23">
        <v>3012</v>
      </c>
      <c r="H9" s="29">
        <f t="shared" si="0"/>
        <v>4813176</v>
      </c>
    </row>
    <row r="10" spans="1:8">
      <c r="A10" s="4" t="s">
        <v>78</v>
      </c>
      <c r="B10" s="4" t="s">
        <v>79</v>
      </c>
      <c r="C10" s="21">
        <v>0.53125</v>
      </c>
      <c r="D10" s="21" t="s">
        <v>108</v>
      </c>
      <c r="E10" s="5" t="s">
        <v>109</v>
      </c>
      <c r="F10" s="24">
        <v>2489</v>
      </c>
      <c r="G10" s="24">
        <v>1584</v>
      </c>
      <c r="H10" s="29">
        <f t="shared" si="0"/>
        <v>3942576</v>
      </c>
    </row>
    <row r="11" spans="1:8">
      <c r="A11" s="4" t="s">
        <v>82</v>
      </c>
      <c r="B11" s="4" t="s">
        <v>83</v>
      </c>
      <c r="C11" s="21">
        <v>0.45833333333333331</v>
      </c>
      <c r="D11" s="21" t="s">
        <v>105</v>
      </c>
      <c r="E11" s="22" t="s">
        <v>55</v>
      </c>
      <c r="F11" s="23">
        <v>4425</v>
      </c>
      <c r="G11" s="23">
        <v>987</v>
      </c>
      <c r="H11" s="29">
        <f t="shared" si="0"/>
        <v>4367475</v>
      </c>
    </row>
    <row r="12" spans="1:8">
      <c r="A12" s="4" t="s">
        <v>88</v>
      </c>
      <c r="B12" s="4" t="s">
        <v>89</v>
      </c>
      <c r="C12" s="21">
        <v>0.5</v>
      </c>
      <c r="D12" s="21" t="s">
        <v>103</v>
      </c>
      <c r="E12" s="22" t="s">
        <v>70</v>
      </c>
      <c r="F12" s="23">
        <v>2985</v>
      </c>
      <c r="G12" s="23">
        <v>2167</v>
      </c>
      <c r="H12" s="29">
        <f t="shared" si="0"/>
        <v>6468495</v>
      </c>
    </row>
    <row r="13" spans="1:8">
      <c r="A13" s="4" t="s">
        <v>110</v>
      </c>
      <c r="B13" s="4" t="s">
        <v>111</v>
      </c>
      <c r="C13" s="21">
        <v>0.77777777777777779</v>
      </c>
      <c r="D13" s="21" t="s">
        <v>112</v>
      </c>
      <c r="E13" s="22" t="s">
        <v>113</v>
      </c>
      <c r="F13" s="23">
        <v>459</v>
      </c>
      <c r="G13" s="23">
        <v>2587</v>
      </c>
      <c r="H13" s="29">
        <f t="shared" si="0"/>
        <v>1187433</v>
      </c>
    </row>
    <row r="14" spans="1:8">
      <c r="A14" s="4" t="s">
        <v>84</v>
      </c>
      <c r="B14" s="4" t="s">
        <v>114</v>
      </c>
      <c r="C14" s="21">
        <v>0.72569444444444453</v>
      </c>
      <c r="D14" s="21" t="s">
        <v>115</v>
      </c>
      <c r="E14" s="22" t="s">
        <v>116</v>
      </c>
      <c r="F14" s="23">
        <v>2149</v>
      </c>
      <c r="G14" s="23">
        <v>257</v>
      </c>
      <c r="H14" s="29">
        <f t="shared" si="0"/>
        <v>552293</v>
      </c>
    </row>
    <row r="15" spans="1:8">
      <c r="A15" s="4" t="s">
        <v>90</v>
      </c>
      <c r="B15" s="4" t="s">
        <v>91</v>
      </c>
      <c r="C15" s="25">
        <v>0.75</v>
      </c>
      <c r="D15" s="25" t="s">
        <v>106</v>
      </c>
      <c r="E15" s="22" t="s">
        <v>55</v>
      </c>
      <c r="F15" s="23">
        <v>2500</v>
      </c>
      <c r="G15" s="23">
        <v>1788</v>
      </c>
      <c r="H15" s="29">
        <f t="shared" si="0"/>
        <v>4470000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4"/>
  <sheetViews>
    <sheetView workbookViewId="0"/>
  </sheetViews>
  <sheetFormatPr defaultRowHeight="16.5"/>
  <cols>
    <col min="1" max="1" width="8.5" bestFit="1" customWidth="1"/>
    <col min="2" max="2" width="10.375" bestFit="1" customWidth="1"/>
    <col min="3" max="3" width="8.5" bestFit="1" customWidth="1"/>
    <col min="4" max="4" width="10.25" bestFit="1" customWidth="1"/>
    <col min="5" max="5" width="10.75" bestFit="1" customWidth="1"/>
    <col min="6" max="6" width="14.375" bestFit="1" customWidth="1"/>
    <col min="7" max="7" width="11.375" bestFit="1" customWidth="1"/>
    <col min="8" max="8" width="10.375" bestFit="1" customWidth="1"/>
    <col min="9" max="9" width="8.25" bestFit="1" customWidth="1"/>
    <col min="10" max="10" width="11.75" bestFit="1" customWidth="1"/>
    <col min="11" max="13" width="12.875" bestFit="1" customWidth="1"/>
  </cols>
  <sheetData>
    <row r="1" spans="1:9">
      <c r="A1" s="30" t="s">
        <v>117</v>
      </c>
      <c r="B1" s="30"/>
      <c r="C1" s="30"/>
      <c r="D1" s="30"/>
      <c r="E1" s="30"/>
      <c r="F1" s="30"/>
      <c r="G1" s="30"/>
      <c r="H1" s="30"/>
      <c r="I1" s="30"/>
    </row>
    <row r="2" spans="1:9">
      <c r="A2" s="28" t="s">
        <v>118</v>
      </c>
      <c r="B2" s="28" t="s">
        <v>119</v>
      </c>
      <c r="C2" s="28" t="s">
        <v>120</v>
      </c>
      <c r="D2" s="28" t="s">
        <v>121</v>
      </c>
      <c r="E2" s="28" t="s">
        <v>122</v>
      </c>
      <c r="F2" s="28" t="s">
        <v>123</v>
      </c>
      <c r="G2" s="31" t="s">
        <v>124</v>
      </c>
      <c r="H2" s="31" t="s">
        <v>125</v>
      </c>
      <c r="I2" s="31" t="s">
        <v>126</v>
      </c>
    </row>
    <row r="3" spans="1:9">
      <c r="A3" s="28" t="s">
        <v>127</v>
      </c>
      <c r="B3" s="28" t="s">
        <v>128</v>
      </c>
      <c r="C3" s="28">
        <v>255</v>
      </c>
      <c r="D3" s="32">
        <v>85000</v>
      </c>
      <c r="E3" s="1">
        <v>44562</v>
      </c>
      <c r="F3" s="1">
        <v>45657</v>
      </c>
      <c r="G3" s="33"/>
      <c r="H3" s="34"/>
      <c r="I3" s="34"/>
    </row>
    <row r="4" spans="1:9">
      <c r="A4" s="28" t="s">
        <v>129</v>
      </c>
      <c r="B4" s="28" t="s">
        <v>130</v>
      </c>
      <c r="C4" s="28">
        <v>53</v>
      </c>
      <c r="D4" s="32">
        <v>51000</v>
      </c>
      <c r="E4" s="1">
        <v>44409</v>
      </c>
      <c r="F4" s="1">
        <v>45503</v>
      </c>
      <c r="G4" s="33"/>
      <c r="H4" s="34"/>
      <c r="I4" s="34"/>
    </row>
    <row r="5" spans="1:9">
      <c r="A5" s="28" t="s">
        <v>131</v>
      </c>
      <c r="B5" s="28" t="s">
        <v>132</v>
      </c>
      <c r="C5" s="28">
        <v>33</v>
      </c>
      <c r="D5" s="32">
        <v>41000</v>
      </c>
      <c r="E5" s="1">
        <v>44743</v>
      </c>
      <c r="F5" s="1">
        <v>45657</v>
      </c>
      <c r="G5" s="33"/>
      <c r="H5" s="34"/>
      <c r="I5" s="34"/>
    </row>
    <row r="6" spans="1:9">
      <c r="A6" s="28" t="s">
        <v>133</v>
      </c>
      <c r="B6" s="28" t="s">
        <v>134</v>
      </c>
      <c r="C6" s="28">
        <v>195</v>
      </c>
      <c r="D6" s="32">
        <v>82000</v>
      </c>
      <c r="E6" s="1">
        <v>44682</v>
      </c>
      <c r="F6" s="1">
        <v>45657</v>
      </c>
      <c r="G6" s="33"/>
      <c r="H6" s="34"/>
      <c r="I6" s="34"/>
    </row>
    <row r="7" spans="1:9">
      <c r="A7" s="28" t="s">
        <v>135</v>
      </c>
      <c r="B7" s="28" t="s">
        <v>136</v>
      </c>
      <c r="C7" s="28">
        <v>126</v>
      </c>
      <c r="D7" s="32">
        <v>80000</v>
      </c>
      <c r="E7" s="1">
        <v>44805</v>
      </c>
      <c r="F7" s="1">
        <v>45657</v>
      </c>
      <c r="G7" s="33"/>
      <c r="H7" s="34"/>
      <c r="I7" s="34"/>
    </row>
    <row r="8" spans="1:9">
      <c r="A8" s="28" t="s">
        <v>137</v>
      </c>
      <c r="B8" s="28" t="s">
        <v>138</v>
      </c>
      <c r="C8" s="28">
        <v>22</v>
      </c>
      <c r="D8" s="32">
        <v>42000</v>
      </c>
      <c r="E8" s="1">
        <v>45047</v>
      </c>
      <c r="F8" s="1">
        <v>45657</v>
      </c>
      <c r="G8" s="33"/>
      <c r="H8" s="34"/>
      <c r="I8" s="34"/>
    </row>
    <row r="9" spans="1:9">
      <c r="A9" s="28" t="s">
        <v>127</v>
      </c>
      <c r="B9" s="28" t="s">
        <v>139</v>
      </c>
      <c r="C9" s="28">
        <v>31</v>
      </c>
      <c r="D9" s="32">
        <v>43000</v>
      </c>
      <c r="E9" s="1">
        <v>44805</v>
      </c>
      <c r="F9" s="1">
        <v>45535</v>
      </c>
      <c r="G9" s="33"/>
      <c r="H9" s="34"/>
      <c r="I9" s="34"/>
    </row>
    <row r="10" spans="1:9">
      <c r="A10" s="28" t="s">
        <v>129</v>
      </c>
      <c r="B10" s="28" t="s">
        <v>132</v>
      </c>
      <c r="C10" s="28">
        <v>25</v>
      </c>
      <c r="D10" s="32">
        <v>42000</v>
      </c>
      <c r="E10" s="1">
        <v>44805</v>
      </c>
      <c r="F10" s="1">
        <v>45657</v>
      </c>
      <c r="G10" s="33"/>
      <c r="H10" s="34"/>
      <c r="I10" s="34"/>
    </row>
    <row r="11" spans="1:9">
      <c r="A11" s="28" t="s">
        <v>140</v>
      </c>
      <c r="B11" s="28" t="s">
        <v>141</v>
      </c>
      <c r="C11" s="28">
        <v>21</v>
      </c>
      <c r="D11" s="32">
        <v>31000</v>
      </c>
      <c r="E11" s="1">
        <v>44743</v>
      </c>
      <c r="F11" s="1">
        <v>45657</v>
      </c>
      <c r="G11" s="33"/>
      <c r="H11" s="34"/>
      <c r="I11" s="34"/>
    </row>
    <row r="12" spans="1:9">
      <c r="A12" s="28" t="s">
        <v>135</v>
      </c>
      <c r="B12" s="28" t="s">
        <v>139</v>
      </c>
      <c r="C12" s="28">
        <v>19</v>
      </c>
      <c r="D12" s="32">
        <v>40000</v>
      </c>
      <c r="E12" s="1">
        <v>44986</v>
      </c>
      <c r="F12" s="1">
        <v>45657</v>
      </c>
      <c r="G12" s="33"/>
      <c r="H12" s="34"/>
      <c r="I12" s="34"/>
    </row>
    <row r="13" spans="1:9">
      <c r="A13" s="28" t="s">
        <v>137</v>
      </c>
      <c r="B13" s="28" t="s">
        <v>136</v>
      </c>
      <c r="C13" s="28">
        <v>221</v>
      </c>
      <c r="D13" s="32">
        <v>84000</v>
      </c>
      <c r="E13" s="1">
        <v>44927</v>
      </c>
      <c r="F13" s="1">
        <v>46022</v>
      </c>
      <c r="G13" s="33"/>
      <c r="H13" s="34"/>
      <c r="I13" s="34"/>
    </row>
    <row r="14" spans="1:9">
      <c r="A14" s="28" t="s">
        <v>142</v>
      </c>
      <c r="B14" s="28" t="s">
        <v>143</v>
      </c>
      <c r="C14" s="28">
        <v>38</v>
      </c>
      <c r="D14" s="32">
        <v>57000</v>
      </c>
      <c r="E14" s="1">
        <v>44805</v>
      </c>
      <c r="F14" s="1">
        <v>45657</v>
      </c>
      <c r="G14" s="33"/>
      <c r="H14" s="34"/>
      <c r="I14" s="34"/>
    </row>
    <row r="15" spans="1:9">
      <c r="A15" s="28" t="s">
        <v>137</v>
      </c>
      <c r="B15" s="28" t="s">
        <v>144</v>
      </c>
      <c r="C15" s="28">
        <v>18</v>
      </c>
      <c r="D15" s="32">
        <v>31000</v>
      </c>
      <c r="E15" s="1">
        <v>44986</v>
      </c>
      <c r="F15" s="1">
        <v>45716</v>
      </c>
      <c r="G15" s="33"/>
      <c r="H15" s="34"/>
      <c r="I15" s="34"/>
    </row>
    <row r="16" spans="1:9">
      <c r="A16" s="28" t="s">
        <v>137</v>
      </c>
      <c r="B16" s="28" t="s">
        <v>130</v>
      </c>
      <c r="C16" s="28">
        <v>32</v>
      </c>
      <c r="D16" s="32">
        <v>57000</v>
      </c>
      <c r="E16" s="1">
        <v>44986</v>
      </c>
      <c r="F16" s="1">
        <v>45716</v>
      </c>
      <c r="G16" s="33"/>
      <c r="H16" s="34"/>
      <c r="I16" s="34"/>
    </row>
    <row r="17" spans="1:9">
      <c r="A17" s="28" t="s">
        <v>127</v>
      </c>
      <c r="B17" s="28" t="s">
        <v>145</v>
      </c>
      <c r="C17" s="28">
        <v>18</v>
      </c>
      <c r="D17" s="32">
        <v>32000</v>
      </c>
      <c r="E17" s="1">
        <v>44986</v>
      </c>
      <c r="F17" s="1">
        <v>45716</v>
      </c>
      <c r="G17" s="33"/>
      <c r="H17" s="34"/>
      <c r="I17" s="34"/>
    </row>
    <row r="18" spans="1:9">
      <c r="A18" s="28" t="s">
        <v>142</v>
      </c>
      <c r="B18" s="28" t="s">
        <v>128</v>
      </c>
      <c r="C18" s="28">
        <v>183</v>
      </c>
      <c r="D18" s="32">
        <v>84000</v>
      </c>
      <c r="E18" s="1">
        <v>44743</v>
      </c>
      <c r="F18" s="1">
        <v>45657</v>
      </c>
      <c r="G18" s="33"/>
      <c r="H18" s="34"/>
      <c r="I18" s="34"/>
    </row>
    <row r="19" spans="1:9">
      <c r="A19" s="28" t="s">
        <v>146</v>
      </c>
      <c r="B19" s="28" t="s">
        <v>147</v>
      </c>
      <c r="C19" s="28">
        <v>13</v>
      </c>
      <c r="D19" s="32">
        <v>29000</v>
      </c>
      <c r="E19" s="1">
        <v>44986</v>
      </c>
      <c r="F19" s="1">
        <v>45657</v>
      </c>
      <c r="G19" s="33"/>
      <c r="H19" s="34"/>
      <c r="I19" s="34"/>
    </row>
    <row r="20" spans="1:9">
      <c r="A20" s="28" t="s">
        <v>148</v>
      </c>
      <c r="B20" s="28" t="s">
        <v>149</v>
      </c>
      <c r="C20" s="28">
        <v>42</v>
      </c>
      <c r="D20" s="32">
        <v>55000</v>
      </c>
      <c r="E20" s="1">
        <v>44986</v>
      </c>
      <c r="F20" s="1">
        <v>45716</v>
      </c>
      <c r="G20" s="33"/>
      <c r="H20" s="34"/>
      <c r="I20" s="34"/>
    </row>
    <row r="21" spans="1:9">
      <c r="A21" s="28" t="s">
        <v>150</v>
      </c>
      <c r="B21" s="28" t="s">
        <v>134</v>
      </c>
      <c r="C21" s="28">
        <v>293</v>
      </c>
      <c r="D21" s="32">
        <v>75000</v>
      </c>
      <c r="E21" s="1">
        <v>44835</v>
      </c>
      <c r="F21" s="1">
        <v>45565</v>
      </c>
      <c r="G21" s="33"/>
      <c r="H21" s="34"/>
      <c r="I21" s="34"/>
    </row>
    <row r="22" spans="1:9">
      <c r="A22" s="28" t="s">
        <v>142</v>
      </c>
      <c r="B22" s="28" t="s">
        <v>132</v>
      </c>
      <c r="C22" s="28">
        <v>13</v>
      </c>
      <c r="D22" s="32">
        <v>38000</v>
      </c>
      <c r="E22" s="1">
        <v>44986</v>
      </c>
      <c r="F22" s="1">
        <v>45716</v>
      </c>
      <c r="G22" s="33"/>
      <c r="H22" s="34"/>
      <c r="I22" s="34"/>
    </row>
    <row r="23" spans="1:9">
      <c r="A23" s="28" t="s">
        <v>151</v>
      </c>
      <c r="B23" s="28" t="s">
        <v>143</v>
      </c>
      <c r="C23" s="28">
        <v>55</v>
      </c>
      <c r="D23" s="32">
        <v>56000</v>
      </c>
      <c r="E23" s="1">
        <v>44562</v>
      </c>
      <c r="F23" s="1">
        <v>45657</v>
      </c>
      <c r="G23" s="33"/>
      <c r="H23" s="34"/>
      <c r="I23" s="34"/>
    </row>
    <row r="24" spans="1:9">
      <c r="A24" s="28" t="s">
        <v>152</v>
      </c>
      <c r="B24" s="28" t="s">
        <v>130</v>
      </c>
      <c r="C24" s="28">
        <v>52</v>
      </c>
      <c r="D24" s="32">
        <v>53000</v>
      </c>
      <c r="E24" s="1">
        <v>44835</v>
      </c>
      <c r="F24" s="1">
        <v>45626</v>
      </c>
      <c r="G24" s="33"/>
      <c r="H24" s="34"/>
      <c r="I24" s="34"/>
    </row>
    <row r="25" spans="1:9">
      <c r="A25" s="28" t="s">
        <v>153</v>
      </c>
      <c r="B25" s="28" t="s">
        <v>147</v>
      </c>
      <c r="C25" s="28">
        <v>15</v>
      </c>
      <c r="D25" s="32">
        <v>30000</v>
      </c>
      <c r="E25" s="1">
        <v>45200</v>
      </c>
      <c r="F25" s="1">
        <v>45626</v>
      </c>
      <c r="G25" s="33"/>
      <c r="H25" s="34"/>
      <c r="I25" s="34"/>
    </row>
    <row r="26" spans="1:9">
      <c r="A26" s="28" t="s">
        <v>154</v>
      </c>
      <c r="B26" s="28" t="s">
        <v>145</v>
      </c>
      <c r="C26" s="28">
        <v>8</v>
      </c>
      <c r="D26" s="32">
        <v>28000</v>
      </c>
      <c r="E26" s="1">
        <v>45047</v>
      </c>
      <c r="F26" s="1">
        <v>45777</v>
      </c>
      <c r="G26" s="33"/>
      <c r="H26" s="34"/>
      <c r="I26" s="34"/>
    </row>
    <row r="27" spans="1:9">
      <c r="A27" s="2"/>
      <c r="B27" s="2"/>
      <c r="C27" s="2"/>
      <c r="D27" s="2"/>
      <c r="E27" s="2"/>
      <c r="F27" s="2"/>
      <c r="G27" s="2"/>
      <c r="H27" s="2"/>
      <c r="I27" s="2"/>
    </row>
    <row r="28" spans="1:9">
      <c r="A28" s="35" t="s">
        <v>155</v>
      </c>
      <c r="B28" s="2" t="s">
        <v>156</v>
      </c>
      <c r="C28" s="2" t="s">
        <v>157</v>
      </c>
      <c r="D28" s="2"/>
      <c r="E28" s="2"/>
      <c r="F28" s="2" t="s">
        <v>158</v>
      </c>
      <c r="G28" s="2"/>
      <c r="H28" s="2"/>
      <c r="I28" s="2"/>
    </row>
    <row r="29" spans="1:9">
      <c r="A29" s="36" t="s">
        <v>119</v>
      </c>
      <c r="B29" s="31" t="s">
        <v>159</v>
      </c>
      <c r="C29" s="28" t="s">
        <v>160</v>
      </c>
      <c r="D29" s="31" t="s">
        <v>161</v>
      </c>
      <c r="E29" s="31" t="s">
        <v>162</v>
      </c>
      <c r="F29" s="40" t="s">
        <v>128</v>
      </c>
      <c r="G29" s="40"/>
      <c r="H29" s="40" t="s">
        <v>163</v>
      </c>
      <c r="I29" s="40"/>
    </row>
    <row r="30" spans="1:9">
      <c r="A30" s="28" t="s">
        <v>164</v>
      </c>
      <c r="B30" s="37"/>
      <c r="C30" s="28" t="s">
        <v>136</v>
      </c>
      <c r="D30" s="37"/>
      <c r="E30" s="37"/>
      <c r="F30" s="38" t="s">
        <v>165</v>
      </c>
      <c r="G30" s="38" t="s">
        <v>166</v>
      </c>
      <c r="H30" s="38" t="s">
        <v>161</v>
      </c>
      <c r="I30" s="38" t="s">
        <v>167</v>
      </c>
    </row>
    <row r="31" spans="1:9">
      <c r="A31" s="28" t="s">
        <v>168</v>
      </c>
      <c r="B31" s="37"/>
      <c r="C31" s="28" t="s">
        <v>130</v>
      </c>
      <c r="D31" s="37"/>
      <c r="E31" s="37"/>
      <c r="F31" s="38">
        <v>0</v>
      </c>
      <c r="G31" s="39">
        <v>0</v>
      </c>
      <c r="H31" s="38">
        <v>0</v>
      </c>
      <c r="I31" s="39">
        <v>0</v>
      </c>
    </row>
    <row r="32" spans="1:9">
      <c r="A32" s="28" t="s">
        <v>169</v>
      </c>
      <c r="B32" s="37"/>
      <c r="C32" s="28" t="s">
        <v>170</v>
      </c>
      <c r="D32" s="37"/>
      <c r="E32" s="37"/>
      <c r="F32" s="38">
        <v>100</v>
      </c>
      <c r="G32" s="39">
        <v>0.05</v>
      </c>
      <c r="H32" s="38">
        <v>20</v>
      </c>
      <c r="I32" s="39">
        <v>0.05</v>
      </c>
    </row>
    <row r="33" spans="1:9">
      <c r="A33" s="28" t="s">
        <v>141</v>
      </c>
      <c r="B33" s="37"/>
      <c r="C33" s="28" t="s">
        <v>147</v>
      </c>
      <c r="D33" s="37"/>
      <c r="E33" s="37"/>
      <c r="F33" s="38">
        <v>200</v>
      </c>
      <c r="G33" s="39">
        <v>0.1</v>
      </c>
      <c r="H33" s="38">
        <v>40</v>
      </c>
      <c r="I33" s="39">
        <v>0.1</v>
      </c>
    </row>
    <row r="34" spans="1:9">
      <c r="A34" s="30"/>
      <c r="B34" s="30"/>
      <c r="C34" s="30"/>
      <c r="D34" s="30"/>
      <c r="E34" s="30"/>
      <c r="F34" s="38">
        <v>300</v>
      </c>
      <c r="G34" s="39">
        <v>0.15</v>
      </c>
      <c r="H34" s="38">
        <v>60</v>
      </c>
      <c r="I34" s="39">
        <v>0.15</v>
      </c>
    </row>
  </sheetData>
  <mergeCells count="2">
    <mergeCell ref="F29:G29"/>
    <mergeCell ref="H29:I2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32"/>
  <sheetViews>
    <sheetView workbookViewId="0"/>
  </sheetViews>
  <sheetFormatPr defaultRowHeight="16.5"/>
  <cols>
    <col min="1" max="1" width="12.375" customWidth="1"/>
    <col min="4" max="4" width="9.375" customWidth="1"/>
  </cols>
  <sheetData>
    <row r="1" spans="1:6">
      <c r="A1" t="s">
        <v>11</v>
      </c>
    </row>
    <row r="2" spans="1:6">
      <c r="A2" s="7" t="s">
        <v>12</v>
      </c>
      <c r="B2" s="7" t="s">
        <v>13</v>
      </c>
      <c r="C2" s="7" t="s">
        <v>14</v>
      </c>
      <c r="D2" s="7" t="s">
        <v>31</v>
      </c>
      <c r="E2" s="7" t="s">
        <v>15</v>
      </c>
      <c r="F2" s="7" t="s">
        <v>10</v>
      </c>
    </row>
    <row r="3" spans="1:6">
      <c r="A3" s="28">
        <v>202213056</v>
      </c>
      <c r="B3" s="6" t="s">
        <v>16</v>
      </c>
      <c r="C3" s="8">
        <v>0.25</v>
      </c>
      <c r="D3" s="8">
        <v>0.32</v>
      </c>
      <c r="E3" s="8">
        <v>0.25</v>
      </c>
      <c r="F3" s="8">
        <v>0.18</v>
      </c>
    </row>
    <row r="4" spans="1:6">
      <c r="A4" s="28">
        <v>202309060</v>
      </c>
      <c r="B4" s="6" t="s">
        <v>17</v>
      </c>
      <c r="C4" s="8">
        <v>0.2</v>
      </c>
      <c r="D4" s="8">
        <v>0.37</v>
      </c>
      <c r="E4" s="8">
        <v>0.23</v>
      </c>
      <c r="F4" s="8">
        <v>0.2</v>
      </c>
    </row>
    <row r="5" spans="1:6">
      <c r="A5" s="28">
        <v>202121010</v>
      </c>
      <c r="B5" s="6" t="s">
        <v>18</v>
      </c>
      <c r="C5" s="8">
        <v>0.15</v>
      </c>
      <c r="D5" s="8">
        <v>0.39</v>
      </c>
      <c r="E5" s="8">
        <v>0.25</v>
      </c>
      <c r="F5" s="8">
        <v>0.21</v>
      </c>
    </row>
    <row r="6" spans="1:6">
      <c r="A6" s="28">
        <v>202118036</v>
      </c>
      <c r="B6" s="6" t="s">
        <v>19</v>
      </c>
      <c r="C6" s="8">
        <v>0.18</v>
      </c>
      <c r="D6" s="8">
        <v>0.41</v>
      </c>
      <c r="E6" s="8">
        <v>0.21</v>
      </c>
      <c r="F6" s="8">
        <v>0.2</v>
      </c>
    </row>
    <row r="7" spans="1:6">
      <c r="A7" s="28">
        <v>202415093</v>
      </c>
      <c r="B7" s="6" t="s">
        <v>20</v>
      </c>
      <c r="C7" s="8">
        <v>0.19</v>
      </c>
      <c r="D7" s="8">
        <v>0.39</v>
      </c>
      <c r="E7" s="8">
        <v>0.22</v>
      </c>
      <c r="F7" s="8">
        <v>0.2</v>
      </c>
    </row>
    <row r="8" spans="1:6">
      <c r="A8" s="28">
        <v>202214036</v>
      </c>
      <c r="B8" s="6" t="s">
        <v>21</v>
      </c>
      <c r="C8" s="8">
        <v>0.23</v>
      </c>
      <c r="D8" s="8">
        <v>0.36</v>
      </c>
      <c r="E8" s="8">
        <v>0.23</v>
      </c>
      <c r="F8" s="8">
        <v>0.18</v>
      </c>
    </row>
    <row r="9" spans="1:6">
      <c r="A9" s="28">
        <v>202330056</v>
      </c>
      <c r="B9" s="6" t="s">
        <v>22</v>
      </c>
      <c r="C9" s="8">
        <v>0.22</v>
      </c>
      <c r="D9" s="8">
        <v>0.38</v>
      </c>
      <c r="E9" s="8">
        <v>0.24</v>
      </c>
      <c r="F9" s="8">
        <v>0.16</v>
      </c>
    </row>
    <row r="10" spans="1:6">
      <c r="A10" s="28">
        <v>202309025</v>
      </c>
      <c r="B10" s="6" t="s">
        <v>23</v>
      </c>
      <c r="C10" s="8">
        <v>0.17</v>
      </c>
      <c r="D10" s="8">
        <v>0.42</v>
      </c>
      <c r="E10" s="8">
        <v>0.25</v>
      </c>
      <c r="F10" s="8">
        <v>0.16</v>
      </c>
    </row>
    <row r="11" spans="1:6">
      <c r="A11" s="28">
        <v>202406050</v>
      </c>
      <c r="B11" s="6" t="s">
        <v>24</v>
      </c>
      <c r="C11" s="8">
        <v>0.16</v>
      </c>
      <c r="D11" s="8">
        <v>0.45</v>
      </c>
      <c r="E11" s="8">
        <v>0.23</v>
      </c>
      <c r="F11" s="8">
        <v>0.16</v>
      </c>
    </row>
    <row r="12" spans="1:6">
      <c r="A12" s="28">
        <v>202118046</v>
      </c>
      <c r="B12" s="6" t="s">
        <v>25</v>
      </c>
      <c r="C12" s="8">
        <v>0.21</v>
      </c>
      <c r="D12" s="8">
        <v>0.35</v>
      </c>
      <c r="E12" s="8">
        <v>0.24</v>
      </c>
      <c r="F12" s="8">
        <v>0.2</v>
      </c>
    </row>
    <row r="13" spans="1:6">
      <c r="A13" s="28">
        <v>202415058</v>
      </c>
      <c r="B13" s="6" t="s">
        <v>26</v>
      </c>
      <c r="C13" s="8">
        <v>0.22</v>
      </c>
      <c r="D13" s="8">
        <v>0.4</v>
      </c>
      <c r="E13" s="8">
        <v>0.2</v>
      </c>
      <c r="F13" s="8">
        <v>0.18</v>
      </c>
    </row>
    <row r="14" spans="1:6">
      <c r="A14" s="28">
        <v>202415087</v>
      </c>
      <c r="B14" s="6" t="s">
        <v>27</v>
      </c>
      <c r="C14" s="8">
        <v>0.24</v>
      </c>
      <c r="D14" s="8">
        <v>0.35</v>
      </c>
      <c r="E14" s="8">
        <v>0.21</v>
      </c>
      <c r="F14" s="8">
        <v>0.2</v>
      </c>
    </row>
    <row r="15" spans="1:6">
      <c r="A15" s="28">
        <v>202202375</v>
      </c>
      <c r="B15" s="6" t="s">
        <v>28</v>
      </c>
      <c r="C15" s="8">
        <v>0.16</v>
      </c>
      <c r="D15" s="8">
        <v>0.42</v>
      </c>
      <c r="E15" s="8">
        <v>0.22</v>
      </c>
      <c r="F15" s="8">
        <v>0.2</v>
      </c>
    </row>
    <row r="16" spans="1:6">
      <c r="A16" s="28">
        <v>202415065</v>
      </c>
      <c r="B16" s="6" t="s">
        <v>29</v>
      </c>
      <c r="C16" s="8">
        <v>0.19</v>
      </c>
      <c r="D16" s="8">
        <v>0.38</v>
      </c>
      <c r="E16" s="8">
        <v>0.23</v>
      </c>
      <c r="F16" s="8">
        <v>0.2</v>
      </c>
    </row>
    <row r="17" spans="1:10">
      <c r="A17" s="28">
        <v>202320030</v>
      </c>
      <c r="B17" s="6" t="s">
        <v>30</v>
      </c>
      <c r="C17" s="8">
        <v>0.21</v>
      </c>
      <c r="D17" s="8">
        <v>0.43</v>
      </c>
      <c r="E17" s="8">
        <v>0.2</v>
      </c>
      <c r="F17" s="8">
        <v>0.16</v>
      </c>
    </row>
    <row r="19" spans="1:10">
      <c r="A19" t="s">
        <v>32</v>
      </c>
      <c r="B19" s="9"/>
      <c r="C19" s="9"/>
      <c r="D19" s="10"/>
      <c r="E19" s="10"/>
      <c r="F19" s="10"/>
      <c r="G19" s="10"/>
      <c r="H19" s="10"/>
      <c r="I19" s="10"/>
      <c r="J19" s="10"/>
    </row>
    <row r="20" spans="1:10">
      <c r="A20" s="9" t="s">
        <v>33</v>
      </c>
      <c r="B20" s="9"/>
      <c r="C20" s="9"/>
      <c r="D20" s="11"/>
      <c r="E20" s="12"/>
      <c r="F20" s="41" t="s">
        <v>36</v>
      </c>
      <c r="G20" s="41"/>
      <c r="H20" s="41"/>
      <c r="I20" s="41"/>
      <c r="J20" s="41"/>
    </row>
    <row r="21" spans="1:10">
      <c r="A21" s="15" t="s">
        <v>34</v>
      </c>
      <c r="B21" s="17">
        <v>30</v>
      </c>
      <c r="C21" s="9"/>
      <c r="D21" s="13"/>
      <c r="E21" s="20"/>
      <c r="F21" s="14">
        <v>10</v>
      </c>
      <c r="G21" s="14">
        <v>20</v>
      </c>
      <c r="H21" s="14">
        <v>30</v>
      </c>
      <c r="I21" s="14">
        <v>40</v>
      </c>
      <c r="J21" s="14">
        <v>50</v>
      </c>
    </row>
    <row r="22" spans="1:10">
      <c r="A22" s="15" t="s">
        <v>35</v>
      </c>
      <c r="B22" s="17">
        <v>1500</v>
      </c>
      <c r="C22" s="9"/>
      <c r="D22" s="42" t="s">
        <v>38</v>
      </c>
      <c r="E22" s="16">
        <v>1200</v>
      </c>
      <c r="F22" s="16"/>
      <c r="G22" s="16"/>
      <c r="H22" s="16"/>
      <c r="I22" s="16"/>
      <c r="J22" s="16"/>
    </row>
    <row r="23" spans="1:10">
      <c r="A23" s="15" t="s">
        <v>37</v>
      </c>
      <c r="B23" s="18">
        <f>B21*B22</f>
        <v>45000</v>
      </c>
      <c r="C23" s="9"/>
      <c r="D23" s="43"/>
      <c r="E23" s="16">
        <v>1300</v>
      </c>
      <c r="F23" s="16"/>
      <c r="G23" s="16"/>
      <c r="H23" s="16"/>
      <c r="I23" s="16"/>
      <c r="J23" s="16"/>
    </row>
    <row r="24" spans="1:10">
      <c r="A24" s="9"/>
      <c r="B24" s="19"/>
      <c r="C24" s="9"/>
      <c r="D24" s="43"/>
      <c r="E24" s="16">
        <v>1400</v>
      </c>
      <c r="F24" s="16"/>
      <c r="G24" s="16"/>
      <c r="H24" s="16"/>
      <c r="I24" s="16"/>
      <c r="J24" s="16"/>
    </row>
    <row r="25" spans="1:10">
      <c r="A25" s="15" t="s">
        <v>39</v>
      </c>
      <c r="B25" s="17">
        <f>B21*B22*45%</f>
        <v>20250</v>
      </c>
      <c r="C25" s="9"/>
      <c r="D25" s="43"/>
      <c r="E25" s="16">
        <v>1500</v>
      </c>
      <c r="F25" s="16"/>
      <c r="G25" s="16"/>
      <c r="H25" s="16"/>
      <c r="I25" s="16"/>
      <c r="J25" s="16"/>
    </row>
    <row r="26" spans="1:10">
      <c r="A26" s="15" t="s">
        <v>40</v>
      </c>
      <c r="B26" s="17">
        <f>B23-B25</f>
        <v>24750</v>
      </c>
      <c r="C26" s="9"/>
      <c r="D26" s="43"/>
      <c r="E26" s="16">
        <v>1600</v>
      </c>
      <c r="F26" s="16"/>
      <c r="G26" s="16"/>
      <c r="H26" s="16"/>
      <c r="I26" s="16"/>
      <c r="J26" s="16"/>
    </row>
    <row r="27" spans="1:10">
      <c r="A27" s="9"/>
      <c r="B27" s="19"/>
      <c r="C27" s="9"/>
      <c r="D27" s="43"/>
      <c r="E27" s="16">
        <v>1700</v>
      </c>
      <c r="F27" s="16"/>
      <c r="G27" s="16"/>
      <c r="H27" s="16"/>
      <c r="I27" s="16"/>
      <c r="J27" s="16"/>
    </row>
    <row r="28" spans="1:10">
      <c r="A28" s="15" t="s">
        <v>41</v>
      </c>
      <c r="B28" s="17">
        <v>5000</v>
      </c>
      <c r="C28" s="9"/>
      <c r="D28" s="43"/>
      <c r="E28" s="16">
        <v>1800</v>
      </c>
      <c r="F28" s="16"/>
      <c r="G28" s="16"/>
      <c r="H28" s="16"/>
      <c r="I28" s="16"/>
      <c r="J28" s="16"/>
    </row>
    <row r="29" spans="1:10">
      <c r="A29" s="15" t="s">
        <v>42</v>
      </c>
      <c r="B29" s="17">
        <v>3000</v>
      </c>
      <c r="C29" s="9"/>
      <c r="D29" s="43"/>
      <c r="E29" s="16">
        <v>1900</v>
      </c>
      <c r="F29" s="16"/>
      <c r="G29" s="16"/>
      <c r="H29" s="16"/>
      <c r="I29" s="16"/>
      <c r="J29" s="16"/>
    </row>
    <row r="30" spans="1:10">
      <c r="A30" s="15" t="s">
        <v>43</v>
      </c>
      <c r="B30" s="17">
        <f>B26-B28-B29</f>
        <v>16750</v>
      </c>
      <c r="C30" s="9"/>
      <c r="D30" s="43"/>
      <c r="E30" s="16">
        <v>2000</v>
      </c>
      <c r="F30" s="16"/>
      <c r="G30" s="16"/>
      <c r="H30" s="16"/>
      <c r="I30" s="16"/>
      <c r="J30" s="16"/>
    </row>
    <row r="31" spans="1:10">
      <c r="A31" s="10"/>
      <c r="B31" s="10"/>
      <c r="C31" s="10"/>
    </row>
    <row r="32" spans="1:10">
      <c r="A32" s="10"/>
      <c r="B32" s="10"/>
      <c r="C32" s="10"/>
    </row>
  </sheetData>
  <mergeCells count="2">
    <mergeCell ref="F20:J20"/>
    <mergeCell ref="D22:D30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H12"/>
  <sheetViews>
    <sheetView workbookViewId="0"/>
  </sheetViews>
  <sheetFormatPr defaultRowHeight="16.5"/>
  <cols>
    <col min="3" max="3" width="25.625" bestFit="1" customWidth="1"/>
    <col min="4" max="4" width="9.875" bestFit="1" customWidth="1"/>
    <col min="7" max="7" width="14.625" customWidth="1"/>
  </cols>
  <sheetData>
    <row r="1" spans="2:8" s="3" customFormat="1"/>
    <row r="2" spans="2:8">
      <c r="B2" t="s">
        <v>93</v>
      </c>
    </row>
    <row r="3" spans="2:8">
      <c r="B3" s="4" t="s">
        <v>44</v>
      </c>
      <c r="C3" s="4" t="s">
        <v>45</v>
      </c>
      <c r="D3" s="5" t="s">
        <v>46</v>
      </c>
      <c r="E3" s="5" t="s">
        <v>47</v>
      </c>
      <c r="F3" s="5" t="s">
        <v>48</v>
      </c>
      <c r="G3" s="5" t="s">
        <v>94</v>
      </c>
      <c r="H3" s="5" t="s">
        <v>50</v>
      </c>
    </row>
    <row r="4" spans="2:8">
      <c r="B4" s="4" t="s">
        <v>52</v>
      </c>
      <c r="C4" s="4" t="s">
        <v>53</v>
      </c>
      <c r="D4" s="21">
        <v>0.83333333333333337</v>
      </c>
      <c r="E4" s="21" t="s">
        <v>54</v>
      </c>
      <c r="F4" s="22" t="s">
        <v>55</v>
      </c>
      <c r="G4" s="23">
        <v>3525</v>
      </c>
      <c r="H4" s="23">
        <v>1822</v>
      </c>
    </row>
    <row r="5" spans="2:8">
      <c r="B5" s="4" t="s">
        <v>56</v>
      </c>
      <c r="C5" s="4" t="s">
        <v>57</v>
      </c>
      <c r="D5" s="21">
        <v>0.875</v>
      </c>
      <c r="E5" s="21" t="s">
        <v>58</v>
      </c>
      <c r="F5" s="22" t="s">
        <v>59</v>
      </c>
      <c r="G5" s="23">
        <v>1298</v>
      </c>
      <c r="H5" s="23">
        <v>4456</v>
      </c>
    </row>
    <row r="6" spans="2:8">
      <c r="B6" s="4" t="s">
        <v>60</v>
      </c>
      <c r="C6" s="4" t="s">
        <v>61</v>
      </c>
      <c r="D6" s="21">
        <v>0.36805555555555558</v>
      </c>
      <c r="E6" s="21" t="s">
        <v>62</v>
      </c>
      <c r="F6" s="22" t="s">
        <v>63</v>
      </c>
      <c r="G6" s="23">
        <v>1149</v>
      </c>
      <c r="H6" s="23">
        <v>250</v>
      </c>
    </row>
    <row r="7" spans="2:8">
      <c r="B7" s="4" t="s">
        <v>64</v>
      </c>
      <c r="C7" s="4" t="s">
        <v>65</v>
      </c>
      <c r="D7" s="21">
        <v>0.91666666666666663</v>
      </c>
      <c r="E7" s="21" t="s">
        <v>66</v>
      </c>
      <c r="F7" s="22" t="s">
        <v>55</v>
      </c>
      <c r="G7" s="23">
        <v>3000</v>
      </c>
      <c r="H7" s="23">
        <v>2344</v>
      </c>
    </row>
    <row r="8" spans="2:8">
      <c r="B8" s="4" t="s">
        <v>67</v>
      </c>
      <c r="C8" s="4" t="s">
        <v>68</v>
      </c>
      <c r="D8" s="21">
        <v>0.95833333333333337</v>
      </c>
      <c r="E8" s="21" t="s">
        <v>69</v>
      </c>
      <c r="F8" s="22" t="s">
        <v>70</v>
      </c>
      <c r="G8" s="23">
        <v>4580</v>
      </c>
      <c r="H8" s="23">
        <v>854</v>
      </c>
    </row>
    <row r="9" spans="2:8">
      <c r="B9" s="4" t="s">
        <v>75</v>
      </c>
      <c r="C9" s="4" t="s">
        <v>76</v>
      </c>
      <c r="D9" s="21">
        <v>0.41666666666666669</v>
      </c>
      <c r="E9" s="21" t="s">
        <v>77</v>
      </c>
      <c r="F9" s="22" t="s">
        <v>59</v>
      </c>
      <c r="G9" s="23">
        <v>1598</v>
      </c>
      <c r="H9" s="23">
        <v>3012</v>
      </c>
    </row>
    <row r="10" spans="2:8">
      <c r="B10" s="4" t="s">
        <v>78</v>
      </c>
      <c r="C10" s="4" t="s">
        <v>79</v>
      </c>
      <c r="D10" s="21">
        <v>0.53125</v>
      </c>
      <c r="E10" s="21" t="s">
        <v>80</v>
      </c>
      <c r="F10" s="5" t="s">
        <v>81</v>
      </c>
      <c r="G10" s="24">
        <v>2489</v>
      </c>
      <c r="H10" s="24">
        <v>1584</v>
      </c>
    </row>
    <row r="11" spans="2:8">
      <c r="B11" s="4" t="s">
        <v>82</v>
      </c>
      <c r="C11" s="4" t="s">
        <v>83</v>
      </c>
      <c r="D11" s="21">
        <v>0.45833333333333331</v>
      </c>
      <c r="E11" s="21" t="s">
        <v>66</v>
      </c>
      <c r="F11" s="22" t="s">
        <v>55</v>
      </c>
      <c r="G11" s="23">
        <v>4425</v>
      </c>
      <c r="H11" s="23">
        <v>987</v>
      </c>
    </row>
    <row r="12" spans="2:8">
      <c r="B12" s="4" t="s">
        <v>88</v>
      </c>
      <c r="C12" s="4" t="s">
        <v>89</v>
      </c>
      <c r="D12" s="21">
        <v>0.5</v>
      </c>
      <c r="E12" s="21" t="s">
        <v>62</v>
      </c>
      <c r="F12" s="22" t="s">
        <v>70</v>
      </c>
      <c r="G12" s="23">
        <v>2985</v>
      </c>
      <c r="H12" s="23">
        <v>2167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2:H17"/>
  <sheetViews>
    <sheetView workbookViewId="0"/>
  </sheetViews>
  <sheetFormatPr defaultRowHeight="16.5"/>
  <cols>
    <col min="2" max="2" width="25.625" bestFit="1" customWidth="1"/>
    <col min="3" max="3" width="9.875" bestFit="1" customWidth="1"/>
    <col min="6" max="6" width="12.25" customWidth="1"/>
    <col min="8" max="8" width="14.125" bestFit="1" customWidth="1"/>
  </cols>
  <sheetData>
    <row r="2" spans="1:8" s="3" customFormat="1"/>
    <row r="5" spans="1:8">
      <c r="A5" s="4" t="s">
        <v>44</v>
      </c>
      <c r="B5" s="4" t="s">
        <v>45</v>
      </c>
      <c r="C5" s="5" t="s">
        <v>46</v>
      </c>
      <c r="D5" s="5" t="s">
        <v>47</v>
      </c>
      <c r="E5" s="5" t="s">
        <v>48</v>
      </c>
      <c r="F5" s="5" t="s">
        <v>94</v>
      </c>
      <c r="G5" s="5" t="s">
        <v>50</v>
      </c>
      <c r="H5" s="5" t="s">
        <v>95</v>
      </c>
    </row>
    <row r="6" spans="1:8">
      <c r="A6" s="4" t="s">
        <v>52</v>
      </c>
      <c r="B6" s="4" t="s">
        <v>53</v>
      </c>
      <c r="C6" s="21">
        <v>0.83333333333333337</v>
      </c>
      <c r="D6" s="21" t="s">
        <v>54</v>
      </c>
      <c r="E6" s="22" t="s">
        <v>55</v>
      </c>
      <c r="F6" s="24">
        <v>3525000</v>
      </c>
      <c r="G6" s="23">
        <v>1822</v>
      </c>
      <c r="H6" s="26">
        <v>17625</v>
      </c>
    </row>
    <row r="7" spans="1:8">
      <c r="A7" s="4" t="s">
        <v>56</v>
      </c>
      <c r="B7" s="4" t="s">
        <v>57</v>
      </c>
      <c r="C7" s="21">
        <v>0.875</v>
      </c>
      <c r="D7" s="21" t="s">
        <v>58</v>
      </c>
      <c r="E7" s="22" t="s">
        <v>59</v>
      </c>
      <c r="F7" s="24">
        <v>1298000</v>
      </c>
      <c r="G7" s="23">
        <v>4456</v>
      </c>
      <c r="H7" s="26">
        <v>6490</v>
      </c>
    </row>
    <row r="8" spans="1:8">
      <c r="A8" s="4" t="s">
        <v>60</v>
      </c>
      <c r="B8" s="4" t="s">
        <v>61</v>
      </c>
      <c r="C8" s="21">
        <v>0.36805555555555558</v>
      </c>
      <c r="D8" s="21" t="s">
        <v>62</v>
      </c>
      <c r="E8" s="22" t="s">
        <v>63</v>
      </c>
      <c r="F8" s="24">
        <v>1149000</v>
      </c>
      <c r="G8" s="23">
        <v>250</v>
      </c>
      <c r="H8" s="26">
        <v>5745</v>
      </c>
    </row>
    <row r="9" spans="1:8">
      <c r="A9" s="4" t="s">
        <v>64</v>
      </c>
      <c r="B9" s="4" t="s">
        <v>65</v>
      </c>
      <c r="C9" s="21">
        <v>0.91666666666666663</v>
      </c>
      <c r="D9" s="21" t="s">
        <v>54</v>
      </c>
      <c r="E9" s="22" t="s">
        <v>55</v>
      </c>
      <c r="F9" s="24">
        <v>3000000</v>
      </c>
      <c r="G9" s="23">
        <v>2344</v>
      </c>
      <c r="H9" s="26">
        <v>15000</v>
      </c>
    </row>
    <row r="10" spans="1:8">
      <c r="A10" s="4" t="s">
        <v>67</v>
      </c>
      <c r="B10" s="4" t="s">
        <v>68</v>
      </c>
      <c r="C10" s="21">
        <v>0.95833333333333337</v>
      </c>
      <c r="D10" s="21" t="s">
        <v>69</v>
      </c>
      <c r="E10" s="22" t="s">
        <v>70</v>
      </c>
      <c r="F10" s="24">
        <v>4580000</v>
      </c>
      <c r="G10" s="23">
        <v>854</v>
      </c>
      <c r="H10" s="26">
        <v>22900</v>
      </c>
    </row>
    <row r="11" spans="1:8">
      <c r="A11" s="4" t="s">
        <v>71</v>
      </c>
      <c r="B11" s="4" t="s">
        <v>72</v>
      </c>
      <c r="C11" s="21">
        <v>0.77777777777777779</v>
      </c>
      <c r="D11" s="21" t="s">
        <v>73</v>
      </c>
      <c r="E11" s="22" t="s">
        <v>74</v>
      </c>
      <c r="F11" s="24">
        <v>459000</v>
      </c>
      <c r="G11" s="23">
        <v>2587</v>
      </c>
      <c r="H11" s="26">
        <v>2295</v>
      </c>
    </row>
    <row r="12" spans="1:8">
      <c r="A12" s="4" t="s">
        <v>75</v>
      </c>
      <c r="B12" s="4" t="s">
        <v>76</v>
      </c>
      <c r="C12" s="21">
        <v>0.41666666666666669</v>
      </c>
      <c r="D12" s="21" t="s">
        <v>77</v>
      </c>
      <c r="E12" s="22" t="s">
        <v>59</v>
      </c>
      <c r="F12" s="24">
        <v>1598000</v>
      </c>
      <c r="G12" s="23">
        <v>3012</v>
      </c>
      <c r="H12" s="26">
        <v>7990</v>
      </c>
    </row>
    <row r="13" spans="1:8">
      <c r="A13" s="4" t="s">
        <v>78</v>
      </c>
      <c r="B13" s="4" t="s">
        <v>79</v>
      </c>
      <c r="C13" s="21">
        <v>0.53125</v>
      </c>
      <c r="D13" s="21" t="s">
        <v>80</v>
      </c>
      <c r="E13" s="5" t="s">
        <v>81</v>
      </c>
      <c r="F13" s="24">
        <v>2489000</v>
      </c>
      <c r="G13" s="24">
        <v>1584</v>
      </c>
      <c r="H13" s="27">
        <v>12445</v>
      </c>
    </row>
    <row r="14" spans="1:8">
      <c r="A14" s="4" t="s">
        <v>82</v>
      </c>
      <c r="B14" s="4" t="s">
        <v>83</v>
      </c>
      <c r="C14" s="21">
        <v>0.45833333333333331</v>
      </c>
      <c r="D14" s="21" t="s">
        <v>54</v>
      </c>
      <c r="E14" s="22" t="s">
        <v>55</v>
      </c>
      <c r="F14" s="24">
        <v>4425000</v>
      </c>
      <c r="G14" s="23">
        <v>987</v>
      </c>
      <c r="H14" s="26">
        <v>22125</v>
      </c>
    </row>
    <row r="15" spans="1:8">
      <c r="A15" s="4" t="s">
        <v>84</v>
      </c>
      <c r="B15" s="4" t="s">
        <v>85</v>
      </c>
      <c r="C15" s="21">
        <v>0.72569444444444453</v>
      </c>
      <c r="D15" s="21" t="s">
        <v>58</v>
      </c>
      <c r="E15" s="22" t="s">
        <v>87</v>
      </c>
      <c r="F15" s="24">
        <v>2149000</v>
      </c>
      <c r="G15" s="23">
        <v>257</v>
      </c>
      <c r="H15" s="26">
        <v>0</v>
      </c>
    </row>
    <row r="16" spans="1:8">
      <c r="A16" s="4" t="s">
        <v>88</v>
      </c>
      <c r="B16" s="4" t="s">
        <v>89</v>
      </c>
      <c r="C16" s="21">
        <v>0.5</v>
      </c>
      <c r="D16" s="21" t="s">
        <v>62</v>
      </c>
      <c r="E16" s="22" t="s">
        <v>70</v>
      </c>
      <c r="F16" s="24">
        <v>2985000</v>
      </c>
      <c r="G16" s="23">
        <v>2167</v>
      </c>
      <c r="H16" s="26">
        <v>14925</v>
      </c>
    </row>
    <row r="17" spans="1:8">
      <c r="A17" s="4" t="s">
        <v>90</v>
      </c>
      <c r="B17" s="4" t="s">
        <v>91</v>
      </c>
      <c r="C17" s="25">
        <v>0.75</v>
      </c>
      <c r="D17" s="25" t="s">
        <v>92</v>
      </c>
      <c r="E17" s="22" t="s">
        <v>55</v>
      </c>
      <c r="F17" s="24">
        <v>2500000</v>
      </c>
      <c r="G17" s="23">
        <v>1788</v>
      </c>
      <c r="H17" s="2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7"/>
  <sheetViews>
    <sheetView workbookViewId="0">
      <selection activeCell="B42" sqref="B42"/>
    </sheetView>
  </sheetViews>
  <sheetFormatPr defaultRowHeight="16.5"/>
  <cols>
    <col min="2" max="2" width="15.125" customWidth="1"/>
    <col min="3" max="3" width="13.125" customWidth="1"/>
    <col min="4" max="4" width="13.25" customWidth="1"/>
  </cols>
  <sheetData>
    <row r="1" spans="1:9">
      <c r="A1" t="s">
        <v>0</v>
      </c>
      <c r="D1" s="3"/>
    </row>
    <row r="3" spans="1:9">
      <c r="A3" t="s">
        <v>1</v>
      </c>
      <c r="B3" t="s">
        <v>2</v>
      </c>
      <c r="C3" t="s">
        <v>3</v>
      </c>
      <c r="D3" t="s">
        <v>4</v>
      </c>
      <c r="I3" t="s">
        <v>9</v>
      </c>
    </row>
    <row r="4" spans="1:9">
      <c r="I4" t="s">
        <v>8</v>
      </c>
    </row>
    <row r="5" spans="1:9">
      <c r="I5" t="s">
        <v>5</v>
      </c>
    </row>
    <row r="6" spans="1:9">
      <c r="I6" t="s">
        <v>6</v>
      </c>
    </row>
    <row r="7" spans="1:9">
      <c r="I7" t="s">
        <v>7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계약">
          <controlPr defaultSize="0" autoLine="0" autoPict="0" r:id="rId4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3" name="cmd계약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2021-04-18T04:44:57Z</dcterms:created>
  <dcterms:modified xsi:type="dcterms:W3CDTF">2023-09-09T08:07:04Z</dcterms:modified>
</cp:coreProperties>
</file>