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상시공략집\2024컴활1급(상시)\스프레드시트\상시공략문제\"/>
    </mc:Choice>
  </mc:AlternateContent>
  <xr:revisionPtr revIDLastSave="0" documentId="13_ncr:1_{E2BC28B0-E7E9-4630-9858-F9D46F7BAED8}" xr6:coauthVersionLast="47" xr6:coauthVersionMax="47" xr10:uidLastSave="{00000000-0000-0000-0000-000000000000}"/>
  <bookViews>
    <workbookView xWindow="60" yWindow="210" windowWidth="18840" windowHeight="15405" tabRatio="786" xr2:uid="{00000000-000D-0000-FFFF-FFFF00000000}"/>
  </bookViews>
  <sheets>
    <sheet name="기본작업-1" sheetId="3" r:id="rId1"/>
    <sheet name="기본작업-2" sheetId="12" r:id="rId2"/>
    <sheet name="계산작업" sheetId="5" r:id="rId3"/>
    <sheet name="분석작업-1" sheetId="6" r:id="rId4"/>
    <sheet name="분석작업-2" sheetId="11" r:id="rId5"/>
    <sheet name="기타작업-1" sheetId="9" r:id="rId6"/>
    <sheet name="기타작업-2" sheetId="10" r:id="rId7"/>
    <sheet name="기타작업-3" sheetId="1" r:id="rId8"/>
  </sheets>
  <definedNames>
    <definedName name="_xlnm._FilterDatabase" localSheetId="0" hidden="1">'기본작업-1'!$A$2:$E$18</definedName>
    <definedName name="_xlnm.Criteria" localSheetId="0">'기본작업-1'!#REF!</definedName>
    <definedName name="_xlnm.Extract" localSheetId="0">'기본작업-1'!#REF!</definedName>
    <definedName name="MS_Access_Database_Query_2" localSheetId="6">'기타작업-2'!$A$5:$F$22</definedName>
    <definedName name="MS_Access_Database_Query_2" localSheetId="7">'기타작업-3'!$B$4:$G$21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2" l="1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3" i="12"/>
  <c r="G29" i="11" l="1"/>
  <c r="G28" i="11"/>
  <c r="G27" i="11"/>
  <c r="G26" i="11"/>
  <c r="G25" i="11"/>
  <c r="G24" i="11"/>
  <c r="G23" i="11"/>
  <c r="G22" i="11"/>
  <c r="G21" i="11"/>
  <c r="G20" i="11"/>
  <c r="G19" i="11"/>
  <c r="G18" i="11"/>
  <c r="G17" i="11"/>
  <c r="G16" i="11"/>
  <c r="G15" i="11"/>
  <c r="G14" i="11"/>
  <c r="G13" i="11"/>
  <c r="G12" i="11"/>
  <c r="G11" i="11"/>
  <c r="G10" i="11"/>
  <c r="G9" i="11"/>
  <c r="G8" i="11"/>
  <c r="G7" i="11"/>
  <c r="G6" i="11"/>
  <c r="G5" i="11"/>
  <c r="G4" i="11"/>
  <c r="G3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E:\영진(2022년)\기출예상문제집\1급\엑셀\예상6회\꽃집청년매출.accdb;DefaultDir=E:\영진(2022년)\기출예상문제집\1급\엑셀\예상6회;DriverId=25;FIL=MS Access;MaxBufferSize=2048;PageTimeout=5;" command="SELECT `5월`.상품코드, `5월`.상품명, `5월`.구분, `5월`.판매가, `5월`.주문수량, `5월`.매출금액, `5월`.증감률_x000d__x000a_FROM `5월` `5월`"/>
  </connection>
  <connection id="2" xr16:uid="{00000000-0015-0000-FFFF-FFFF01000000}" name="연결1" type="1" refreshedVersion="2" background="1" saveData="1">
    <dbPr connection="DSN=MS Access Database;DBQ=D:\김세열자료\컴활실기\문제출제3\모집현황.mdb;DefaultDir=D:\김세열자료\컴활실기\문제출제3;DriverId=25;FIL=MS Access;MaxBufferSize=2048;PageTimeout=5;" command="SELECT 모집현황.업체명, 모집현황.구인수, 모집현황.전년대비구인수, 모집현황.소재지, 모집현황.월평균급여, 모집현황.모집직종_x000d__x000a_FROM `D:\김세열자료\컴활실기\문제출제3\모집현황`.모집현황 모집현황_x000d__x000a_WHERE (모집현황.월평균급여&gt;=1000000.0) AND (모집현황.모집직종&lt;&gt;'영어' And 모집현황.모집직종&lt;&gt;'행정')_x000d__x000a_ORDER BY 모집현황.소재지 DESC, 모집현황.업체명"/>
  </connection>
  <connection id="3" xr16:uid="{00000000-0015-0000-FFFF-FFFF02000000}" name="연결11" type="1" refreshedVersion="2" background="1" saveData="1">
    <dbPr connection="DSN=MS Access Database;DBQ=D:\김세열자료\컴활실기\문제출제3\모집현황.mdb;DefaultDir=D:\김세열자료\컴활실기\문제출제3;DriverId=25;FIL=MS Access;MaxBufferSize=2048;PageTimeout=5;" command="SELECT 모집현황.업체명, 모집현황.구인수, 모집현황.전년대비구인수, 모집현황.소재지, 모집현황.월평균급여, 모집현황.모집직종_x000d__x000a_FROM `D:\김세열자료\컴활실기\문제출제3\모집현황`.모집현황 모집현황_x000d__x000a_WHERE (모집현황.월평균급여&gt;=1000000.0) AND (모집현황.모집직종&lt;&gt;'영어' And 모집현황.모집직종&lt;&gt;'행정')_x000d__x000a_ORDER BY 모집현황.소재지 DESC, 모집현황.업체명"/>
  </connection>
</connections>
</file>

<file path=xl/sharedStrings.xml><?xml version="1.0" encoding="utf-8"?>
<sst xmlns="http://schemas.openxmlformats.org/spreadsheetml/2006/main" count="508" uniqueCount="261">
  <si>
    <t>업체명</t>
  </si>
  <si>
    <t>구인수</t>
  </si>
  <si>
    <t>전년대비구인수</t>
  </si>
  <si>
    <t>소재지</t>
  </si>
  <si>
    <t>모집직종</t>
  </si>
  <si>
    <t>신기루</t>
  </si>
  <si>
    <t>인천</t>
  </si>
  <si>
    <t>아름</t>
  </si>
  <si>
    <t>부산</t>
  </si>
  <si>
    <t>알기로</t>
  </si>
  <si>
    <t>대전</t>
  </si>
  <si>
    <t>도미레</t>
  </si>
  <si>
    <t>새로운</t>
  </si>
  <si>
    <t>대구</t>
  </si>
  <si>
    <t>창조</t>
  </si>
  <si>
    <t>개혁</t>
  </si>
  <si>
    <t>서울</t>
  </si>
  <si>
    <t>무한</t>
  </si>
  <si>
    <t>나기</t>
  </si>
  <si>
    <t>미도</t>
  </si>
  <si>
    <t>구신</t>
  </si>
  <si>
    <t>모기</t>
  </si>
  <si>
    <t>신지</t>
  </si>
  <si>
    <t>이상해</t>
  </si>
  <si>
    <t>대기</t>
  </si>
  <si>
    <t>한글로</t>
  </si>
  <si>
    <t>연평균급여</t>
    <phoneticPr fontId="2" type="noConversion"/>
  </si>
  <si>
    <t>7750 만원</t>
    <phoneticPr fontId="2" type="noConversion"/>
  </si>
  <si>
    <t>6200 만원</t>
    <phoneticPr fontId="2" type="noConversion"/>
  </si>
  <si>
    <t>8430 만원</t>
    <phoneticPr fontId="2" type="noConversion"/>
  </si>
  <si>
    <t>5200 만원</t>
    <phoneticPr fontId="2" type="noConversion"/>
  </si>
  <si>
    <t>4000 만원</t>
    <phoneticPr fontId="2" type="noConversion"/>
  </si>
  <si>
    <t>3140 만원</t>
    <phoneticPr fontId="2" type="noConversion"/>
  </si>
  <si>
    <t>9990 만원</t>
    <phoneticPr fontId="2" type="noConversion"/>
  </si>
  <si>
    <t>5100 만원</t>
    <phoneticPr fontId="2" type="noConversion"/>
  </si>
  <si>
    <t>9800 만원</t>
    <phoneticPr fontId="2" type="noConversion"/>
  </si>
  <si>
    <t>7140 만원</t>
    <phoneticPr fontId="2" type="noConversion"/>
  </si>
  <si>
    <t>6920 만원</t>
    <phoneticPr fontId="2" type="noConversion"/>
  </si>
  <si>
    <t>5780 만원</t>
    <phoneticPr fontId="2" type="noConversion"/>
  </si>
  <si>
    <t>4500 만원</t>
    <phoneticPr fontId="2" type="noConversion"/>
  </si>
  <si>
    <t>3100 만원</t>
    <phoneticPr fontId="2" type="noConversion"/>
  </si>
  <si>
    <t>4100 만원</t>
    <phoneticPr fontId="2" type="noConversion"/>
  </si>
  <si>
    <t>5380 만원</t>
    <phoneticPr fontId="2" type="noConversion"/>
  </si>
  <si>
    <t>유통</t>
    <phoneticPr fontId="2" type="noConversion"/>
  </si>
  <si>
    <t>개발자</t>
    <phoneticPr fontId="2" type="noConversion"/>
  </si>
  <si>
    <t>영업</t>
    <phoneticPr fontId="2" type="noConversion"/>
  </si>
  <si>
    <t>생산</t>
    <phoneticPr fontId="2" type="noConversion"/>
  </si>
  <si>
    <t>서비스</t>
    <phoneticPr fontId="2" type="noConversion"/>
  </si>
  <si>
    <t>개발자</t>
    <phoneticPr fontId="2" type="noConversion"/>
  </si>
  <si>
    <t>유통</t>
    <phoneticPr fontId="2" type="noConversion"/>
  </si>
  <si>
    <t>개발자</t>
    <phoneticPr fontId="2" type="noConversion"/>
  </si>
  <si>
    <t>서비스</t>
    <phoneticPr fontId="2" type="noConversion"/>
  </si>
  <si>
    <t>영업</t>
    <phoneticPr fontId="2" type="noConversion"/>
  </si>
  <si>
    <t>영업</t>
    <phoneticPr fontId="2" type="noConversion"/>
  </si>
  <si>
    <t>생산</t>
    <phoneticPr fontId="2" type="noConversion"/>
  </si>
  <si>
    <t>생산</t>
    <phoneticPr fontId="2" type="noConversion"/>
  </si>
  <si>
    <t>부서</t>
  </si>
  <si>
    <t>기본급</t>
  </si>
  <si>
    <t>근속수당</t>
  </si>
  <si>
    <t>기획부</t>
  </si>
  <si>
    <t>총무부</t>
  </si>
  <si>
    <t>판매부</t>
  </si>
  <si>
    <t>홍보부</t>
  </si>
  <si>
    <t>매출일</t>
    <phoneticPr fontId="2" type="noConversion"/>
  </si>
  <si>
    <t>제품코드</t>
  </si>
  <si>
    <t>제품명</t>
  </si>
  <si>
    <t>AP-4005</t>
  </si>
  <si>
    <t>TA-1218</t>
    <phoneticPr fontId="2" type="noConversion"/>
  </si>
  <si>
    <t>AM-1238</t>
  </si>
  <si>
    <t>SMV-1460</t>
  </si>
  <si>
    <t>LA-1413</t>
    <phoneticPr fontId="2" type="noConversion"/>
  </si>
  <si>
    <t>WT-321</t>
  </si>
  <si>
    <t>RS-9150</t>
  </si>
  <si>
    <t>LA-753</t>
    <phoneticPr fontId="2" type="noConversion"/>
  </si>
  <si>
    <t>MM-818</t>
  </si>
  <si>
    <t>LA-720</t>
    <phoneticPr fontId="2" type="noConversion"/>
  </si>
  <si>
    <t>MF-121</t>
  </si>
  <si>
    <t>모델명</t>
  </si>
  <si>
    <t>방식</t>
  </si>
  <si>
    <t>제조사</t>
  </si>
  <si>
    <t>가격</t>
    <phoneticPr fontId="2" type="noConversion"/>
  </si>
  <si>
    <t>BK1-021</t>
  </si>
  <si>
    <t>에어셀카모</t>
  </si>
  <si>
    <t>전기요</t>
  </si>
  <si>
    <t>보국전자</t>
  </si>
  <si>
    <t>RA2-019</t>
  </si>
  <si>
    <t>보헤미안무자계</t>
  </si>
  <si>
    <t>전기매트</t>
  </si>
  <si>
    <t>리앤데코</t>
  </si>
  <si>
    <t>HL3-099</t>
  </si>
  <si>
    <t>황토온돌마루</t>
    <phoneticPr fontId="2" type="noConversion"/>
  </si>
  <si>
    <t>온수매트</t>
  </si>
  <si>
    <t>한일의료기</t>
    <phoneticPr fontId="2" type="noConversion"/>
  </si>
  <si>
    <t>RD1-035</t>
  </si>
  <si>
    <t>라디라이트</t>
  </si>
  <si>
    <t>라디언스</t>
  </si>
  <si>
    <t>OE1-082</t>
  </si>
  <si>
    <t>뉴드림스파</t>
    <phoneticPr fontId="2" type="noConversion"/>
  </si>
  <si>
    <t>일월전자</t>
  </si>
  <si>
    <t>OE1-076</t>
  </si>
  <si>
    <t>황토보료</t>
  </si>
  <si>
    <t>BE2-073</t>
  </si>
  <si>
    <t>보이로전기요</t>
  </si>
  <si>
    <t>보이로</t>
  </si>
  <si>
    <t>HE2-052</t>
  </si>
  <si>
    <t>올크리니베이직</t>
  </si>
  <si>
    <t>한일전기</t>
  </si>
  <si>
    <t>소비전력(W)</t>
    <phoneticPr fontId="2" type="noConversion"/>
  </si>
  <si>
    <t>겨울 가전 상품 정보</t>
    <phoneticPr fontId="2" type="noConversion"/>
  </si>
  <si>
    <t>조회 시간 :</t>
    <phoneticPr fontId="2" type="noConversion"/>
  </si>
  <si>
    <t>오후</t>
    <phoneticPr fontId="2" type="noConversion"/>
  </si>
  <si>
    <t>사원코드</t>
  </si>
  <si>
    <t>사원명</t>
  </si>
  <si>
    <t>근속년수</t>
  </si>
  <si>
    <t>실수령액</t>
  </si>
  <si>
    <t>C9832012</t>
  </si>
  <si>
    <t>박민수</t>
  </si>
  <si>
    <t>G7701001</t>
  </si>
  <si>
    <t>오덕환</t>
  </si>
  <si>
    <t>G7701002</t>
  </si>
  <si>
    <t>김복용</t>
  </si>
  <si>
    <t>G7701003</t>
  </si>
  <si>
    <t>박태석</t>
  </si>
  <si>
    <t>G9701004</t>
  </si>
  <si>
    <t>김민자</t>
  </si>
  <si>
    <t>G9701005</t>
  </si>
  <si>
    <t>임병호</t>
  </si>
  <si>
    <t>G9701006</t>
  </si>
  <si>
    <t>정민영</t>
  </si>
  <si>
    <t>G9832012</t>
  </si>
  <si>
    <t>김태호</t>
  </si>
  <si>
    <t>G9832013</t>
  </si>
  <si>
    <t>김광수</t>
  </si>
  <si>
    <t>G9832014</t>
  </si>
  <si>
    <t>김영남</t>
  </si>
  <si>
    <t>H9701005</t>
  </si>
  <si>
    <t>여해경</t>
  </si>
  <si>
    <t>H9701006</t>
  </si>
  <si>
    <t>김현빈</t>
  </si>
  <si>
    <t>H9701007</t>
  </si>
  <si>
    <t>홍다현</t>
  </si>
  <si>
    <t>H9945311</t>
  </si>
  <si>
    <t>이기자</t>
  </si>
  <si>
    <t>H9945312</t>
  </si>
  <si>
    <t>김민서</t>
  </si>
  <si>
    <t>H9945313</t>
  </si>
  <si>
    <t>이승준</t>
  </si>
  <si>
    <t>P9701003</t>
  </si>
  <si>
    <t>안도연</t>
  </si>
  <si>
    <t>P9701004</t>
  </si>
  <si>
    <t>이승현</t>
  </si>
  <si>
    <t>P9701005</t>
  </si>
  <si>
    <t>김두아</t>
  </si>
  <si>
    <t>P9701006</t>
  </si>
  <si>
    <t>이승주</t>
  </si>
  <si>
    <t>P9701007</t>
  </si>
  <si>
    <t>김정석</t>
  </si>
  <si>
    <t>P9701008</t>
  </si>
  <si>
    <t>임희윤</t>
  </si>
  <si>
    <t>P9832013</t>
  </si>
  <si>
    <t>강승래</t>
  </si>
  <si>
    <t>P9832015</t>
  </si>
  <si>
    <t>이다혜</t>
  </si>
  <si>
    <t>SWP-431</t>
    <phoneticPr fontId="2" type="noConversion"/>
  </si>
  <si>
    <t>RE-54</t>
    <phoneticPr fontId="2" type="noConversion"/>
  </si>
  <si>
    <t>SEM-75</t>
    <phoneticPr fontId="2" type="noConversion"/>
  </si>
  <si>
    <t>TA-343</t>
    <phoneticPr fontId="2" type="noConversion"/>
  </si>
  <si>
    <t>SEM-74</t>
    <phoneticPr fontId="2" type="noConversion"/>
  </si>
  <si>
    <t>가격</t>
    <phoneticPr fontId="2" type="noConversion"/>
  </si>
  <si>
    <t>수량</t>
    <phoneticPr fontId="2" type="noConversion"/>
  </si>
  <si>
    <t>에어팟</t>
    <phoneticPr fontId="2" type="noConversion"/>
  </si>
  <si>
    <t>닌텐도 스위치</t>
    <phoneticPr fontId="2" type="noConversion"/>
  </si>
  <si>
    <t>공기청정기</t>
    <phoneticPr fontId="2" type="noConversion"/>
  </si>
  <si>
    <t>드럼세탁기</t>
    <phoneticPr fontId="2" type="noConversion"/>
  </si>
  <si>
    <t>식기세척기</t>
    <phoneticPr fontId="2" type="noConversion"/>
  </si>
  <si>
    <t>음식물 처리기</t>
    <phoneticPr fontId="2" type="noConversion"/>
  </si>
  <si>
    <t>냉장고</t>
    <phoneticPr fontId="2" type="noConversion"/>
  </si>
  <si>
    <t>에어프라이어</t>
    <phoneticPr fontId="2" type="noConversion"/>
  </si>
  <si>
    <t>압력받솥</t>
    <phoneticPr fontId="2" type="noConversion"/>
  </si>
  <si>
    <t>인덕션</t>
    <phoneticPr fontId="2" type="noConversion"/>
  </si>
  <si>
    <t>김치냉장고</t>
    <phoneticPr fontId="2" type="noConversion"/>
  </si>
  <si>
    <t>건조기</t>
    <phoneticPr fontId="2" type="noConversion"/>
  </si>
  <si>
    <t>로봇청소기</t>
    <phoneticPr fontId="2" type="noConversion"/>
  </si>
  <si>
    <t>무선청소기</t>
    <phoneticPr fontId="2" type="noConversion"/>
  </si>
  <si>
    <t>스타일러</t>
    <phoneticPr fontId="2" type="noConversion"/>
  </si>
  <si>
    <t>제습기</t>
    <phoneticPr fontId="2" type="noConversion"/>
  </si>
  <si>
    <t>금액</t>
    <phoneticPr fontId="2" type="noConversion"/>
  </si>
  <si>
    <t>[표1]</t>
    <phoneticPr fontId="2" type="noConversion"/>
  </si>
  <si>
    <t>[표1]</t>
    <phoneticPr fontId="2" type="noConversion"/>
  </si>
  <si>
    <t>[표2]</t>
    <phoneticPr fontId="2" type="noConversion"/>
  </si>
  <si>
    <t>상담번호</t>
    <phoneticPr fontId="2" type="noConversion"/>
  </si>
  <si>
    <t>여행기간</t>
    <phoneticPr fontId="2" type="noConversion"/>
  </si>
  <si>
    <t>숙박상품</t>
    <phoneticPr fontId="2" type="noConversion"/>
  </si>
  <si>
    <t>상담일자</t>
    <phoneticPr fontId="2" type="noConversion"/>
  </si>
  <si>
    <t>확정여부</t>
    <phoneticPr fontId="2" type="noConversion"/>
  </si>
  <si>
    <t>렌트카</t>
    <phoneticPr fontId="2" type="noConversion"/>
  </si>
  <si>
    <t>렌트시간</t>
    <phoneticPr fontId="2" type="noConversion"/>
  </si>
  <si>
    <t>렌트비용</t>
    <phoneticPr fontId="2" type="noConversion"/>
  </si>
  <si>
    <t>할인비용</t>
    <phoneticPr fontId="2" type="noConversion"/>
  </si>
  <si>
    <t>호텔</t>
    <phoneticPr fontId="2" type="noConversion"/>
  </si>
  <si>
    <t>리조트</t>
    <phoneticPr fontId="2" type="noConversion"/>
  </si>
  <si>
    <t>리조트</t>
    <phoneticPr fontId="2" type="noConversion"/>
  </si>
  <si>
    <t>펜션</t>
    <phoneticPr fontId="2" type="noConversion"/>
  </si>
  <si>
    <t>확정</t>
    <phoneticPr fontId="2" type="noConversion"/>
  </si>
  <si>
    <t>RV</t>
    <phoneticPr fontId="2" type="noConversion"/>
  </si>
  <si>
    <t>RV</t>
    <phoneticPr fontId="2" type="noConversion"/>
  </si>
  <si>
    <t>21-002</t>
  </si>
  <si>
    <t>미정</t>
    <phoneticPr fontId="2" type="noConversion"/>
  </si>
  <si>
    <t>소형</t>
    <phoneticPr fontId="2" type="noConversion"/>
  </si>
  <si>
    <t>미정</t>
    <phoneticPr fontId="2" type="noConversion"/>
  </si>
  <si>
    <t>21-003</t>
  </si>
  <si>
    <t>확정</t>
    <phoneticPr fontId="2" type="noConversion"/>
  </si>
  <si>
    <t>승합</t>
    <phoneticPr fontId="2" type="noConversion"/>
  </si>
  <si>
    <t>21-004</t>
  </si>
  <si>
    <t>확정</t>
    <phoneticPr fontId="2" type="noConversion"/>
  </si>
  <si>
    <t>[표3]</t>
    <phoneticPr fontId="2" type="noConversion"/>
  </si>
  <si>
    <t>예약건수</t>
    <phoneticPr fontId="2" type="noConversion"/>
  </si>
  <si>
    <t>21-005</t>
  </si>
  <si>
    <t>중형</t>
    <phoneticPr fontId="2" type="noConversion"/>
  </si>
  <si>
    <t>중형</t>
    <phoneticPr fontId="2" type="noConversion"/>
  </si>
  <si>
    <t>펜션</t>
    <phoneticPr fontId="2" type="noConversion"/>
  </si>
  <si>
    <t>21-006</t>
  </si>
  <si>
    <t>소형</t>
    <phoneticPr fontId="2" type="noConversion"/>
  </si>
  <si>
    <t>21-007</t>
  </si>
  <si>
    <t>21-008</t>
  </si>
  <si>
    <t>21-009</t>
  </si>
  <si>
    <t>중형</t>
    <phoneticPr fontId="2" type="noConversion"/>
  </si>
  <si>
    <t>21-010</t>
  </si>
  <si>
    <t>21-011</t>
  </si>
  <si>
    <t>[표4]</t>
    <phoneticPr fontId="2" type="noConversion"/>
  </si>
  <si>
    <t>21-012</t>
  </si>
  <si>
    <t>21-013</t>
  </si>
  <si>
    <t>21-014</t>
  </si>
  <si>
    <t>21-015</t>
  </si>
  <si>
    <t>21-016</t>
  </si>
  <si>
    <t>21-017</t>
  </si>
  <si>
    <t>21-018</t>
  </si>
  <si>
    <t>미정</t>
    <phoneticPr fontId="2" type="noConversion"/>
  </si>
  <si>
    <t>21-019</t>
  </si>
  <si>
    <t>호텔</t>
    <phoneticPr fontId="2" type="noConversion"/>
  </si>
  <si>
    <t>21-020</t>
  </si>
  <si>
    <t>21-021</t>
  </si>
  <si>
    <t>21-022</t>
  </si>
  <si>
    <t>21-023</t>
  </si>
  <si>
    <t>21-024</t>
  </si>
  <si>
    <t>예약률</t>
    <phoneticPr fontId="2" type="noConversion"/>
  </si>
  <si>
    <t>숙박일수</t>
    <phoneticPr fontId="2" type="noConversion"/>
  </si>
  <si>
    <t>21-001</t>
    <phoneticPr fontId="2" type="noConversion"/>
  </si>
  <si>
    <t xml:space="preserve"> 3 박</t>
    <phoneticPr fontId="2" type="noConversion"/>
  </si>
  <si>
    <t xml:space="preserve"> 3 박</t>
    <phoneticPr fontId="2" type="noConversion"/>
  </si>
  <si>
    <t xml:space="preserve"> 4 박</t>
    <phoneticPr fontId="2" type="noConversion"/>
  </si>
  <si>
    <t xml:space="preserve"> 4 박</t>
    <phoneticPr fontId="2" type="noConversion"/>
  </si>
  <si>
    <t xml:space="preserve"> 5 박</t>
    <phoneticPr fontId="2" type="noConversion"/>
  </si>
  <si>
    <t xml:space="preserve"> 5 박</t>
    <phoneticPr fontId="2" type="noConversion"/>
  </si>
  <si>
    <t xml:space="preserve"> 1 박</t>
    <phoneticPr fontId="2" type="noConversion"/>
  </si>
  <si>
    <t xml:space="preserve"> 6 박</t>
    <phoneticPr fontId="2" type="noConversion"/>
  </si>
  <si>
    <t xml:space="preserve"> 5 박</t>
    <phoneticPr fontId="2" type="noConversion"/>
  </si>
  <si>
    <t xml:space="preserve"> 3 박</t>
    <phoneticPr fontId="2" type="noConversion"/>
  </si>
  <si>
    <t xml:space="preserve"> 2 박</t>
    <phoneticPr fontId="2" type="noConversion"/>
  </si>
  <si>
    <t xml:space="preserve"> 1 박</t>
    <phoneticPr fontId="2" type="noConversion"/>
  </si>
  <si>
    <t xml:space="preserve"> 3 박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</si>
</sst>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m&quot;월&quot;\ d&quot;일&quot;;@"/>
    <numFmt numFmtId="177" formatCode="General\ &quot;시간&quot;"/>
  </numFmts>
  <fonts count="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1" applyNumberFormat="1" applyFont="1" applyBorder="1" applyAlignment="1">
      <alignment horizontal="center" vertical="center"/>
    </xf>
    <xf numFmtId="41" fontId="3" fillId="0" borderId="1" xfId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0" fontId="4" fillId="0" borderId="0" xfId="0" applyFont="1">
      <alignment vertical="center"/>
    </xf>
    <xf numFmtId="41" fontId="4" fillId="0" borderId="1" xfId="1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 wrapText="1"/>
    </xf>
    <xf numFmtId="41" fontId="4" fillId="0" borderId="1" xfId="1" applyFont="1" applyFill="1" applyBorder="1">
      <alignment vertical="center"/>
    </xf>
    <xf numFmtId="0" fontId="5" fillId="0" borderId="1" xfId="0" applyFont="1" applyFill="1" applyBorder="1" applyAlignment="1">
      <alignment horizontal="center" vertical="center"/>
    </xf>
    <xf numFmtId="41" fontId="0" fillId="0" borderId="1" xfId="0" applyNumberFormat="1" applyBorder="1">
      <alignment vertical="center"/>
    </xf>
    <xf numFmtId="0" fontId="3" fillId="0" borderId="1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0" xfId="1" applyFont="1">
      <alignment vertical="center"/>
    </xf>
    <xf numFmtId="41" fontId="0" fillId="2" borderId="1" xfId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4">
    <dxf>
      <font>
        <b val="0"/>
        <i/>
        <condense val="0"/>
        <extend val="0"/>
      </font>
    </dxf>
    <dxf>
      <font>
        <b val="0"/>
        <i/>
        <condense val="0"/>
        <extend val="0"/>
      </font>
    </dxf>
    <dxf>
      <font>
        <b val="0"/>
        <i/>
        <condense val="0"/>
        <extend val="0"/>
      </font>
    </dxf>
    <dxf>
      <font>
        <b val="0"/>
        <i/>
        <condense val="0"/>
        <extend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'기타작업-1'!$F$2</c:f>
              <c:strCache>
                <c:ptCount val="1"/>
                <c:pt idx="0">
                  <c:v>가격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'기타작업-1'!$C$3:$C$10</c:f>
              <c:strCache>
                <c:ptCount val="8"/>
                <c:pt idx="0">
                  <c:v>에어셀카모</c:v>
                </c:pt>
                <c:pt idx="1">
                  <c:v>보헤미안무자계</c:v>
                </c:pt>
                <c:pt idx="2">
                  <c:v>황토온돌마루</c:v>
                </c:pt>
                <c:pt idx="3">
                  <c:v>라디라이트</c:v>
                </c:pt>
                <c:pt idx="4">
                  <c:v>뉴드림스파</c:v>
                </c:pt>
                <c:pt idx="5">
                  <c:v>황토보료</c:v>
                </c:pt>
                <c:pt idx="6">
                  <c:v>보이로전기요</c:v>
                </c:pt>
                <c:pt idx="7">
                  <c:v>올크리니베이직</c:v>
                </c:pt>
              </c:strCache>
            </c:strRef>
          </c:cat>
          <c:val>
            <c:numRef>
              <c:f>'기타작업-1'!$F$3:$F$10</c:f>
              <c:numCache>
                <c:formatCode>_(* #,##0_);_(* \(#,##0\);_(* "-"_);_(@_)</c:formatCode>
                <c:ptCount val="8"/>
                <c:pt idx="0">
                  <c:v>83300</c:v>
                </c:pt>
                <c:pt idx="1">
                  <c:v>151260</c:v>
                </c:pt>
                <c:pt idx="2">
                  <c:v>220760</c:v>
                </c:pt>
                <c:pt idx="3">
                  <c:v>210000</c:v>
                </c:pt>
                <c:pt idx="4">
                  <c:v>80860</c:v>
                </c:pt>
                <c:pt idx="5">
                  <c:v>139860</c:v>
                </c:pt>
                <c:pt idx="6">
                  <c:v>163800</c:v>
                </c:pt>
                <c:pt idx="7">
                  <c:v>95000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AE-4238-BA26-9A5FC9CE0165}"/>
            </c:ext>
          </c:extLst>
        </c:ser>
        <c:ser>
          <c:idx val="1"/>
          <c:order val="1"/>
          <c:tx>
            <c:strRef>
              <c:f>'기타작업-1'!$G$2</c:f>
              <c:strCache>
                <c:ptCount val="1"/>
                <c:pt idx="0">
                  <c:v>소비전력(W)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'기타작업-1'!$C$3:$C$10</c:f>
              <c:strCache>
                <c:ptCount val="8"/>
                <c:pt idx="0">
                  <c:v>에어셀카모</c:v>
                </c:pt>
                <c:pt idx="1">
                  <c:v>보헤미안무자계</c:v>
                </c:pt>
                <c:pt idx="2">
                  <c:v>황토온돌마루</c:v>
                </c:pt>
                <c:pt idx="3">
                  <c:v>라디라이트</c:v>
                </c:pt>
                <c:pt idx="4">
                  <c:v>뉴드림스파</c:v>
                </c:pt>
                <c:pt idx="5">
                  <c:v>황토보료</c:v>
                </c:pt>
                <c:pt idx="6">
                  <c:v>보이로전기요</c:v>
                </c:pt>
                <c:pt idx="7">
                  <c:v>올크리니베이직</c:v>
                </c:pt>
              </c:strCache>
            </c:strRef>
          </c:cat>
          <c:val>
            <c:numRef>
              <c:f>'기타작업-1'!$G$3:$G$10</c:f>
              <c:numCache>
                <c:formatCode>_(* #,##0_);_(* \(#,##0\);_(* "-"_);_(@_)</c:formatCode>
                <c:ptCount val="8"/>
                <c:pt idx="0">
                  <c:v>95</c:v>
                </c:pt>
                <c:pt idx="1">
                  <c:v>190</c:v>
                </c:pt>
                <c:pt idx="2">
                  <c:v>350</c:v>
                </c:pt>
                <c:pt idx="3">
                  <c:v>75</c:v>
                </c:pt>
                <c:pt idx="4">
                  <c:v>240</c:v>
                </c:pt>
                <c:pt idx="5">
                  <c:v>180</c:v>
                </c:pt>
                <c:pt idx="6">
                  <c:v>120</c:v>
                </c:pt>
                <c:pt idx="7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AE-4238-BA26-9A5FC9CE0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2137648"/>
        <c:axId val="232144304"/>
      </c:barChart>
      <c:catAx>
        <c:axId val="232137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32144304"/>
        <c:crosses val="autoZero"/>
        <c:auto val="1"/>
        <c:lblAlgn val="ctr"/>
        <c:lblOffset val="100"/>
        <c:noMultiLvlLbl val="0"/>
      </c:catAx>
      <c:valAx>
        <c:axId val="23214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3213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696685</xdr:colOff>
      <xdr:row>11</xdr:row>
      <xdr:rowOff>0</xdr:rowOff>
    </xdr:from>
    <xdr:to>
      <xdr:col>8</xdr:col>
      <xdr:colOff>696684</xdr:colOff>
      <xdr:row>29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0</xdr:rowOff>
        </xdr:from>
        <xdr:to>
          <xdr:col>6</xdr:col>
          <xdr:colOff>657225</xdr:colOff>
          <xdr:row>2</xdr:row>
          <xdr:rowOff>9525</xdr:rowOff>
        </xdr:to>
        <xdr:sp macro="" textlink="">
          <xdr:nvSpPr>
            <xdr:cNvPr id="1025" name="cmd업체검색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S Access Database_Query_2" connectionId="3" xr16:uid="{00000000-0016-0000-0600-000000000000}" autoFormatId="16" applyNumberFormats="0" applyBorderFormats="0" applyFontFormats="1" applyPatternFormats="1" applyAlignmentFormats="0" applyWidthHeightFormats="0">
  <queryTableRefresh nextId="7">
    <queryTableFields count="6">
      <queryTableField id="1" name="업체명"/>
      <queryTableField id="2" name="구인수"/>
      <queryTableField id="3" name="전년대비구인수"/>
      <queryTableField id="4" name="소재지"/>
      <queryTableField id="5" name="월평균급여"/>
      <queryTableField id="6" name="모집직종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S Access Database_Query_2" connectionId="2" xr16:uid="{00000000-0016-0000-0700-000001000000}" autoFormatId="16" applyNumberFormats="0" applyBorderFormats="0" applyFontFormats="1" applyPatternFormats="1" applyAlignmentFormats="0" applyWidthHeightFormats="0">
  <queryTableRefresh nextId="7">
    <queryTableFields count="6">
      <queryTableField id="1" name="업체명"/>
      <queryTableField id="2" name="구인수"/>
      <queryTableField id="3" name="전년대비구인수"/>
      <queryTableField id="4" name="소재지"/>
      <queryTableField id="5" name="월평균급여"/>
      <queryTableField id="6" name="모집직종"/>
    </queryTableFields>
  </queryTableRefresh>
</query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E18"/>
  <sheetViews>
    <sheetView tabSelected="1" workbookViewId="0"/>
  </sheetViews>
  <sheetFormatPr defaultRowHeight="16.5"/>
  <cols>
    <col min="1" max="1" width="11.625" bestFit="1" customWidth="1"/>
    <col min="2" max="2" width="10.625" bestFit="1" customWidth="1"/>
    <col min="3" max="4" width="14.375" bestFit="1" customWidth="1"/>
    <col min="5" max="5" width="9.25" bestFit="1" customWidth="1"/>
  </cols>
  <sheetData>
    <row r="1" spans="1:5">
      <c r="A1" s="6"/>
      <c r="B1" s="6"/>
      <c r="C1" s="6"/>
      <c r="D1" s="6"/>
      <c r="E1" s="6"/>
    </row>
    <row r="2" spans="1:5">
      <c r="A2" s="8" t="s">
        <v>63</v>
      </c>
      <c r="B2" s="8" t="s">
        <v>64</v>
      </c>
      <c r="C2" s="8" t="s">
        <v>65</v>
      </c>
      <c r="D2" s="8" t="s">
        <v>168</v>
      </c>
      <c r="E2" s="8" t="s">
        <v>169</v>
      </c>
    </row>
    <row r="3" spans="1:5">
      <c r="A3" s="9">
        <v>45792</v>
      </c>
      <c r="B3" s="8" t="s">
        <v>66</v>
      </c>
      <c r="C3" s="8" t="s">
        <v>170</v>
      </c>
      <c r="D3" s="7">
        <v>225900</v>
      </c>
      <c r="E3" s="8">
        <v>15</v>
      </c>
    </row>
    <row r="4" spans="1:5">
      <c r="A4" s="9">
        <v>45802</v>
      </c>
      <c r="B4" s="8" t="s">
        <v>67</v>
      </c>
      <c r="C4" s="8" t="s">
        <v>171</v>
      </c>
      <c r="D4" s="7">
        <v>353890</v>
      </c>
      <c r="E4" s="8">
        <v>12</v>
      </c>
    </row>
    <row r="5" spans="1:5">
      <c r="A5" s="9">
        <v>45909</v>
      </c>
      <c r="B5" s="8" t="s">
        <v>68</v>
      </c>
      <c r="C5" s="8" t="s">
        <v>172</v>
      </c>
      <c r="D5" s="7">
        <v>379000</v>
      </c>
      <c r="E5" s="8">
        <v>3</v>
      </c>
    </row>
    <row r="6" spans="1:5">
      <c r="A6" s="9">
        <v>45996</v>
      </c>
      <c r="B6" s="8" t="s">
        <v>69</v>
      </c>
      <c r="C6" s="8" t="s">
        <v>173</v>
      </c>
      <c r="D6" s="7">
        <v>1890000</v>
      </c>
      <c r="E6" s="8">
        <v>12</v>
      </c>
    </row>
    <row r="7" spans="1:5">
      <c r="A7" s="9">
        <v>45784</v>
      </c>
      <c r="B7" s="8" t="s">
        <v>163</v>
      </c>
      <c r="C7" s="8" t="s">
        <v>174</v>
      </c>
      <c r="D7" s="7">
        <v>590000</v>
      </c>
      <c r="E7" s="8">
        <v>3</v>
      </c>
    </row>
    <row r="8" spans="1:5">
      <c r="A8" s="9">
        <v>45782</v>
      </c>
      <c r="B8" s="8" t="s">
        <v>164</v>
      </c>
      <c r="C8" s="8" t="s">
        <v>175</v>
      </c>
      <c r="D8" s="7">
        <v>770000</v>
      </c>
      <c r="E8" s="8">
        <v>4</v>
      </c>
    </row>
    <row r="9" spans="1:5">
      <c r="A9" s="9">
        <v>45782</v>
      </c>
      <c r="B9" s="8" t="s">
        <v>70</v>
      </c>
      <c r="C9" s="8" t="s">
        <v>176</v>
      </c>
      <c r="D9" s="7">
        <v>1772100</v>
      </c>
      <c r="E9" s="8">
        <v>8</v>
      </c>
    </row>
    <row r="10" spans="1:5">
      <c r="A10" s="9">
        <v>45785</v>
      </c>
      <c r="B10" s="8" t="s">
        <v>71</v>
      </c>
      <c r="C10" s="8" t="s">
        <v>177</v>
      </c>
      <c r="D10" s="7">
        <v>209000</v>
      </c>
      <c r="E10" s="8">
        <v>2</v>
      </c>
    </row>
    <row r="11" spans="1:5">
      <c r="A11" s="9">
        <v>46002</v>
      </c>
      <c r="B11" s="8" t="s">
        <v>72</v>
      </c>
      <c r="C11" s="8" t="s">
        <v>178</v>
      </c>
      <c r="D11" s="7">
        <v>264780</v>
      </c>
      <c r="E11" s="8">
        <v>5</v>
      </c>
    </row>
    <row r="12" spans="1:5">
      <c r="A12" s="9">
        <v>45765</v>
      </c>
      <c r="B12" s="8" t="s">
        <v>73</v>
      </c>
      <c r="C12" s="8" t="s">
        <v>179</v>
      </c>
      <c r="D12" s="7">
        <v>1890000</v>
      </c>
      <c r="E12" s="8">
        <v>9</v>
      </c>
    </row>
    <row r="13" spans="1:5">
      <c r="A13" s="9">
        <v>45823</v>
      </c>
      <c r="B13" s="8" t="s">
        <v>165</v>
      </c>
      <c r="C13" s="8" t="s">
        <v>180</v>
      </c>
      <c r="D13" s="7">
        <v>1155040</v>
      </c>
      <c r="E13" s="8">
        <v>5</v>
      </c>
    </row>
    <row r="14" spans="1:5">
      <c r="A14" s="9">
        <v>45784</v>
      </c>
      <c r="B14" s="8" t="s">
        <v>166</v>
      </c>
      <c r="C14" s="8" t="s">
        <v>181</v>
      </c>
      <c r="D14" s="7">
        <v>766920</v>
      </c>
      <c r="E14" s="8">
        <v>5</v>
      </c>
    </row>
    <row r="15" spans="1:5">
      <c r="A15" s="9">
        <v>45766</v>
      </c>
      <c r="B15" s="8" t="s">
        <v>74</v>
      </c>
      <c r="C15" s="8" t="s">
        <v>182</v>
      </c>
      <c r="D15" s="7">
        <v>599000</v>
      </c>
      <c r="E15" s="8">
        <v>3</v>
      </c>
    </row>
    <row r="16" spans="1:5">
      <c r="A16" s="9">
        <v>45802</v>
      </c>
      <c r="B16" s="8" t="s">
        <v>167</v>
      </c>
      <c r="C16" s="8" t="s">
        <v>183</v>
      </c>
      <c r="D16" s="7">
        <v>703960</v>
      </c>
      <c r="E16" s="8">
        <v>10</v>
      </c>
    </row>
    <row r="17" spans="1:5">
      <c r="A17" s="9">
        <v>46002</v>
      </c>
      <c r="B17" s="8" t="s">
        <v>75</v>
      </c>
      <c r="C17" s="8" t="s">
        <v>184</v>
      </c>
      <c r="D17" s="7">
        <v>1445620</v>
      </c>
      <c r="E17" s="8">
        <v>4</v>
      </c>
    </row>
    <row r="18" spans="1:5">
      <c r="A18" s="9">
        <v>45794</v>
      </c>
      <c r="B18" s="8" t="s">
        <v>76</v>
      </c>
      <c r="C18" s="8" t="s">
        <v>185</v>
      </c>
      <c r="D18" s="7">
        <v>352000</v>
      </c>
      <c r="E18" s="8">
        <v>9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G18"/>
  <sheetViews>
    <sheetView workbookViewId="0">
      <selection activeCell="B1" sqref="B1:B1048576"/>
    </sheetView>
  </sheetViews>
  <sheetFormatPr defaultRowHeight="16.5"/>
  <cols>
    <col min="2" max="2" width="12.25" customWidth="1"/>
    <col min="3" max="3" width="13" customWidth="1"/>
    <col min="4" max="4" width="14.875" customWidth="1"/>
    <col min="5" max="5" width="12.75" customWidth="1"/>
    <col min="6" max="6" width="10.375" customWidth="1"/>
    <col min="7" max="7" width="11.75" bestFit="1" customWidth="1"/>
  </cols>
  <sheetData>
    <row r="2" spans="2:7">
      <c r="B2" s="8" t="s">
        <v>63</v>
      </c>
      <c r="C2" s="8" t="s">
        <v>64</v>
      </c>
      <c r="D2" s="8" t="s">
        <v>65</v>
      </c>
      <c r="E2" s="8" t="s">
        <v>80</v>
      </c>
      <c r="F2" s="8" t="s">
        <v>169</v>
      </c>
      <c r="G2" s="13" t="s">
        <v>186</v>
      </c>
    </row>
    <row r="3" spans="2:7">
      <c r="B3" s="9">
        <v>45792</v>
      </c>
      <c r="C3" s="8" t="s">
        <v>66</v>
      </c>
      <c r="D3" s="8" t="s">
        <v>170</v>
      </c>
      <c r="E3" s="7">
        <v>225900</v>
      </c>
      <c r="F3" s="8">
        <v>15</v>
      </c>
      <c r="G3" s="14">
        <f>E3*F3</f>
        <v>3388500</v>
      </c>
    </row>
    <row r="4" spans="2:7">
      <c r="B4" s="9">
        <v>45802</v>
      </c>
      <c r="C4" s="8" t="s">
        <v>67</v>
      </c>
      <c r="D4" s="8" t="s">
        <v>171</v>
      </c>
      <c r="E4" s="7">
        <v>353890</v>
      </c>
      <c r="F4" s="8">
        <v>12</v>
      </c>
      <c r="G4" s="14">
        <f t="shared" ref="G4:G18" si="0">E4*F4</f>
        <v>4246680</v>
      </c>
    </row>
    <row r="5" spans="2:7">
      <c r="B5" s="9">
        <v>45909</v>
      </c>
      <c r="C5" s="8" t="s">
        <v>68</v>
      </c>
      <c r="D5" s="8" t="s">
        <v>172</v>
      </c>
      <c r="E5" s="7">
        <v>379000</v>
      </c>
      <c r="F5" s="8">
        <v>3</v>
      </c>
      <c r="G5" s="14">
        <f t="shared" si="0"/>
        <v>1137000</v>
      </c>
    </row>
    <row r="6" spans="2:7">
      <c r="B6" s="9">
        <v>45996</v>
      </c>
      <c r="C6" s="8" t="s">
        <v>69</v>
      </c>
      <c r="D6" s="8" t="s">
        <v>173</v>
      </c>
      <c r="E6" s="7">
        <v>1890000</v>
      </c>
      <c r="F6" s="8">
        <v>12</v>
      </c>
      <c r="G6" s="14">
        <f t="shared" si="0"/>
        <v>22680000</v>
      </c>
    </row>
    <row r="7" spans="2:7">
      <c r="B7" s="9">
        <v>45784</v>
      </c>
      <c r="C7" s="8" t="s">
        <v>163</v>
      </c>
      <c r="D7" s="8" t="s">
        <v>174</v>
      </c>
      <c r="E7" s="7">
        <v>590000</v>
      </c>
      <c r="F7" s="8">
        <v>3</v>
      </c>
      <c r="G7" s="14">
        <f t="shared" si="0"/>
        <v>1770000</v>
      </c>
    </row>
    <row r="8" spans="2:7">
      <c r="B8" s="9">
        <v>45782</v>
      </c>
      <c r="C8" s="8" t="s">
        <v>164</v>
      </c>
      <c r="D8" s="8" t="s">
        <v>175</v>
      </c>
      <c r="E8" s="7">
        <v>770000</v>
      </c>
      <c r="F8" s="8">
        <v>4</v>
      </c>
      <c r="G8" s="14">
        <f t="shared" si="0"/>
        <v>3080000</v>
      </c>
    </row>
    <row r="9" spans="2:7">
      <c r="B9" s="9">
        <v>45782</v>
      </c>
      <c r="C9" s="8" t="s">
        <v>70</v>
      </c>
      <c r="D9" s="8" t="s">
        <v>176</v>
      </c>
      <c r="E9" s="7">
        <v>1772100</v>
      </c>
      <c r="F9" s="8">
        <v>8</v>
      </c>
      <c r="G9" s="14">
        <f t="shared" si="0"/>
        <v>14176800</v>
      </c>
    </row>
    <row r="10" spans="2:7">
      <c r="B10" s="9">
        <v>45785</v>
      </c>
      <c r="C10" s="8" t="s">
        <v>71</v>
      </c>
      <c r="D10" s="8" t="s">
        <v>177</v>
      </c>
      <c r="E10" s="7">
        <v>209000</v>
      </c>
      <c r="F10" s="8">
        <v>2</v>
      </c>
      <c r="G10" s="14">
        <f t="shared" si="0"/>
        <v>418000</v>
      </c>
    </row>
    <row r="11" spans="2:7">
      <c r="B11" s="9">
        <v>46002</v>
      </c>
      <c r="C11" s="8" t="s">
        <v>72</v>
      </c>
      <c r="D11" s="8" t="s">
        <v>178</v>
      </c>
      <c r="E11" s="7">
        <v>264780</v>
      </c>
      <c r="F11" s="8">
        <v>5</v>
      </c>
      <c r="G11" s="14">
        <f t="shared" si="0"/>
        <v>1323900</v>
      </c>
    </row>
    <row r="12" spans="2:7">
      <c r="B12" s="9">
        <v>45765</v>
      </c>
      <c r="C12" s="8" t="s">
        <v>73</v>
      </c>
      <c r="D12" s="8" t="s">
        <v>179</v>
      </c>
      <c r="E12" s="7">
        <v>1890000</v>
      </c>
      <c r="F12" s="8">
        <v>9</v>
      </c>
      <c r="G12" s="14">
        <f t="shared" si="0"/>
        <v>17010000</v>
      </c>
    </row>
    <row r="13" spans="2:7">
      <c r="B13" s="9">
        <v>45823</v>
      </c>
      <c r="C13" s="8" t="s">
        <v>165</v>
      </c>
      <c r="D13" s="8" t="s">
        <v>180</v>
      </c>
      <c r="E13" s="7">
        <v>1155040</v>
      </c>
      <c r="F13" s="8">
        <v>5</v>
      </c>
      <c r="G13" s="14">
        <f t="shared" si="0"/>
        <v>5775200</v>
      </c>
    </row>
    <row r="14" spans="2:7">
      <c r="B14" s="9">
        <v>45784</v>
      </c>
      <c r="C14" s="8" t="s">
        <v>166</v>
      </c>
      <c r="D14" s="8" t="s">
        <v>181</v>
      </c>
      <c r="E14" s="7">
        <v>766920</v>
      </c>
      <c r="F14" s="8">
        <v>5</v>
      </c>
      <c r="G14" s="14">
        <f t="shared" si="0"/>
        <v>3834600</v>
      </c>
    </row>
    <row r="15" spans="2:7">
      <c r="B15" s="9">
        <v>45766</v>
      </c>
      <c r="C15" s="8" t="s">
        <v>74</v>
      </c>
      <c r="D15" s="8" t="s">
        <v>182</v>
      </c>
      <c r="E15" s="7">
        <v>599000</v>
      </c>
      <c r="F15" s="8">
        <v>3</v>
      </c>
      <c r="G15" s="14">
        <f t="shared" si="0"/>
        <v>1797000</v>
      </c>
    </row>
    <row r="16" spans="2:7">
      <c r="B16" s="9">
        <v>45802</v>
      </c>
      <c r="C16" s="8" t="s">
        <v>167</v>
      </c>
      <c r="D16" s="8" t="s">
        <v>183</v>
      </c>
      <c r="E16" s="7">
        <v>703960</v>
      </c>
      <c r="F16" s="8">
        <v>10</v>
      </c>
      <c r="G16" s="14">
        <f t="shared" si="0"/>
        <v>7039600</v>
      </c>
    </row>
    <row r="17" spans="2:7">
      <c r="B17" s="9">
        <v>46002</v>
      </c>
      <c r="C17" s="8" t="s">
        <v>75</v>
      </c>
      <c r="D17" s="8" t="s">
        <v>184</v>
      </c>
      <c r="E17" s="7">
        <v>1445620</v>
      </c>
      <c r="F17" s="8">
        <v>4</v>
      </c>
      <c r="G17" s="14">
        <f t="shared" si="0"/>
        <v>5782480</v>
      </c>
    </row>
    <row r="18" spans="2:7">
      <c r="B18" s="9">
        <v>45794</v>
      </c>
      <c r="C18" s="8" t="s">
        <v>76</v>
      </c>
      <c r="D18" s="8" t="s">
        <v>185</v>
      </c>
      <c r="E18" s="7">
        <v>352000</v>
      </c>
      <c r="F18" s="8">
        <v>9</v>
      </c>
      <c r="G18" s="14">
        <f t="shared" si="0"/>
        <v>3168000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R26"/>
  <sheetViews>
    <sheetView workbookViewId="0"/>
  </sheetViews>
  <sheetFormatPr defaultRowHeight="16.5"/>
  <cols>
    <col min="10" max="10" width="9.375" style="24" customWidth="1"/>
  </cols>
  <sheetData>
    <row r="1" spans="1:18">
      <c r="A1" t="s">
        <v>188</v>
      </c>
      <c r="L1" t="s">
        <v>189</v>
      </c>
      <c r="M1" t="s">
        <v>245</v>
      </c>
    </row>
    <row r="2" spans="1:18">
      <c r="A2" s="17" t="s">
        <v>190</v>
      </c>
      <c r="B2" s="23" t="s">
        <v>246</v>
      </c>
      <c r="C2" s="18" t="s">
        <v>191</v>
      </c>
      <c r="D2" s="4" t="s">
        <v>192</v>
      </c>
      <c r="E2" s="4" t="s">
        <v>193</v>
      </c>
      <c r="F2" s="4" t="s">
        <v>194</v>
      </c>
      <c r="G2" s="4" t="s">
        <v>195</v>
      </c>
      <c r="H2" s="4" t="s">
        <v>196</v>
      </c>
      <c r="I2" s="18" t="s">
        <v>197</v>
      </c>
      <c r="J2" s="25" t="s">
        <v>198</v>
      </c>
      <c r="L2" s="4" t="s">
        <v>194</v>
      </c>
      <c r="M2" s="18" t="s">
        <v>199</v>
      </c>
      <c r="N2" s="18" t="s">
        <v>201</v>
      </c>
      <c r="O2" s="18" t="s">
        <v>202</v>
      </c>
    </row>
    <row r="3" spans="1:18">
      <c r="A3" s="23" t="s">
        <v>247</v>
      </c>
      <c r="B3" s="23" t="s">
        <v>249</v>
      </c>
      <c r="C3" s="4"/>
      <c r="D3" s="4" t="s">
        <v>199</v>
      </c>
      <c r="E3" s="19">
        <v>44258</v>
      </c>
      <c r="F3" s="4" t="s">
        <v>203</v>
      </c>
      <c r="G3" s="4" t="s">
        <v>205</v>
      </c>
      <c r="H3" s="20">
        <v>78</v>
      </c>
      <c r="I3" s="5"/>
      <c r="J3" s="5"/>
      <c r="L3" s="4" t="s">
        <v>203</v>
      </c>
      <c r="M3" s="4"/>
      <c r="N3" s="4"/>
      <c r="O3" s="4"/>
    </row>
    <row r="4" spans="1:18">
      <c r="A4" s="23" t="s">
        <v>206</v>
      </c>
      <c r="B4" s="23" t="s">
        <v>251</v>
      </c>
      <c r="C4" s="4"/>
      <c r="D4" s="4" t="s">
        <v>201</v>
      </c>
      <c r="E4" s="19">
        <v>44258</v>
      </c>
      <c r="F4" s="4" t="s">
        <v>207</v>
      </c>
      <c r="G4" s="4" t="s">
        <v>208</v>
      </c>
      <c r="H4" s="20">
        <v>80</v>
      </c>
      <c r="I4" s="5"/>
      <c r="J4" s="5"/>
      <c r="L4" s="4" t="s">
        <v>209</v>
      </c>
      <c r="M4" s="4"/>
      <c r="N4" s="4"/>
      <c r="O4" s="4"/>
    </row>
    <row r="5" spans="1:18">
      <c r="A5" s="23" t="s">
        <v>210</v>
      </c>
      <c r="B5" s="23" t="s">
        <v>253</v>
      </c>
      <c r="C5" s="4"/>
      <c r="D5" s="4" t="s">
        <v>202</v>
      </c>
      <c r="E5" s="19">
        <v>44259</v>
      </c>
      <c r="F5" s="4" t="s">
        <v>211</v>
      </c>
      <c r="G5" s="4" t="s">
        <v>212</v>
      </c>
      <c r="H5" s="20">
        <v>125</v>
      </c>
      <c r="I5" s="5"/>
      <c r="J5" s="5"/>
    </row>
    <row r="6" spans="1:18">
      <c r="A6" s="23" t="s">
        <v>213</v>
      </c>
      <c r="B6" s="23" t="s">
        <v>249</v>
      </c>
      <c r="C6" s="4"/>
      <c r="D6" s="4" t="s">
        <v>199</v>
      </c>
      <c r="E6" s="19">
        <v>44259</v>
      </c>
      <c r="F6" s="4" t="s">
        <v>214</v>
      </c>
      <c r="G6" s="4" t="s">
        <v>204</v>
      </c>
      <c r="H6" s="20">
        <v>84</v>
      </c>
      <c r="I6" s="5"/>
      <c r="J6" s="5"/>
      <c r="L6" s="21" t="s">
        <v>215</v>
      </c>
      <c r="M6" t="s">
        <v>216</v>
      </c>
    </row>
    <row r="7" spans="1:18">
      <c r="A7" s="23" t="s">
        <v>217</v>
      </c>
      <c r="B7" s="23" t="s">
        <v>249</v>
      </c>
      <c r="C7" s="4"/>
      <c r="D7" s="4" t="s">
        <v>200</v>
      </c>
      <c r="E7" s="19">
        <v>44259</v>
      </c>
      <c r="F7" s="4" t="s">
        <v>203</v>
      </c>
      <c r="G7" s="4" t="s">
        <v>219</v>
      </c>
      <c r="H7" s="20">
        <v>91</v>
      </c>
      <c r="I7" s="5"/>
      <c r="J7" s="5"/>
      <c r="L7" s="4" t="s">
        <v>195</v>
      </c>
      <c r="M7" s="18" t="s">
        <v>199</v>
      </c>
      <c r="N7" s="18" t="s">
        <v>200</v>
      </c>
      <c r="O7" s="18" t="s">
        <v>220</v>
      </c>
    </row>
    <row r="8" spans="1:18">
      <c r="A8" s="23" t="s">
        <v>221</v>
      </c>
      <c r="B8" s="23" t="s">
        <v>254</v>
      </c>
      <c r="C8" s="4"/>
      <c r="D8" s="4" t="s">
        <v>199</v>
      </c>
      <c r="E8" s="19">
        <v>44260</v>
      </c>
      <c r="F8" s="4" t="s">
        <v>203</v>
      </c>
      <c r="G8" s="4" t="s">
        <v>208</v>
      </c>
      <c r="H8" s="20">
        <v>28</v>
      </c>
      <c r="I8" s="5"/>
      <c r="J8" s="5"/>
      <c r="L8" s="4" t="s">
        <v>222</v>
      </c>
      <c r="M8" s="22"/>
      <c r="N8" s="4"/>
      <c r="O8" s="4"/>
    </row>
    <row r="9" spans="1:18">
      <c r="A9" s="23" t="s">
        <v>223</v>
      </c>
      <c r="B9" s="23" t="s">
        <v>255</v>
      </c>
      <c r="C9" s="4"/>
      <c r="D9" s="4" t="s">
        <v>199</v>
      </c>
      <c r="E9" s="19">
        <v>44260</v>
      </c>
      <c r="F9" s="4" t="s">
        <v>211</v>
      </c>
      <c r="G9" s="4" t="s">
        <v>205</v>
      </c>
      <c r="H9" s="20">
        <v>148</v>
      </c>
      <c r="I9" s="5"/>
      <c r="J9" s="5"/>
      <c r="L9" s="4" t="s">
        <v>219</v>
      </c>
      <c r="M9" s="22"/>
      <c r="N9" s="4"/>
      <c r="O9" s="4"/>
    </row>
    <row r="10" spans="1:18">
      <c r="A10" s="23" t="s">
        <v>224</v>
      </c>
      <c r="B10" s="23" t="s">
        <v>250</v>
      </c>
      <c r="C10" s="4"/>
      <c r="D10" s="4" t="s">
        <v>201</v>
      </c>
      <c r="E10" s="19">
        <v>44260</v>
      </c>
      <c r="F10" s="4" t="s">
        <v>209</v>
      </c>
      <c r="G10" s="4" t="s">
        <v>218</v>
      </c>
      <c r="H10" s="20">
        <v>98</v>
      </c>
      <c r="I10" s="5"/>
      <c r="J10" s="5"/>
      <c r="L10" s="4" t="s">
        <v>205</v>
      </c>
      <c r="M10" s="4"/>
      <c r="N10" s="4"/>
      <c r="O10" s="4"/>
    </row>
    <row r="11" spans="1:18">
      <c r="A11" s="23" t="s">
        <v>225</v>
      </c>
      <c r="B11" s="23" t="s">
        <v>249</v>
      </c>
      <c r="C11" s="4"/>
      <c r="D11" s="4" t="s">
        <v>201</v>
      </c>
      <c r="E11" s="19">
        <v>44263</v>
      </c>
      <c r="F11" s="4" t="s">
        <v>203</v>
      </c>
      <c r="G11" s="4" t="s">
        <v>226</v>
      </c>
      <c r="H11" s="20">
        <v>82</v>
      </c>
      <c r="I11" s="5"/>
      <c r="J11" s="5"/>
      <c r="L11" s="4" t="s">
        <v>212</v>
      </c>
      <c r="M11" s="4"/>
      <c r="N11" s="4"/>
      <c r="O11" s="4"/>
    </row>
    <row r="12" spans="1:18">
      <c r="A12" s="23" t="s">
        <v>227</v>
      </c>
      <c r="B12" s="23" t="s">
        <v>256</v>
      </c>
      <c r="C12" s="4"/>
      <c r="D12" s="4" t="s">
        <v>202</v>
      </c>
      <c r="E12" s="19">
        <v>44263</v>
      </c>
      <c r="F12" s="4" t="s">
        <v>211</v>
      </c>
      <c r="G12" s="4" t="s">
        <v>208</v>
      </c>
      <c r="H12" s="20">
        <v>134</v>
      </c>
      <c r="I12" s="5"/>
      <c r="J12" s="5"/>
    </row>
    <row r="13" spans="1:18">
      <c r="A13" s="23" t="s">
        <v>228</v>
      </c>
      <c r="B13" s="23" t="s">
        <v>257</v>
      </c>
      <c r="C13" s="4"/>
      <c r="D13" s="4" t="s">
        <v>201</v>
      </c>
      <c r="E13" s="19">
        <v>44263</v>
      </c>
      <c r="F13" s="4" t="s">
        <v>209</v>
      </c>
      <c r="G13" s="4" t="s">
        <v>222</v>
      </c>
      <c r="H13" s="20">
        <v>82</v>
      </c>
      <c r="I13" s="5"/>
      <c r="J13" s="5"/>
      <c r="L13" s="21" t="s">
        <v>229</v>
      </c>
    </row>
    <row r="14" spans="1:18">
      <c r="A14" s="23" t="s">
        <v>230</v>
      </c>
      <c r="B14" s="23" t="s">
        <v>253</v>
      </c>
      <c r="C14" s="4"/>
      <c r="D14" s="4" t="s">
        <v>199</v>
      </c>
      <c r="E14" s="19">
        <v>44264</v>
      </c>
      <c r="F14" s="4" t="s">
        <v>211</v>
      </c>
      <c r="G14" s="4" t="s">
        <v>212</v>
      </c>
      <c r="H14" s="20">
        <v>124</v>
      </c>
      <c r="I14" s="5"/>
      <c r="J14" s="5"/>
      <c r="L14" s="26" t="s">
        <v>195</v>
      </c>
      <c r="M14" s="17">
        <v>24</v>
      </c>
      <c r="N14" s="17">
        <v>48</v>
      </c>
      <c r="O14" s="17">
        <v>72</v>
      </c>
      <c r="P14" s="17">
        <v>96</v>
      </c>
      <c r="Q14" s="17">
        <v>120</v>
      </c>
      <c r="R14" s="17">
        <v>144</v>
      </c>
    </row>
    <row r="15" spans="1:18">
      <c r="A15" s="23" t="s">
        <v>231</v>
      </c>
      <c r="B15" s="23" t="s">
        <v>248</v>
      </c>
      <c r="C15" s="4"/>
      <c r="D15" s="4" t="s">
        <v>202</v>
      </c>
      <c r="E15" s="19">
        <v>44264</v>
      </c>
      <c r="F15" s="4" t="s">
        <v>211</v>
      </c>
      <c r="G15" s="4" t="s">
        <v>219</v>
      </c>
      <c r="H15" s="20">
        <v>90</v>
      </c>
      <c r="I15" s="5"/>
      <c r="J15" s="5"/>
      <c r="L15" s="26"/>
      <c r="M15" s="17">
        <v>47</v>
      </c>
      <c r="N15" s="17">
        <v>71</v>
      </c>
      <c r="O15" s="17">
        <v>95</v>
      </c>
      <c r="P15" s="17">
        <v>119</v>
      </c>
      <c r="Q15" s="17">
        <v>143</v>
      </c>
      <c r="R15" s="17"/>
    </row>
    <row r="16" spans="1:18">
      <c r="A16" s="23" t="s">
        <v>232</v>
      </c>
      <c r="B16" s="23" t="s">
        <v>251</v>
      </c>
      <c r="C16" s="4"/>
      <c r="D16" s="4" t="s">
        <v>201</v>
      </c>
      <c r="E16" s="19">
        <v>44264</v>
      </c>
      <c r="F16" s="4" t="s">
        <v>211</v>
      </c>
      <c r="G16" s="4" t="s">
        <v>222</v>
      </c>
      <c r="H16" s="20">
        <v>109</v>
      </c>
      <c r="I16" s="5"/>
      <c r="J16" s="5"/>
      <c r="L16" s="4" t="s">
        <v>222</v>
      </c>
      <c r="M16" s="5">
        <v>50000</v>
      </c>
      <c r="N16" s="5">
        <v>80000</v>
      </c>
      <c r="O16" s="5">
        <v>110000</v>
      </c>
      <c r="P16" s="5">
        <v>140000</v>
      </c>
      <c r="Q16" s="5">
        <v>170000</v>
      </c>
      <c r="R16" s="5">
        <v>200000</v>
      </c>
    </row>
    <row r="17" spans="1:18">
      <c r="A17" s="23" t="s">
        <v>233</v>
      </c>
      <c r="B17" s="23" t="s">
        <v>258</v>
      </c>
      <c r="C17" s="4"/>
      <c r="D17" s="4" t="s">
        <v>201</v>
      </c>
      <c r="E17" s="19">
        <v>44265</v>
      </c>
      <c r="F17" s="4" t="s">
        <v>211</v>
      </c>
      <c r="G17" s="4" t="s">
        <v>219</v>
      </c>
      <c r="H17" s="20">
        <v>58</v>
      </c>
      <c r="I17" s="5"/>
      <c r="J17" s="5"/>
      <c r="L17" s="4" t="s">
        <v>218</v>
      </c>
      <c r="M17" s="5">
        <v>60000</v>
      </c>
      <c r="N17" s="5">
        <v>90000</v>
      </c>
      <c r="O17" s="5">
        <v>120000</v>
      </c>
      <c r="P17" s="5">
        <v>150000</v>
      </c>
      <c r="Q17" s="5">
        <v>180000</v>
      </c>
      <c r="R17" s="5">
        <v>210000</v>
      </c>
    </row>
    <row r="18" spans="1:18">
      <c r="A18" s="23" t="s">
        <v>234</v>
      </c>
      <c r="B18" s="23" t="s">
        <v>248</v>
      </c>
      <c r="C18" s="4"/>
      <c r="D18" s="4" t="s">
        <v>199</v>
      </c>
      <c r="E18" s="19">
        <v>44265</v>
      </c>
      <c r="F18" s="4" t="s">
        <v>211</v>
      </c>
      <c r="G18" s="4" t="s">
        <v>205</v>
      </c>
      <c r="H18" s="20">
        <v>86</v>
      </c>
      <c r="I18" s="5"/>
      <c r="J18" s="5"/>
      <c r="L18" s="4" t="s">
        <v>205</v>
      </c>
      <c r="M18" s="5">
        <v>70000</v>
      </c>
      <c r="N18" s="5">
        <v>100000</v>
      </c>
      <c r="O18" s="5">
        <v>130000</v>
      </c>
      <c r="P18" s="5">
        <v>160000</v>
      </c>
      <c r="Q18" s="5">
        <v>190000</v>
      </c>
      <c r="R18" s="5">
        <v>220000</v>
      </c>
    </row>
    <row r="19" spans="1:18">
      <c r="A19" s="23" t="s">
        <v>235</v>
      </c>
      <c r="B19" s="23" t="s">
        <v>251</v>
      </c>
      <c r="C19" s="4"/>
      <c r="D19" s="4" t="s">
        <v>199</v>
      </c>
      <c r="E19" s="19">
        <v>44265</v>
      </c>
      <c r="F19" s="4" t="s">
        <v>211</v>
      </c>
      <c r="G19" s="4" t="s">
        <v>219</v>
      </c>
      <c r="H19" s="20">
        <v>112</v>
      </c>
      <c r="I19" s="5"/>
      <c r="J19" s="5"/>
      <c r="L19" s="4" t="s">
        <v>212</v>
      </c>
      <c r="M19" s="5">
        <v>80000</v>
      </c>
      <c r="N19" s="5">
        <v>110000</v>
      </c>
      <c r="O19" s="5">
        <v>140000</v>
      </c>
      <c r="P19" s="5">
        <v>170000</v>
      </c>
      <c r="Q19" s="5">
        <v>200000</v>
      </c>
      <c r="R19" s="5">
        <v>230000</v>
      </c>
    </row>
    <row r="20" spans="1:18">
      <c r="A20" s="23" t="s">
        <v>236</v>
      </c>
      <c r="B20" s="23" t="s">
        <v>248</v>
      </c>
      <c r="C20" s="4"/>
      <c r="D20" s="4" t="s">
        <v>202</v>
      </c>
      <c r="E20" s="19">
        <v>44265</v>
      </c>
      <c r="F20" s="4" t="s">
        <v>237</v>
      </c>
      <c r="G20" s="4" t="s">
        <v>219</v>
      </c>
      <c r="H20" s="20">
        <v>92</v>
      </c>
      <c r="I20" s="5"/>
      <c r="J20" s="5"/>
      <c r="L20" s="21"/>
    </row>
    <row r="21" spans="1:18">
      <c r="A21" s="23" t="s">
        <v>238</v>
      </c>
      <c r="B21" s="23" t="s">
        <v>252</v>
      </c>
      <c r="C21" s="4"/>
      <c r="D21" s="4" t="s">
        <v>239</v>
      </c>
      <c r="E21" s="19">
        <v>44266</v>
      </c>
      <c r="F21" s="4" t="s">
        <v>211</v>
      </c>
      <c r="G21" s="4" t="s">
        <v>222</v>
      </c>
      <c r="H21" s="20">
        <v>130</v>
      </c>
      <c r="I21" s="5"/>
      <c r="J21" s="5"/>
      <c r="L21" s="21"/>
    </row>
    <row r="22" spans="1:18">
      <c r="A22" s="23" t="s">
        <v>240</v>
      </c>
      <c r="B22" s="23" t="s">
        <v>259</v>
      </c>
      <c r="C22" s="4"/>
      <c r="D22" s="4" t="s">
        <v>201</v>
      </c>
      <c r="E22" s="19">
        <v>44266</v>
      </c>
      <c r="F22" s="4" t="s">
        <v>209</v>
      </c>
      <c r="G22" s="4" t="s">
        <v>205</v>
      </c>
      <c r="H22" s="20">
        <v>32</v>
      </c>
      <c r="I22" s="5"/>
      <c r="J22" s="5"/>
    </row>
    <row r="23" spans="1:18">
      <c r="A23" s="23" t="s">
        <v>241</v>
      </c>
      <c r="B23" s="23" t="s">
        <v>248</v>
      </c>
      <c r="C23" s="4"/>
      <c r="D23" s="4" t="s">
        <v>201</v>
      </c>
      <c r="E23" s="19">
        <v>44266</v>
      </c>
      <c r="F23" s="4" t="s">
        <v>211</v>
      </c>
      <c r="G23" s="4" t="s">
        <v>219</v>
      </c>
      <c r="H23" s="20">
        <v>85</v>
      </c>
      <c r="I23" s="5"/>
      <c r="J23" s="5"/>
    </row>
    <row r="24" spans="1:18">
      <c r="A24" s="23" t="s">
        <v>242</v>
      </c>
      <c r="B24" s="23" t="s">
        <v>250</v>
      </c>
      <c r="C24" s="4"/>
      <c r="D24" s="4" t="s">
        <v>199</v>
      </c>
      <c r="E24" s="19">
        <v>44267</v>
      </c>
      <c r="F24" s="4" t="s">
        <v>211</v>
      </c>
      <c r="G24" s="4" t="s">
        <v>205</v>
      </c>
      <c r="H24" s="20">
        <v>107</v>
      </c>
      <c r="I24" s="5"/>
      <c r="J24" s="5"/>
    </row>
    <row r="25" spans="1:18">
      <c r="A25" s="23" t="s">
        <v>243</v>
      </c>
      <c r="B25" s="23" t="s">
        <v>252</v>
      </c>
      <c r="C25" s="4"/>
      <c r="D25" s="4" t="s">
        <v>202</v>
      </c>
      <c r="E25" s="19">
        <v>44267</v>
      </c>
      <c r="F25" s="4" t="s">
        <v>209</v>
      </c>
      <c r="G25" s="4" t="s">
        <v>212</v>
      </c>
      <c r="H25" s="20">
        <v>124</v>
      </c>
      <c r="I25" s="5"/>
      <c r="J25" s="5"/>
    </row>
    <row r="26" spans="1:18">
      <c r="A26" s="23" t="s">
        <v>244</v>
      </c>
      <c r="B26" s="23" t="s">
        <v>260</v>
      </c>
      <c r="C26" s="4"/>
      <c r="D26" s="4" t="s">
        <v>201</v>
      </c>
      <c r="E26" s="19">
        <v>44267</v>
      </c>
      <c r="F26" s="4" t="s">
        <v>211</v>
      </c>
      <c r="G26" s="4" t="s">
        <v>222</v>
      </c>
      <c r="H26" s="20">
        <v>87</v>
      </c>
      <c r="I26" s="5"/>
      <c r="J26" s="5"/>
    </row>
  </sheetData>
  <mergeCells count="1">
    <mergeCell ref="L14:L15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G29"/>
  <sheetViews>
    <sheetView workbookViewId="0"/>
  </sheetViews>
  <sheetFormatPr defaultRowHeight="16.5"/>
  <cols>
    <col min="1" max="1" width="9.5" bestFit="1" customWidth="1"/>
    <col min="4" max="4" width="10.625" bestFit="1" customWidth="1"/>
    <col min="5" max="5" width="9.25" bestFit="1" customWidth="1"/>
    <col min="6" max="7" width="10.625" bestFit="1" customWidth="1"/>
  </cols>
  <sheetData>
    <row r="1" spans="1:7">
      <c r="A1" t="s">
        <v>187</v>
      </c>
    </row>
    <row r="2" spans="1:7">
      <c r="A2" s="4" t="s">
        <v>111</v>
      </c>
      <c r="B2" s="4" t="s">
        <v>112</v>
      </c>
      <c r="C2" s="4" t="s">
        <v>56</v>
      </c>
      <c r="D2" s="4" t="s">
        <v>57</v>
      </c>
      <c r="E2" s="4" t="s">
        <v>113</v>
      </c>
      <c r="F2" s="4" t="s">
        <v>58</v>
      </c>
      <c r="G2" s="4" t="s">
        <v>114</v>
      </c>
    </row>
    <row r="3" spans="1:7">
      <c r="A3" s="4" t="s">
        <v>121</v>
      </c>
      <c r="B3" s="4" t="s">
        <v>122</v>
      </c>
      <c r="C3" s="4" t="s">
        <v>60</v>
      </c>
      <c r="D3" s="5">
        <v>903600</v>
      </c>
      <c r="E3" s="5">
        <v>4</v>
      </c>
      <c r="F3" s="5">
        <v>135540</v>
      </c>
      <c r="G3" s="5">
        <f>D3+F3</f>
        <v>1039140</v>
      </c>
    </row>
    <row r="4" spans="1:7">
      <c r="A4" s="4" t="s">
        <v>115</v>
      </c>
      <c r="B4" s="4" t="s">
        <v>116</v>
      </c>
      <c r="C4" s="4" t="s">
        <v>60</v>
      </c>
      <c r="D4" s="5">
        <v>985600</v>
      </c>
      <c r="E4" s="5">
        <v>5</v>
      </c>
      <c r="F4" s="5">
        <v>147840</v>
      </c>
      <c r="G4" s="5">
        <f t="shared" ref="G4:G29" si="0">D4+F4</f>
        <v>1133440</v>
      </c>
    </row>
    <row r="5" spans="1:7">
      <c r="A5" s="4" t="s">
        <v>141</v>
      </c>
      <c r="B5" s="4" t="s">
        <v>142</v>
      </c>
      <c r="C5" s="4" t="s">
        <v>60</v>
      </c>
      <c r="D5" s="5">
        <v>895600</v>
      </c>
      <c r="E5" s="5">
        <v>4</v>
      </c>
      <c r="F5" s="5">
        <v>134340</v>
      </c>
      <c r="G5" s="5">
        <f t="shared" si="0"/>
        <v>1029940</v>
      </c>
    </row>
    <row r="6" spans="1:7">
      <c r="A6" s="4" t="s">
        <v>117</v>
      </c>
      <c r="B6" s="4" t="s">
        <v>118</v>
      </c>
      <c r="C6" s="4" t="s">
        <v>59</v>
      </c>
      <c r="D6" s="5">
        <v>903600</v>
      </c>
      <c r="E6" s="5">
        <v>4</v>
      </c>
      <c r="F6" s="5">
        <v>135540</v>
      </c>
      <c r="G6" s="5">
        <f t="shared" si="0"/>
        <v>1039140</v>
      </c>
    </row>
    <row r="7" spans="1:7">
      <c r="A7" s="4" t="s">
        <v>119</v>
      </c>
      <c r="B7" s="4" t="s">
        <v>120</v>
      </c>
      <c r="C7" s="4" t="s">
        <v>59</v>
      </c>
      <c r="D7" s="5">
        <v>1256000</v>
      </c>
      <c r="E7" s="5">
        <v>5</v>
      </c>
      <c r="F7" s="5">
        <v>188400</v>
      </c>
      <c r="G7" s="5">
        <f t="shared" si="0"/>
        <v>1444400</v>
      </c>
    </row>
    <row r="8" spans="1:7">
      <c r="A8" s="4" t="s">
        <v>121</v>
      </c>
      <c r="B8" s="4" t="s">
        <v>122</v>
      </c>
      <c r="C8" s="4" t="s">
        <v>59</v>
      </c>
      <c r="D8" s="5">
        <v>915600</v>
      </c>
      <c r="E8" s="5">
        <v>6</v>
      </c>
      <c r="F8" s="5">
        <v>137340</v>
      </c>
      <c r="G8" s="5">
        <f t="shared" si="0"/>
        <v>1052940</v>
      </c>
    </row>
    <row r="9" spans="1:7">
      <c r="A9" s="4" t="s">
        <v>123</v>
      </c>
      <c r="B9" s="4" t="s">
        <v>124</v>
      </c>
      <c r="C9" s="4" t="s">
        <v>59</v>
      </c>
      <c r="D9" s="5">
        <v>1150000</v>
      </c>
      <c r="E9" s="5">
        <v>7</v>
      </c>
      <c r="F9" s="5">
        <v>172500</v>
      </c>
      <c r="G9" s="5">
        <f t="shared" si="0"/>
        <v>1322500</v>
      </c>
    </row>
    <row r="10" spans="1:7">
      <c r="A10" s="4" t="s">
        <v>125</v>
      </c>
      <c r="B10" s="4" t="s">
        <v>126</v>
      </c>
      <c r="C10" s="4" t="s">
        <v>59</v>
      </c>
      <c r="D10" s="5">
        <v>1120000</v>
      </c>
      <c r="E10" s="5">
        <v>8</v>
      </c>
      <c r="F10" s="5">
        <v>168000</v>
      </c>
      <c r="G10" s="5">
        <f t="shared" si="0"/>
        <v>1288000</v>
      </c>
    </row>
    <row r="11" spans="1:7">
      <c r="A11" s="4" t="s">
        <v>127</v>
      </c>
      <c r="B11" s="4" t="s">
        <v>128</v>
      </c>
      <c r="C11" s="4" t="s">
        <v>59</v>
      </c>
      <c r="D11" s="5">
        <v>985200</v>
      </c>
      <c r="E11" s="5">
        <v>6</v>
      </c>
      <c r="F11" s="5">
        <v>147780</v>
      </c>
      <c r="G11" s="5">
        <f t="shared" si="0"/>
        <v>1132980</v>
      </c>
    </row>
    <row r="12" spans="1:7">
      <c r="A12" s="4" t="s">
        <v>129</v>
      </c>
      <c r="B12" s="4" t="s">
        <v>130</v>
      </c>
      <c r="C12" s="4" t="s">
        <v>59</v>
      </c>
      <c r="D12" s="5">
        <v>1058200</v>
      </c>
      <c r="E12" s="5">
        <v>8</v>
      </c>
      <c r="F12" s="5">
        <v>158730</v>
      </c>
      <c r="G12" s="5">
        <f t="shared" si="0"/>
        <v>1216930</v>
      </c>
    </row>
    <row r="13" spans="1:7">
      <c r="A13" s="4" t="s">
        <v>131</v>
      </c>
      <c r="B13" s="4" t="s">
        <v>132</v>
      </c>
      <c r="C13" s="4" t="s">
        <v>59</v>
      </c>
      <c r="D13" s="5">
        <v>1065900</v>
      </c>
      <c r="E13" s="5">
        <v>9</v>
      </c>
      <c r="F13" s="5">
        <v>159885</v>
      </c>
      <c r="G13" s="5">
        <f t="shared" si="0"/>
        <v>1225785</v>
      </c>
    </row>
    <row r="14" spans="1:7">
      <c r="A14" s="4" t="s">
        <v>133</v>
      </c>
      <c r="B14" s="4" t="s">
        <v>134</v>
      </c>
      <c r="C14" s="4" t="s">
        <v>59</v>
      </c>
      <c r="D14" s="5">
        <v>998500</v>
      </c>
      <c r="E14" s="5">
        <v>7</v>
      </c>
      <c r="F14" s="5">
        <v>149775</v>
      </c>
      <c r="G14" s="5">
        <f t="shared" si="0"/>
        <v>1148275</v>
      </c>
    </row>
    <row r="15" spans="1:7">
      <c r="A15" s="4" t="s">
        <v>135</v>
      </c>
      <c r="B15" s="4" t="s">
        <v>136</v>
      </c>
      <c r="C15" s="4" t="s">
        <v>62</v>
      </c>
      <c r="D15" s="5">
        <v>1059000</v>
      </c>
      <c r="E15" s="5">
        <v>6</v>
      </c>
      <c r="F15" s="5">
        <v>158850</v>
      </c>
      <c r="G15" s="5">
        <f t="shared" si="0"/>
        <v>1217850</v>
      </c>
    </row>
    <row r="16" spans="1:7">
      <c r="A16" s="4" t="s">
        <v>137</v>
      </c>
      <c r="B16" s="4" t="s">
        <v>138</v>
      </c>
      <c r="C16" s="4" t="s">
        <v>62</v>
      </c>
      <c r="D16" s="5">
        <v>1028400</v>
      </c>
      <c r="E16" s="5">
        <v>5</v>
      </c>
      <c r="F16" s="5">
        <v>154260</v>
      </c>
      <c r="G16" s="5">
        <f t="shared" si="0"/>
        <v>1182660</v>
      </c>
    </row>
    <row r="17" spans="1:7">
      <c r="A17" s="4" t="s">
        <v>139</v>
      </c>
      <c r="B17" s="4" t="s">
        <v>140</v>
      </c>
      <c r="C17" s="4" t="s">
        <v>62</v>
      </c>
      <c r="D17" s="5">
        <v>1125600</v>
      </c>
      <c r="E17" s="5">
        <v>6</v>
      </c>
      <c r="F17" s="5">
        <v>168840</v>
      </c>
      <c r="G17" s="5">
        <f t="shared" si="0"/>
        <v>1294440</v>
      </c>
    </row>
    <row r="18" spans="1:7">
      <c r="A18" s="4" t="s">
        <v>141</v>
      </c>
      <c r="B18" s="4" t="s">
        <v>142</v>
      </c>
      <c r="C18" s="4" t="s">
        <v>62</v>
      </c>
      <c r="D18" s="5">
        <v>859600</v>
      </c>
      <c r="E18" s="5">
        <v>1</v>
      </c>
      <c r="F18" s="5">
        <v>128940</v>
      </c>
      <c r="G18" s="5">
        <f t="shared" si="0"/>
        <v>988540</v>
      </c>
    </row>
    <row r="19" spans="1:7">
      <c r="A19" s="4" t="s">
        <v>143</v>
      </c>
      <c r="B19" s="4" t="s">
        <v>144</v>
      </c>
      <c r="C19" s="4" t="s">
        <v>62</v>
      </c>
      <c r="D19" s="5">
        <v>905890</v>
      </c>
      <c r="E19" s="5">
        <v>1</v>
      </c>
      <c r="F19" s="5">
        <v>1358835</v>
      </c>
      <c r="G19" s="5">
        <f t="shared" si="0"/>
        <v>2264725</v>
      </c>
    </row>
    <row r="20" spans="1:7">
      <c r="A20" s="4" t="s">
        <v>145</v>
      </c>
      <c r="B20" s="4" t="s">
        <v>146</v>
      </c>
      <c r="C20" s="4" t="s">
        <v>62</v>
      </c>
      <c r="D20" s="5">
        <v>758900</v>
      </c>
      <c r="E20" s="5">
        <v>1</v>
      </c>
      <c r="F20" s="5">
        <v>113835</v>
      </c>
      <c r="G20" s="5">
        <f t="shared" si="0"/>
        <v>872735</v>
      </c>
    </row>
    <row r="21" spans="1:7">
      <c r="A21" s="4" t="s">
        <v>147</v>
      </c>
      <c r="B21" s="4" t="s">
        <v>148</v>
      </c>
      <c r="C21" s="4" t="s">
        <v>61</v>
      </c>
      <c r="D21" s="5">
        <v>926500</v>
      </c>
      <c r="E21" s="5">
        <v>2</v>
      </c>
      <c r="F21" s="5">
        <v>138975</v>
      </c>
      <c r="G21" s="5">
        <f t="shared" si="0"/>
        <v>1065475</v>
      </c>
    </row>
    <row r="22" spans="1:7">
      <c r="A22" s="4" t="s">
        <v>149</v>
      </c>
      <c r="B22" s="4" t="s">
        <v>150</v>
      </c>
      <c r="C22" s="4" t="s">
        <v>61</v>
      </c>
      <c r="D22" s="5">
        <v>915600</v>
      </c>
      <c r="E22" s="5">
        <v>2</v>
      </c>
      <c r="F22" s="5">
        <v>137340</v>
      </c>
      <c r="G22" s="5">
        <f t="shared" si="0"/>
        <v>1052940</v>
      </c>
    </row>
    <row r="23" spans="1:7">
      <c r="A23" s="4" t="s">
        <v>151</v>
      </c>
      <c r="B23" s="4" t="s">
        <v>152</v>
      </c>
      <c r="C23" s="4" t="s">
        <v>61</v>
      </c>
      <c r="D23" s="5">
        <v>897800</v>
      </c>
      <c r="E23" s="5">
        <v>1</v>
      </c>
      <c r="F23" s="5">
        <v>134670</v>
      </c>
      <c r="G23" s="5">
        <f t="shared" si="0"/>
        <v>1032470</v>
      </c>
    </row>
    <row r="24" spans="1:7">
      <c r="A24" s="4" t="s">
        <v>153</v>
      </c>
      <c r="B24" s="4" t="s">
        <v>154</v>
      </c>
      <c r="C24" s="4" t="s">
        <v>61</v>
      </c>
      <c r="D24" s="5">
        <v>945200</v>
      </c>
      <c r="E24" s="5">
        <v>2</v>
      </c>
      <c r="F24" s="5">
        <v>141780</v>
      </c>
      <c r="G24" s="5">
        <f t="shared" si="0"/>
        <v>1086980</v>
      </c>
    </row>
    <row r="25" spans="1:7">
      <c r="A25" s="4" t="s">
        <v>155</v>
      </c>
      <c r="B25" s="4" t="s">
        <v>156</v>
      </c>
      <c r="C25" s="4" t="s">
        <v>61</v>
      </c>
      <c r="D25" s="5">
        <v>912500</v>
      </c>
      <c r="E25" s="5">
        <v>2</v>
      </c>
      <c r="F25" s="5">
        <v>136875</v>
      </c>
      <c r="G25" s="5">
        <f t="shared" si="0"/>
        <v>1049375</v>
      </c>
    </row>
    <row r="26" spans="1:7">
      <c r="A26" s="4" t="s">
        <v>157</v>
      </c>
      <c r="B26" s="4" t="s">
        <v>158</v>
      </c>
      <c r="C26" s="4" t="s">
        <v>61</v>
      </c>
      <c r="D26" s="5">
        <v>890000</v>
      </c>
      <c r="E26" s="5">
        <v>1</v>
      </c>
      <c r="F26" s="5">
        <v>133500</v>
      </c>
      <c r="G26" s="5">
        <f t="shared" si="0"/>
        <v>1023500</v>
      </c>
    </row>
    <row r="27" spans="1:7">
      <c r="A27" s="4" t="s">
        <v>159</v>
      </c>
      <c r="B27" s="4" t="s">
        <v>160</v>
      </c>
      <c r="C27" s="4" t="s">
        <v>61</v>
      </c>
      <c r="D27" s="5">
        <v>1235000</v>
      </c>
      <c r="E27" s="5">
        <v>8</v>
      </c>
      <c r="F27" s="5">
        <v>185250</v>
      </c>
      <c r="G27" s="5">
        <f t="shared" si="0"/>
        <v>1420250</v>
      </c>
    </row>
    <row r="28" spans="1:7">
      <c r="A28" s="4" t="s">
        <v>153</v>
      </c>
      <c r="B28" s="4" t="s">
        <v>154</v>
      </c>
      <c r="C28" s="4" t="s">
        <v>61</v>
      </c>
      <c r="D28" s="5">
        <v>1189000</v>
      </c>
      <c r="E28" s="5">
        <v>7</v>
      </c>
      <c r="F28" s="5">
        <v>178350</v>
      </c>
      <c r="G28" s="5">
        <f t="shared" si="0"/>
        <v>1367350</v>
      </c>
    </row>
    <row r="29" spans="1:7">
      <c r="A29" s="4" t="s">
        <v>161</v>
      </c>
      <c r="B29" s="4" t="s">
        <v>162</v>
      </c>
      <c r="C29" s="4" t="s">
        <v>61</v>
      </c>
      <c r="D29" s="5">
        <v>1153200</v>
      </c>
      <c r="E29" s="5">
        <v>7</v>
      </c>
      <c r="F29" s="5">
        <v>172980</v>
      </c>
      <c r="G29" s="5">
        <f t="shared" si="0"/>
        <v>1326180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B1:I10"/>
  <sheetViews>
    <sheetView workbookViewId="0"/>
  </sheetViews>
  <sheetFormatPr defaultRowHeight="16.5"/>
  <cols>
    <col min="3" max="3" width="16" customWidth="1"/>
    <col min="4" max="4" width="10.125" customWidth="1"/>
    <col min="5" max="5" width="11.25" customWidth="1"/>
    <col min="6" max="6" width="10.625" bestFit="1" customWidth="1"/>
    <col min="7" max="7" width="12.25" customWidth="1"/>
  </cols>
  <sheetData>
    <row r="1" spans="2:9">
      <c r="B1" s="6" t="s">
        <v>108</v>
      </c>
      <c r="C1" s="6"/>
      <c r="D1" s="6"/>
      <c r="E1" s="6"/>
      <c r="F1" s="6"/>
      <c r="G1" s="6"/>
      <c r="H1" s="6"/>
      <c r="I1" s="6"/>
    </row>
    <row r="2" spans="2:9">
      <c r="B2" s="10" t="s">
        <v>64</v>
      </c>
      <c r="C2" s="10" t="s">
        <v>77</v>
      </c>
      <c r="D2" s="10" t="s">
        <v>78</v>
      </c>
      <c r="E2" s="10" t="s">
        <v>79</v>
      </c>
      <c r="F2" s="11" t="s">
        <v>80</v>
      </c>
      <c r="G2" s="11" t="s">
        <v>107</v>
      </c>
      <c r="H2" s="6"/>
      <c r="I2" s="6"/>
    </row>
    <row r="3" spans="2:9">
      <c r="B3" s="10" t="s">
        <v>81</v>
      </c>
      <c r="C3" s="10" t="s">
        <v>82</v>
      </c>
      <c r="D3" s="10" t="s">
        <v>83</v>
      </c>
      <c r="E3" s="10" t="s">
        <v>84</v>
      </c>
      <c r="F3" s="12">
        <v>83300</v>
      </c>
      <c r="G3" s="12">
        <v>95</v>
      </c>
      <c r="H3" s="6"/>
      <c r="I3" s="6"/>
    </row>
    <row r="4" spans="2:9">
      <c r="B4" s="10" t="s">
        <v>85</v>
      </c>
      <c r="C4" s="10" t="s">
        <v>86</v>
      </c>
      <c r="D4" s="10" t="s">
        <v>87</v>
      </c>
      <c r="E4" s="10" t="s">
        <v>88</v>
      </c>
      <c r="F4" s="12">
        <v>151260</v>
      </c>
      <c r="G4" s="12">
        <v>190</v>
      </c>
      <c r="H4" s="6"/>
      <c r="I4" s="6"/>
    </row>
    <row r="5" spans="2:9">
      <c r="B5" s="10" t="s">
        <v>89</v>
      </c>
      <c r="C5" s="10" t="s">
        <v>90</v>
      </c>
      <c r="D5" s="10" t="s">
        <v>91</v>
      </c>
      <c r="E5" s="10" t="s">
        <v>92</v>
      </c>
      <c r="F5" s="12">
        <v>220760</v>
      </c>
      <c r="G5" s="12">
        <v>350</v>
      </c>
      <c r="H5" s="6"/>
      <c r="I5" s="6"/>
    </row>
    <row r="6" spans="2:9">
      <c r="B6" s="10" t="s">
        <v>93</v>
      </c>
      <c r="C6" s="10" t="s">
        <v>94</v>
      </c>
      <c r="D6" s="10" t="s">
        <v>87</v>
      </c>
      <c r="E6" s="10" t="s">
        <v>95</v>
      </c>
      <c r="F6" s="12">
        <v>210000</v>
      </c>
      <c r="G6" s="12">
        <v>75</v>
      </c>
      <c r="H6" s="6"/>
      <c r="I6" s="6"/>
    </row>
    <row r="7" spans="2:9">
      <c r="B7" s="10" t="s">
        <v>96</v>
      </c>
      <c r="C7" s="10" t="s">
        <v>97</v>
      </c>
      <c r="D7" s="10" t="s">
        <v>91</v>
      </c>
      <c r="E7" s="10" t="s">
        <v>98</v>
      </c>
      <c r="F7" s="12">
        <v>80860</v>
      </c>
      <c r="G7" s="12">
        <v>240</v>
      </c>
      <c r="H7" s="6"/>
      <c r="I7" s="6"/>
    </row>
    <row r="8" spans="2:9">
      <c r="B8" s="10" t="s">
        <v>99</v>
      </c>
      <c r="C8" s="10" t="s">
        <v>100</v>
      </c>
      <c r="D8" s="10" t="s">
        <v>87</v>
      </c>
      <c r="E8" s="10" t="s">
        <v>98</v>
      </c>
      <c r="F8" s="12">
        <v>139860</v>
      </c>
      <c r="G8" s="12">
        <v>180</v>
      </c>
      <c r="H8" s="6"/>
      <c r="I8" s="6"/>
    </row>
    <row r="9" spans="2:9">
      <c r="B9" s="10" t="s">
        <v>101</v>
      </c>
      <c r="C9" s="10" t="s">
        <v>102</v>
      </c>
      <c r="D9" s="10" t="s">
        <v>83</v>
      </c>
      <c r="E9" s="10" t="s">
        <v>103</v>
      </c>
      <c r="F9" s="12">
        <v>163800</v>
      </c>
      <c r="G9" s="12">
        <v>120</v>
      </c>
      <c r="H9" s="6"/>
      <c r="I9" s="6"/>
    </row>
    <row r="10" spans="2:9">
      <c r="B10" s="10" t="s">
        <v>104</v>
      </c>
      <c r="C10" s="10" t="s">
        <v>105</v>
      </c>
      <c r="D10" s="10" t="s">
        <v>83</v>
      </c>
      <c r="E10" s="10" t="s">
        <v>106</v>
      </c>
      <c r="F10" s="12">
        <v>95000</v>
      </c>
      <c r="G10" s="12">
        <v>150</v>
      </c>
      <c r="H10" s="6"/>
      <c r="I10" s="6"/>
    </row>
  </sheetData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5:F22"/>
  <sheetViews>
    <sheetView workbookViewId="0"/>
  </sheetViews>
  <sheetFormatPr defaultRowHeight="16.5"/>
  <cols>
    <col min="3" max="3" width="14.375" bestFit="1" customWidth="1"/>
    <col min="5" max="5" width="12.125" bestFit="1" customWidth="1"/>
  </cols>
  <sheetData>
    <row r="5" spans="1:6">
      <c r="A5" s="1" t="s">
        <v>0</v>
      </c>
      <c r="B5" s="1" t="s">
        <v>1</v>
      </c>
      <c r="C5" s="1" t="s">
        <v>2</v>
      </c>
      <c r="D5" s="1" t="s">
        <v>3</v>
      </c>
      <c r="E5" s="3" t="s">
        <v>26</v>
      </c>
      <c r="F5" s="1" t="s">
        <v>4</v>
      </c>
    </row>
    <row r="6" spans="1:6">
      <c r="A6" s="1" t="s">
        <v>5</v>
      </c>
      <c r="B6" s="1">
        <v>1</v>
      </c>
      <c r="C6" s="15">
        <v>-1</v>
      </c>
      <c r="D6" s="1" t="s">
        <v>6</v>
      </c>
      <c r="E6" s="2" t="s">
        <v>27</v>
      </c>
      <c r="F6" s="1" t="s">
        <v>43</v>
      </c>
    </row>
    <row r="7" spans="1:6">
      <c r="A7" s="1" t="s">
        <v>7</v>
      </c>
      <c r="B7" s="1">
        <v>1</v>
      </c>
      <c r="C7" s="15">
        <v>-17</v>
      </c>
      <c r="D7" s="1" t="s">
        <v>8</v>
      </c>
      <c r="E7" s="2" t="s">
        <v>28</v>
      </c>
      <c r="F7" s="1" t="s">
        <v>44</v>
      </c>
    </row>
    <row r="8" spans="1:6">
      <c r="A8" s="1" t="s">
        <v>9</v>
      </c>
      <c r="B8" s="1">
        <v>12</v>
      </c>
      <c r="C8" s="15">
        <v>5</v>
      </c>
      <c r="D8" s="1" t="s">
        <v>10</v>
      </c>
      <c r="E8" s="2" t="s">
        <v>29</v>
      </c>
      <c r="F8" s="1" t="s">
        <v>45</v>
      </c>
    </row>
    <row r="9" spans="1:6">
      <c r="A9" s="1" t="s">
        <v>11</v>
      </c>
      <c r="B9" s="1">
        <v>25</v>
      </c>
      <c r="C9" s="15">
        <v>12</v>
      </c>
      <c r="D9" s="1" t="s">
        <v>10</v>
      </c>
      <c r="E9" s="2" t="s">
        <v>30</v>
      </c>
      <c r="F9" s="1" t="s">
        <v>46</v>
      </c>
    </row>
    <row r="10" spans="1:6">
      <c r="A10" s="1" t="s">
        <v>12</v>
      </c>
      <c r="B10" s="1">
        <v>7</v>
      </c>
      <c r="C10" s="15">
        <v>-33</v>
      </c>
      <c r="D10" s="1" t="s">
        <v>13</v>
      </c>
      <c r="E10" s="2" t="s">
        <v>31</v>
      </c>
      <c r="F10" s="1" t="s">
        <v>47</v>
      </c>
    </row>
    <row r="11" spans="1:6">
      <c r="A11" s="1" t="s">
        <v>14</v>
      </c>
      <c r="B11" s="1">
        <v>8</v>
      </c>
      <c r="C11" s="15">
        <v>6</v>
      </c>
      <c r="D11" s="1" t="s">
        <v>13</v>
      </c>
      <c r="E11" s="2" t="s">
        <v>32</v>
      </c>
      <c r="F11" s="1" t="s">
        <v>47</v>
      </c>
    </row>
    <row r="12" spans="1:6">
      <c r="A12" s="1" t="s">
        <v>15</v>
      </c>
      <c r="B12" s="1">
        <v>5</v>
      </c>
      <c r="C12" s="15">
        <v>2</v>
      </c>
      <c r="D12" s="1" t="s">
        <v>16</v>
      </c>
      <c r="E12" s="2" t="s">
        <v>33</v>
      </c>
      <c r="F12" s="1" t="s">
        <v>48</v>
      </c>
    </row>
    <row r="13" spans="1:6">
      <c r="A13" s="1" t="s">
        <v>17</v>
      </c>
      <c r="B13" s="1">
        <v>3</v>
      </c>
      <c r="C13" s="15">
        <v>1</v>
      </c>
      <c r="D13" s="1" t="s">
        <v>16</v>
      </c>
      <c r="E13" s="2" t="s">
        <v>34</v>
      </c>
      <c r="F13" s="1" t="s">
        <v>49</v>
      </c>
    </row>
    <row r="14" spans="1:6">
      <c r="A14" s="1" t="s">
        <v>18</v>
      </c>
      <c r="B14" s="1">
        <v>25</v>
      </c>
      <c r="C14" s="15">
        <v>5</v>
      </c>
      <c r="D14" s="1" t="s">
        <v>16</v>
      </c>
      <c r="E14" s="2" t="s">
        <v>35</v>
      </c>
      <c r="F14" s="1" t="s">
        <v>50</v>
      </c>
    </row>
    <row r="15" spans="1:6">
      <c r="A15" s="1" t="s">
        <v>19</v>
      </c>
      <c r="B15" s="1">
        <v>7</v>
      </c>
      <c r="C15" s="15">
        <v>1</v>
      </c>
      <c r="D15" s="1" t="s">
        <v>16</v>
      </c>
      <c r="E15" s="2" t="s">
        <v>36</v>
      </c>
      <c r="F15" s="1" t="s">
        <v>49</v>
      </c>
    </row>
    <row r="16" spans="1:6">
      <c r="A16" s="1" t="s">
        <v>20</v>
      </c>
      <c r="B16" s="1">
        <v>2</v>
      </c>
      <c r="C16" s="15">
        <v>0</v>
      </c>
      <c r="D16" s="1" t="s">
        <v>16</v>
      </c>
      <c r="E16" s="2" t="s">
        <v>37</v>
      </c>
      <c r="F16" s="1" t="s">
        <v>51</v>
      </c>
    </row>
    <row r="17" spans="1:6">
      <c r="A17" s="1" t="s">
        <v>21</v>
      </c>
      <c r="B17" s="1">
        <v>2</v>
      </c>
      <c r="C17" s="15">
        <v>-1</v>
      </c>
      <c r="D17" s="1" t="s">
        <v>8</v>
      </c>
      <c r="E17" s="2" t="s">
        <v>38</v>
      </c>
      <c r="F17" s="1" t="s">
        <v>52</v>
      </c>
    </row>
    <row r="18" spans="1:6">
      <c r="A18" s="1" t="s">
        <v>22</v>
      </c>
      <c r="B18" s="1">
        <v>5</v>
      </c>
      <c r="C18" s="15">
        <v>-17</v>
      </c>
      <c r="D18" s="1" t="s">
        <v>8</v>
      </c>
      <c r="E18" s="2" t="s">
        <v>30</v>
      </c>
      <c r="F18" s="1" t="s">
        <v>53</v>
      </c>
    </row>
    <row r="19" spans="1:6">
      <c r="A19" s="1" t="s">
        <v>23</v>
      </c>
      <c r="B19" s="1">
        <v>25</v>
      </c>
      <c r="C19" s="15">
        <v>5</v>
      </c>
      <c r="D19" s="1" t="s">
        <v>8</v>
      </c>
      <c r="E19" s="2" t="s">
        <v>39</v>
      </c>
      <c r="F19" s="1" t="s">
        <v>47</v>
      </c>
    </row>
    <row r="20" spans="1:6">
      <c r="A20" s="1" t="s">
        <v>24</v>
      </c>
      <c r="B20" s="1">
        <v>18</v>
      </c>
      <c r="C20" s="15">
        <v>12</v>
      </c>
      <c r="D20" s="1" t="s">
        <v>8</v>
      </c>
      <c r="E20" s="2" t="s">
        <v>40</v>
      </c>
      <c r="F20" s="1" t="s">
        <v>50</v>
      </c>
    </row>
    <row r="21" spans="1:6">
      <c r="A21" s="1" t="s">
        <v>25</v>
      </c>
      <c r="B21" s="1">
        <v>17</v>
      </c>
      <c r="C21" s="15">
        <v>-33</v>
      </c>
      <c r="D21" s="1" t="s">
        <v>8</v>
      </c>
      <c r="E21" s="2" t="s">
        <v>41</v>
      </c>
      <c r="F21" s="1" t="s">
        <v>54</v>
      </c>
    </row>
    <row r="22" spans="1:6">
      <c r="A22" s="1" t="s">
        <v>18</v>
      </c>
      <c r="B22" s="1">
        <v>5</v>
      </c>
      <c r="C22" s="15">
        <v>2</v>
      </c>
      <c r="D22" s="1" t="s">
        <v>10</v>
      </c>
      <c r="E22" s="2" t="s">
        <v>42</v>
      </c>
      <c r="F22" s="1" t="s">
        <v>55</v>
      </c>
    </row>
  </sheetData>
  <phoneticPr fontId="2" type="noConversion"/>
  <conditionalFormatting sqref="A5:F5">
    <cfRule type="expression" dxfId="3" priority="1" stopIfTrue="1">
      <formula>OR($C6&gt;=10,$G6=전자)</formula>
    </cfRule>
  </conditionalFormatting>
  <conditionalFormatting sqref="A6:F22">
    <cfRule type="expression" dxfId="2" priority="2" stopIfTrue="1">
      <formula>OR($C6&gt;=10,$G6=전자)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B1:G21"/>
  <sheetViews>
    <sheetView workbookViewId="0"/>
  </sheetViews>
  <sheetFormatPr defaultRowHeight="16.5"/>
  <cols>
    <col min="2" max="2" width="10.125" customWidth="1"/>
    <col min="4" max="4" width="14.375" bestFit="1" customWidth="1"/>
    <col min="6" max="6" width="12.125" bestFit="1" customWidth="1"/>
    <col min="7" max="7" width="8.75" customWidth="1"/>
  </cols>
  <sheetData>
    <row r="1" spans="2:7">
      <c r="B1" s="16"/>
    </row>
    <row r="3" spans="2:7">
      <c r="B3" t="s">
        <v>109</v>
      </c>
      <c r="C3" t="s">
        <v>110</v>
      </c>
    </row>
    <row r="4" spans="2:7">
      <c r="B4" s="1" t="s">
        <v>0</v>
      </c>
      <c r="C4" s="1" t="s">
        <v>1</v>
      </c>
      <c r="D4" s="1" t="s">
        <v>2</v>
      </c>
      <c r="E4" s="1" t="s">
        <v>3</v>
      </c>
      <c r="F4" s="3" t="s">
        <v>26</v>
      </c>
      <c r="G4" s="1" t="s">
        <v>4</v>
      </c>
    </row>
    <row r="5" spans="2:7">
      <c r="B5" s="1" t="s">
        <v>5</v>
      </c>
      <c r="C5" s="1">
        <v>1</v>
      </c>
      <c r="D5" s="1">
        <v>-1</v>
      </c>
      <c r="E5" s="1" t="s">
        <v>6</v>
      </c>
      <c r="F5" s="2" t="s">
        <v>27</v>
      </c>
      <c r="G5" s="1" t="s">
        <v>43</v>
      </c>
    </row>
    <row r="6" spans="2:7">
      <c r="B6" s="1" t="s">
        <v>7</v>
      </c>
      <c r="C6" s="1">
        <v>1</v>
      </c>
      <c r="D6" s="1">
        <v>-17</v>
      </c>
      <c r="E6" s="1" t="s">
        <v>8</v>
      </c>
      <c r="F6" s="2" t="s">
        <v>28</v>
      </c>
      <c r="G6" s="1" t="s">
        <v>44</v>
      </c>
    </row>
    <row r="7" spans="2:7">
      <c r="B7" s="1" t="s">
        <v>9</v>
      </c>
      <c r="C7" s="1">
        <v>12</v>
      </c>
      <c r="D7" s="1">
        <v>5</v>
      </c>
      <c r="E7" s="1" t="s">
        <v>10</v>
      </c>
      <c r="F7" s="2" t="s">
        <v>29</v>
      </c>
      <c r="G7" s="1" t="s">
        <v>45</v>
      </c>
    </row>
    <row r="8" spans="2:7">
      <c r="B8" s="1" t="s">
        <v>11</v>
      </c>
      <c r="C8" s="1">
        <v>25</v>
      </c>
      <c r="D8" s="1">
        <v>12</v>
      </c>
      <c r="E8" s="1" t="s">
        <v>10</v>
      </c>
      <c r="F8" s="2" t="s">
        <v>30</v>
      </c>
      <c r="G8" s="1" t="s">
        <v>46</v>
      </c>
    </row>
    <row r="9" spans="2:7">
      <c r="B9" s="1" t="s">
        <v>12</v>
      </c>
      <c r="C9" s="1">
        <v>7</v>
      </c>
      <c r="D9" s="1">
        <v>-33</v>
      </c>
      <c r="E9" s="1" t="s">
        <v>13</v>
      </c>
      <c r="F9" s="2" t="s">
        <v>31</v>
      </c>
      <c r="G9" s="1" t="s">
        <v>47</v>
      </c>
    </row>
    <row r="10" spans="2:7">
      <c r="B10" s="1" t="s">
        <v>14</v>
      </c>
      <c r="C10" s="1">
        <v>8</v>
      </c>
      <c r="D10" s="1">
        <v>6</v>
      </c>
      <c r="E10" s="1" t="s">
        <v>13</v>
      </c>
      <c r="F10" s="2" t="s">
        <v>32</v>
      </c>
      <c r="G10" s="1" t="s">
        <v>47</v>
      </c>
    </row>
    <row r="11" spans="2:7">
      <c r="B11" s="1" t="s">
        <v>15</v>
      </c>
      <c r="C11" s="1">
        <v>5</v>
      </c>
      <c r="D11" s="1">
        <v>2</v>
      </c>
      <c r="E11" s="1" t="s">
        <v>16</v>
      </c>
      <c r="F11" s="2" t="s">
        <v>33</v>
      </c>
      <c r="G11" s="1" t="s">
        <v>48</v>
      </c>
    </row>
    <row r="12" spans="2:7">
      <c r="B12" s="1" t="s">
        <v>17</v>
      </c>
      <c r="C12" s="1">
        <v>3</v>
      </c>
      <c r="D12" s="1">
        <v>1</v>
      </c>
      <c r="E12" s="1" t="s">
        <v>16</v>
      </c>
      <c r="F12" s="2" t="s">
        <v>34</v>
      </c>
      <c r="G12" s="1" t="s">
        <v>49</v>
      </c>
    </row>
    <row r="13" spans="2:7">
      <c r="B13" s="1" t="s">
        <v>18</v>
      </c>
      <c r="C13" s="1">
        <v>25</v>
      </c>
      <c r="D13" s="1">
        <v>5</v>
      </c>
      <c r="E13" s="1" t="s">
        <v>16</v>
      </c>
      <c r="F13" s="2" t="s">
        <v>35</v>
      </c>
      <c r="G13" s="1" t="s">
        <v>50</v>
      </c>
    </row>
    <row r="14" spans="2:7">
      <c r="B14" s="1" t="s">
        <v>19</v>
      </c>
      <c r="C14" s="1">
        <v>7</v>
      </c>
      <c r="D14" s="1">
        <v>1</v>
      </c>
      <c r="E14" s="1" t="s">
        <v>16</v>
      </c>
      <c r="F14" s="2" t="s">
        <v>36</v>
      </c>
      <c r="G14" s="1" t="s">
        <v>49</v>
      </c>
    </row>
    <row r="15" spans="2:7">
      <c r="B15" s="1" t="s">
        <v>20</v>
      </c>
      <c r="C15" s="1">
        <v>2</v>
      </c>
      <c r="D15" s="1">
        <v>0</v>
      </c>
      <c r="E15" s="1" t="s">
        <v>16</v>
      </c>
      <c r="F15" s="2" t="s">
        <v>37</v>
      </c>
      <c r="G15" s="1" t="s">
        <v>51</v>
      </c>
    </row>
    <row r="16" spans="2:7">
      <c r="B16" s="1" t="s">
        <v>21</v>
      </c>
      <c r="C16" s="1">
        <v>2</v>
      </c>
      <c r="D16" s="1">
        <v>-1</v>
      </c>
      <c r="E16" s="1" t="s">
        <v>8</v>
      </c>
      <c r="F16" s="2" t="s">
        <v>38</v>
      </c>
      <c r="G16" s="1" t="s">
        <v>52</v>
      </c>
    </row>
    <row r="17" spans="2:7">
      <c r="B17" s="1" t="s">
        <v>22</v>
      </c>
      <c r="C17" s="1">
        <v>5</v>
      </c>
      <c r="D17" s="1">
        <v>-17</v>
      </c>
      <c r="E17" s="1" t="s">
        <v>8</v>
      </c>
      <c r="F17" s="2" t="s">
        <v>30</v>
      </c>
      <c r="G17" s="1" t="s">
        <v>53</v>
      </c>
    </row>
    <row r="18" spans="2:7">
      <c r="B18" s="1" t="s">
        <v>23</v>
      </c>
      <c r="C18" s="1">
        <v>25</v>
      </c>
      <c r="D18" s="1">
        <v>5</v>
      </c>
      <c r="E18" s="1" t="s">
        <v>8</v>
      </c>
      <c r="F18" s="2" t="s">
        <v>39</v>
      </c>
      <c r="G18" s="1" t="s">
        <v>47</v>
      </c>
    </row>
    <row r="19" spans="2:7">
      <c r="B19" s="1" t="s">
        <v>24</v>
      </c>
      <c r="C19" s="1">
        <v>18</v>
      </c>
      <c r="D19" s="1">
        <v>12</v>
      </c>
      <c r="E19" s="1" t="s">
        <v>8</v>
      </c>
      <c r="F19" s="2" t="s">
        <v>40</v>
      </c>
      <c r="G19" s="1" t="s">
        <v>50</v>
      </c>
    </row>
    <row r="20" spans="2:7">
      <c r="B20" s="1" t="s">
        <v>25</v>
      </c>
      <c r="C20" s="1">
        <v>17</v>
      </c>
      <c r="D20" s="1">
        <v>-33</v>
      </c>
      <c r="E20" s="1" t="s">
        <v>8</v>
      </c>
      <c r="F20" s="2" t="s">
        <v>41</v>
      </c>
      <c r="G20" s="1" t="s">
        <v>54</v>
      </c>
    </row>
    <row r="21" spans="2:7">
      <c r="B21" s="1" t="s">
        <v>18</v>
      </c>
      <c r="C21" s="1">
        <v>5</v>
      </c>
      <c r="D21" s="1">
        <v>2</v>
      </c>
      <c r="E21" s="1" t="s">
        <v>10</v>
      </c>
      <c r="F21" s="2" t="s">
        <v>42</v>
      </c>
      <c r="G21" s="1" t="s">
        <v>55</v>
      </c>
    </row>
  </sheetData>
  <phoneticPr fontId="2" type="noConversion"/>
  <conditionalFormatting sqref="B4:G4">
    <cfRule type="expression" dxfId="1" priority="1" stopIfTrue="1">
      <formula>OR($C5&gt;=10,$G5=전자)</formula>
    </cfRule>
  </conditionalFormatting>
  <conditionalFormatting sqref="B5:G21">
    <cfRule type="expression" dxfId="0" priority="2" stopIfTrue="1">
      <formula>OR($C5&gt;=10,$G5=전자)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업체검색">
          <controlPr defaultSize="0" autoLine="0" r:id="rId5">
            <anchor moveWithCells="1">
              <from>
                <xdr:col>5</xdr:col>
                <xdr:colOff>0</xdr:colOff>
                <xdr:row>0</xdr:row>
                <xdr:rowOff>0</xdr:rowOff>
              </from>
              <to>
                <xdr:col>6</xdr:col>
                <xdr:colOff>657225</xdr:colOff>
                <xdr:row>2</xdr:row>
                <xdr:rowOff>28575</xdr:rowOff>
              </to>
            </anchor>
          </controlPr>
        </control>
      </mc:Choice>
      <mc:Fallback>
        <control shapeId="1025" r:id="rId4" name="cmd업체검색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'기타작업-2'!MS_Access_Database_Query_2</vt:lpstr>
      <vt:lpstr>'기타작업-3'!MS_Access_Database_Query_2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2021-04-18T12:29:54Z</dcterms:created>
  <dcterms:modified xsi:type="dcterms:W3CDTF">2023-09-09T09:12:59Z</dcterms:modified>
</cp:coreProperties>
</file>