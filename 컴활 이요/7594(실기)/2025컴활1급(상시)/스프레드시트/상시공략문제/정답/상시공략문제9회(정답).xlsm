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5컴활1급(상시)\스프레드시트\상시공략문제\정답\"/>
    </mc:Choice>
  </mc:AlternateContent>
  <xr:revisionPtr revIDLastSave="0" documentId="13_ncr:1_{FAB2DD95-3722-4D8D-BF98-E97EEB38665E}" xr6:coauthVersionLast="47" xr6:coauthVersionMax="47" xr10:uidLastSave="{00000000-0000-0000-0000-000000000000}"/>
  <bookViews>
    <workbookView xWindow="13635" yWindow="240" windowWidth="12975" windowHeight="9210" tabRatio="873" xr2:uid="{00000000-000D-0000-FFFF-FFFF00000000}"/>
  </bookViews>
  <sheets>
    <sheet name="기본작업-1" sheetId="3" r:id="rId1"/>
    <sheet name="기본작업-2" sheetId="12" r:id="rId2"/>
    <sheet name="계산작업" sheetId="5" r:id="rId3"/>
    <sheet name="분석작업-1" sheetId="17" r:id="rId4"/>
    <sheet name="꽃바구니" sheetId="19" r:id="rId5"/>
    <sheet name="분석작업-2" sheetId="11" r:id="rId6"/>
    <sheet name="기타작업-1" sheetId="9" r:id="rId7"/>
    <sheet name="기타작업-2" sheetId="10" r:id="rId8"/>
    <sheet name="기타작업-3" sheetId="1" r:id="rId9"/>
  </sheets>
  <functionGroups builtInGroupCount="19"/>
  <definedNames>
    <definedName name="_xlnm._FilterDatabase" localSheetId="0" hidden="1">'기본작업-1'!$A$2:$E$18</definedName>
    <definedName name="_xlnm._FilterDatabase" localSheetId="5" hidden="1">'분석작업-2'!$A$2:$G$26</definedName>
    <definedName name="_xlnm.Criteria" localSheetId="0">'기본작업-1'!$A$21:$A$22</definedName>
    <definedName name="_xlnm.Extract" localSheetId="0">'기본작업-1'!$A$25:$E$25</definedName>
    <definedName name="MS_Access_Database_Query_2" localSheetId="7">'기타작업-2'!$A$5:$F$22</definedName>
    <definedName name="MS_Access_Database_Query_2" localSheetId="8">'기타작업-3'!$B$4:$G$21</definedName>
    <definedName name="_xlnm.Print_Area" localSheetId="1">'기본작업-2'!$B$2:$G$18</definedName>
  </definedNames>
  <calcPr calcId="191029"/>
  <pivotCaches>
    <pivotCache cacheId="1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3" i="5"/>
  <c r="J18" i="5" a="1"/>
  <c r="J15" i="5" a="1"/>
  <c r="J25" i="5" a="1"/>
  <c r="J26" i="5" a="1"/>
  <c r="J13" i="5" a="1"/>
  <c r="J24" i="5" a="1"/>
  <c r="J7" i="5" a="1"/>
  <c r="J11" i="5" a="1"/>
  <c r="J6" i="5" a="1"/>
  <c r="J20" i="5" a="1"/>
  <c r="J4" i="5" a="1"/>
  <c r="J14" i="5" a="1"/>
  <c r="J16" i="5" a="1"/>
  <c r="J17" i="5" a="1"/>
  <c r="J8" i="5" a="1"/>
  <c r="J3" i="5" a="1"/>
  <c r="J19" i="5" a="1"/>
  <c r="J10" i="5" a="1"/>
  <c r="J21" i="5" a="1"/>
  <c r="J22" i="5" a="1"/>
  <c r="J23" i="5" a="1"/>
  <c r="J9" i="5" a="1"/>
  <c r="J5" i="5" a="1"/>
  <c r="J12" i="5" a="1"/>
  <c r="J13" i="5" l="1"/>
  <c r="J12" i="5"/>
  <c r="J11" i="5"/>
  <c r="J20" i="5"/>
  <c r="J9" i="5"/>
  <c r="J18" i="5"/>
  <c r="J7" i="5"/>
  <c r="J26" i="5"/>
  <c r="J6" i="5"/>
  <c r="J25" i="5"/>
  <c r="J15" i="5"/>
  <c r="J5" i="5"/>
  <c r="J23" i="5"/>
  <c r="J22" i="5"/>
  <c r="J21" i="5"/>
  <c r="J10" i="5"/>
  <c r="J19" i="5"/>
  <c r="J8" i="5"/>
  <c r="J17" i="5"/>
  <c r="J16" i="5"/>
  <c r="J24" i="5"/>
  <c r="J14" i="5"/>
  <c r="J4" i="5"/>
  <c r="J3" i="5"/>
  <c r="O4" i="5" a="1"/>
  <c r="O4" i="5" s="1"/>
  <c r="N4" i="5" a="1"/>
  <c r="N4" i="5" s="1"/>
  <c r="M4" i="5" a="1"/>
  <c r="M4" i="5" s="1"/>
  <c r="O3" i="5" a="1"/>
  <c r="O3" i="5" s="1"/>
  <c r="N3" i="5" a="1"/>
  <c r="N3" i="5" s="1"/>
  <c r="M3" i="5" a="1"/>
  <c r="M3" i="5" s="1"/>
  <c r="O11" i="5" a="1"/>
  <c r="O11" i="5" s="1"/>
  <c r="N11" i="5" a="1"/>
  <c r="N11" i="5" s="1"/>
  <c r="M11" i="5" a="1"/>
  <c r="M11" i="5" s="1"/>
  <c r="O10" i="5" a="1"/>
  <c r="O10" i="5" s="1"/>
  <c r="N10" i="5" a="1"/>
  <c r="N10" i="5" s="1"/>
  <c r="M10" i="5" a="1"/>
  <c r="M10" i="5" s="1"/>
  <c r="O9" i="5" a="1"/>
  <c r="O9" i="5" s="1"/>
  <c r="N9" i="5" a="1"/>
  <c r="N9" i="5" s="1"/>
  <c r="M9" i="5" a="1"/>
  <c r="M9" i="5" s="1"/>
  <c r="O8" i="5" a="1"/>
  <c r="O8" i="5" s="1"/>
  <c r="N8" i="5" a="1"/>
  <c r="N8" i="5" s="1"/>
  <c r="M8" i="5" a="1"/>
  <c r="M8" i="5" s="1"/>
  <c r="I26" i="5" l="1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G4" i="12" l="1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3" i="12"/>
  <c r="A22" i="3" l="1"/>
  <c r="G11" i="11" l="1"/>
  <c r="G9" i="11"/>
  <c r="G24" i="11"/>
  <c r="G23" i="11"/>
  <c r="G22" i="11"/>
  <c r="G21" i="11"/>
  <c r="G20" i="11"/>
  <c r="G19" i="11"/>
  <c r="G18" i="11"/>
  <c r="G7" i="11"/>
  <c r="G14" i="11"/>
  <c r="G15" i="11"/>
  <c r="G25" i="11"/>
  <c r="G13" i="11"/>
  <c r="G17" i="11"/>
  <c r="G26" i="11"/>
  <c r="G10" i="11"/>
  <c r="G16" i="11"/>
  <c r="G12" i="11"/>
  <c r="G8" i="11"/>
  <c r="G6" i="11"/>
  <c r="G5" i="11"/>
  <c r="G4" i="11"/>
  <c r="G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6회\꽃집청년매출.accdb;DefaultDir=E:\영진(2022년)\기출예상문제집\1급\엑셀\예상6회;DriverId=25;FIL=MS Access;MaxBufferSize=2048;PageTimeout=5;" command="SELECT `5월`.상품코드, `5월`.상품명, `5월`.구분, `5월`.판매가, `5월`.주문수량, `5월`.매출금액, `5월`.증감률_x000d__x000a_FROM `5월` `5월`"/>
  </connection>
  <connection id="2" xr16:uid="{00000000-0015-0000-FFFF-FFFF01000000}" name="MS Access Database_Query1" type="1" refreshedVersion="6">
    <dbPr connection="DSN=MS Access Database;DBQ=E:\영진(2022년)\기출예상문제집\1급\엑셀\예상6회\꽃집청년매출.accdb;DefaultDir=E:\영진(2022년)\기출예상문제집\1급\엑셀\예상6회;DriverId=25;FIL=MS Access;MaxBufferSize=2048;PageTimeout=5;" command="SELECT `5월`.구분, `5월`.주문수량, `5월`.매출금액_x000d__x000a_FROM `5월` `5월`"/>
  </connection>
  <connection id="3" xr16:uid="{00000000-0015-0000-FFFF-FFFF02000000}" name="MS Access Database_Query2" type="1" refreshedVersion="6">
    <dbPr connection="DSN=MS Access Database;DBQ=E:\영진(2022년)\기출예상문제집\1급\엑셀\예상6회\꽃집청년매출.accdb;DefaultDir=E:\영진(2022년)\기출예상문제집\1급\엑셀\예상6회;DriverId=25;FIL=MS Access;MaxBufferSize=2048;PageTimeout=5;" command="SELECT `5월`.상품코드, `5월`.상품명, `5월`.구분, `5월`.판매가, `5월`.주문수량, `5월`.매출금액, `5월`.증감률_x000d__x000a_FROM `5월` `5월`"/>
  </connection>
  <connection id="4" xr16:uid="{0DE222C7-8603-4BCB-82B6-B2251F5711BA}" name="MS Access Database_Query3" type="1" refreshedVersion="7" background="1">
    <dbPr connection="DSN=MS Access Database;DBQ=E:\영진(2025년)\1급\상시공략집\2025컴활1급(상시)\스프레드시트\상시공략문제\꽃집청년매출.accdb;DefaultDir=E:\영진(2025년)\1급\상시공략집\2025컴활1급(상시)\스프레드시트\상시공략문제;DriverId=25;FIL=MS Access;MaxBufferSize=2048;PageTimeout=5;" command="SELECT `5월`.상품코드, `5월`.구분, `5월`.주문수량, `5월`.매출금액_x000d__x000a_FROM `5월` `5월`_x000d__x000a_WHERE (`5월`.상품코드 Like '%L') OR (`5월`.상품코드 Like '%M')"/>
  </connection>
  <connection id="5" xr16:uid="{EEDD384D-DC18-41B1-9619-EE097B7FE977}" sourceFile="C:\컴활1급(상시)\스프레드시트\상시공략문제\꽃집청년매출.accdb" keepAlive="1" name="꽃집청년매출" type="5" refreshedVersion="7" background="1">
    <dbPr connection="Provider=Microsoft.ACE.OLEDB.12.0;User ID=Admin;Data Source=C:\컴활1급(상시)\스프레드시트\상시공략문제\꽃집청년매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5월" commandType="3"/>
  </connection>
  <connection id="6" xr16:uid="{00000000-0015-0000-FFFF-FFFF03000000}" name="연결1" type="1" refreshedVersion="2" background="1" saveData="1">
    <dbPr connection="DSN=MS Access Database;DBQ=D:\김세열자료\컴활실기\문제출제3\모집현황.mdb;DefaultDir=D:\김세열자료\컴활실기\문제출제3;DriverId=25;FIL=MS Access;MaxBufferSize=2048;PageTimeout=5;" command="SELECT 모집현황.업체명, 모집현황.구인수, 모집현황.전년대비구인수, 모집현황.소재지, 모집현황.월평균급여, 모집현황.모집직종_x000d__x000a_FROM `D:\김세열자료\컴활실기\문제출제3\모집현황`.모집현황 모집현황_x000d__x000a_WHERE (모집현황.월평균급여&gt;=1000000.0) AND (모집현황.모집직종&lt;&gt;'영어' And 모집현황.모집직종&lt;&gt;'행정')_x000d__x000a_ORDER BY 모집현황.소재지 DESC, 모집현황.업체명"/>
  </connection>
  <connection id="7" xr16:uid="{00000000-0015-0000-FFFF-FFFF04000000}" name="연결11" type="1" refreshedVersion="2" background="1" saveData="1">
    <dbPr connection="DSN=MS Access Database;DBQ=D:\김세열자료\컴활실기\문제출제3\모집현황.mdb;DefaultDir=D:\김세열자료\컴활실기\문제출제3;DriverId=25;FIL=MS Access;MaxBufferSize=2048;PageTimeout=5;" command="SELECT 모집현황.업체명, 모집현황.구인수, 모집현황.전년대비구인수, 모집현황.소재지, 모집현황.월평균급여, 모집현황.모집직종_x000d__x000a_FROM `D:\김세열자료\컴활실기\문제출제3\모집현황`.모집현황 모집현황_x000d__x000a_WHERE (모집현황.월평균급여&gt;=1000000.0) AND (모집현황.모집직종&lt;&gt;'영어' And 모집현황.모집직종&lt;&gt;'행정')_x000d__x000a_ORDER BY 모집현황.소재지 DESC, 모집현황.업체명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<sst xmlns="http://schemas.openxmlformats.org/spreadsheetml/2006/main" count="530" uniqueCount="280">
  <si>
    <t>업체명</t>
  </si>
  <si>
    <t>구인수</t>
  </si>
  <si>
    <t>전년대비구인수</t>
  </si>
  <si>
    <t>소재지</t>
  </si>
  <si>
    <t>모집직종</t>
  </si>
  <si>
    <t>신기루</t>
  </si>
  <si>
    <t>인천</t>
  </si>
  <si>
    <t>아름</t>
  </si>
  <si>
    <t>부산</t>
  </si>
  <si>
    <t>알기로</t>
  </si>
  <si>
    <t>대전</t>
  </si>
  <si>
    <t>도미레</t>
  </si>
  <si>
    <t>새로운</t>
  </si>
  <si>
    <t>대구</t>
  </si>
  <si>
    <t>창조</t>
  </si>
  <si>
    <t>개혁</t>
  </si>
  <si>
    <t>서울</t>
  </si>
  <si>
    <t>무한</t>
  </si>
  <si>
    <t>나기</t>
  </si>
  <si>
    <t>미도</t>
  </si>
  <si>
    <t>구신</t>
  </si>
  <si>
    <t>모기</t>
  </si>
  <si>
    <t>신지</t>
  </si>
  <si>
    <t>이상해</t>
  </si>
  <si>
    <t>대기</t>
  </si>
  <si>
    <t>한글로</t>
  </si>
  <si>
    <t>연평균급여</t>
    <phoneticPr fontId="2" type="noConversion"/>
  </si>
  <si>
    <t>7750 만원</t>
    <phoneticPr fontId="2" type="noConversion"/>
  </si>
  <si>
    <t>6200 만원</t>
    <phoneticPr fontId="2" type="noConversion"/>
  </si>
  <si>
    <t>8430 만원</t>
    <phoneticPr fontId="2" type="noConversion"/>
  </si>
  <si>
    <t>5200 만원</t>
    <phoneticPr fontId="2" type="noConversion"/>
  </si>
  <si>
    <t>4000 만원</t>
    <phoneticPr fontId="2" type="noConversion"/>
  </si>
  <si>
    <t>3140 만원</t>
    <phoneticPr fontId="2" type="noConversion"/>
  </si>
  <si>
    <t>9990 만원</t>
    <phoneticPr fontId="2" type="noConversion"/>
  </si>
  <si>
    <t>5100 만원</t>
    <phoneticPr fontId="2" type="noConversion"/>
  </si>
  <si>
    <t>9800 만원</t>
    <phoneticPr fontId="2" type="noConversion"/>
  </si>
  <si>
    <t>7140 만원</t>
    <phoneticPr fontId="2" type="noConversion"/>
  </si>
  <si>
    <t>6920 만원</t>
    <phoneticPr fontId="2" type="noConversion"/>
  </si>
  <si>
    <t>5780 만원</t>
    <phoneticPr fontId="2" type="noConversion"/>
  </si>
  <si>
    <t>4500 만원</t>
    <phoneticPr fontId="2" type="noConversion"/>
  </si>
  <si>
    <t>3100 만원</t>
    <phoneticPr fontId="2" type="noConversion"/>
  </si>
  <si>
    <t>4100 만원</t>
    <phoneticPr fontId="2" type="noConversion"/>
  </si>
  <si>
    <t>5380 만원</t>
    <phoneticPr fontId="2" type="noConversion"/>
  </si>
  <si>
    <t>유통</t>
    <phoneticPr fontId="2" type="noConversion"/>
  </si>
  <si>
    <t>개발자</t>
    <phoneticPr fontId="2" type="noConversion"/>
  </si>
  <si>
    <t>영업</t>
    <phoneticPr fontId="2" type="noConversion"/>
  </si>
  <si>
    <t>생산</t>
    <phoneticPr fontId="2" type="noConversion"/>
  </si>
  <si>
    <t>서비스</t>
    <phoneticPr fontId="2" type="noConversion"/>
  </si>
  <si>
    <t>개발자</t>
    <phoneticPr fontId="2" type="noConversion"/>
  </si>
  <si>
    <t>유통</t>
    <phoneticPr fontId="2" type="noConversion"/>
  </si>
  <si>
    <t>개발자</t>
    <phoneticPr fontId="2" type="noConversion"/>
  </si>
  <si>
    <t>서비스</t>
    <phoneticPr fontId="2" type="noConversion"/>
  </si>
  <si>
    <t>영업</t>
    <phoneticPr fontId="2" type="noConversion"/>
  </si>
  <si>
    <t>영업</t>
    <phoneticPr fontId="2" type="noConversion"/>
  </si>
  <si>
    <t>생산</t>
    <phoneticPr fontId="2" type="noConversion"/>
  </si>
  <si>
    <t>생산</t>
    <phoneticPr fontId="2" type="noConversion"/>
  </si>
  <si>
    <t>부서</t>
  </si>
  <si>
    <t>기본급</t>
  </si>
  <si>
    <t>근속수당</t>
  </si>
  <si>
    <t>기획부</t>
  </si>
  <si>
    <t>총무부</t>
  </si>
  <si>
    <t>판매부</t>
  </si>
  <si>
    <t>홍보부</t>
  </si>
  <si>
    <t>매출일</t>
    <phoneticPr fontId="2" type="noConversion"/>
  </si>
  <si>
    <t>제품코드</t>
  </si>
  <si>
    <t>제품명</t>
  </si>
  <si>
    <t>AP-4005</t>
  </si>
  <si>
    <t>TA-1218</t>
    <phoneticPr fontId="2" type="noConversion"/>
  </si>
  <si>
    <t>AM-1238</t>
  </si>
  <si>
    <t>SMV-1460</t>
  </si>
  <si>
    <t>LA-1413</t>
    <phoneticPr fontId="2" type="noConversion"/>
  </si>
  <si>
    <t>WT-321</t>
  </si>
  <si>
    <t>RS-9150</t>
  </si>
  <si>
    <t>LA-753</t>
    <phoneticPr fontId="2" type="noConversion"/>
  </si>
  <si>
    <t>MM-818</t>
  </si>
  <si>
    <t>LA-720</t>
    <phoneticPr fontId="2" type="noConversion"/>
  </si>
  <si>
    <t>MF-121</t>
  </si>
  <si>
    <t>꽃다발</t>
  </si>
  <si>
    <t>꽃바구니</t>
  </si>
  <si>
    <t>분재</t>
  </si>
  <si>
    <t>총합계</t>
  </si>
  <si>
    <t>합계 : 주문수량</t>
  </si>
  <si>
    <t>합계 : 매출금액</t>
  </si>
  <si>
    <t>구분</t>
  </si>
  <si>
    <t>합계 : 부가가치세</t>
  </si>
  <si>
    <t>상품코드</t>
  </si>
  <si>
    <t>주문수량</t>
  </si>
  <si>
    <t>매출금액</t>
  </si>
  <si>
    <t>F8964-M</t>
  </si>
  <si>
    <t>F4257-M</t>
  </si>
  <si>
    <t>F4322-L</t>
  </si>
  <si>
    <t>모델명</t>
  </si>
  <si>
    <t>방식</t>
  </si>
  <si>
    <t>제조사</t>
  </si>
  <si>
    <t>가격</t>
    <phoneticPr fontId="2" type="noConversion"/>
  </si>
  <si>
    <t>BK1-021</t>
  </si>
  <si>
    <t>에어셀카모</t>
  </si>
  <si>
    <t>전기요</t>
  </si>
  <si>
    <t>보국전자</t>
  </si>
  <si>
    <t>RA2-019</t>
  </si>
  <si>
    <t>보헤미안무자계</t>
  </si>
  <si>
    <t>전기매트</t>
  </si>
  <si>
    <t>리앤데코</t>
  </si>
  <si>
    <t>HL3-099</t>
  </si>
  <si>
    <t>황토온돌마루</t>
    <phoneticPr fontId="2" type="noConversion"/>
  </si>
  <si>
    <t>온수매트</t>
  </si>
  <si>
    <t>한일의료기</t>
    <phoneticPr fontId="2" type="noConversion"/>
  </si>
  <si>
    <t>RD1-035</t>
  </si>
  <si>
    <t>라디라이트</t>
  </si>
  <si>
    <t>라디언스</t>
  </si>
  <si>
    <t>OE1-082</t>
  </si>
  <si>
    <t>뉴드림스파</t>
    <phoneticPr fontId="2" type="noConversion"/>
  </si>
  <si>
    <t>일월전자</t>
  </si>
  <si>
    <t>OE1-076</t>
  </si>
  <si>
    <t>황토보료</t>
  </si>
  <si>
    <t>BE2-073</t>
  </si>
  <si>
    <t>보이로전기요</t>
  </si>
  <si>
    <t>보이로</t>
  </si>
  <si>
    <t>HE2-052</t>
  </si>
  <si>
    <t>올크리니베이직</t>
  </si>
  <si>
    <t>한일전기</t>
  </si>
  <si>
    <t>소비전력(W)</t>
    <phoneticPr fontId="2" type="noConversion"/>
  </si>
  <si>
    <t>겨울 가전 상품 정보</t>
    <phoneticPr fontId="2" type="noConversion"/>
  </si>
  <si>
    <t>조회 시간 :</t>
    <phoneticPr fontId="2" type="noConversion"/>
  </si>
  <si>
    <t>사원코드</t>
  </si>
  <si>
    <t>사원명</t>
  </si>
  <si>
    <t>근속년수</t>
  </si>
  <si>
    <t>실수령액</t>
  </si>
  <si>
    <t>C9832012</t>
  </si>
  <si>
    <t>박민수</t>
  </si>
  <si>
    <t>G7701001</t>
  </si>
  <si>
    <t>오덕환</t>
  </si>
  <si>
    <t>G7701002</t>
  </si>
  <si>
    <t>김복용</t>
  </si>
  <si>
    <t>G7701003</t>
  </si>
  <si>
    <t>박태석</t>
  </si>
  <si>
    <t>G9701004</t>
  </si>
  <si>
    <t>김민자</t>
  </si>
  <si>
    <t>G9701005</t>
  </si>
  <si>
    <t>임병호</t>
  </si>
  <si>
    <t>G9701006</t>
  </si>
  <si>
    <t>정민영</t>
  </si>
  <si>
    <t>G9832012</t>
  </si>
  <si>
    <t>김태호</t>
  </si>
  <si>
    <t>G9832013</t>
  </si>
  <si>
    <t>김광수</t>
  </si>
  <si>
    <t>G9832014</t>
  </si>
  <si>
    <t>김영남</t>
  </si>
  <si>
    <t>H9701005</t>
  </si>
  <si>
    <t>여해경</t>
  </si>
  <si>
    <t>H9701006</t>
  </si>
  <si>
    <t>김현빈</t>
  </si>
  <si>
    <t>H9701007</t>
  </si>
  <si>
    <t>홍다현</t>
  </si>
  <si>
    <t>H9945311</t>
  </si>
  <si>
    <t>이기자</t>
  </si>
  <si>
    <t>H9945312</t>
  </si>
  <si>
    <t>김민서</t>
  </si>
  <si>
    <t>H9945313</t>
  </si>
  <si>
    <t>이승준</t>
  </si>
  <si>
    <t>P9701003</t>
  </si>
  <si>
    <t>안도연</t>
  </si>
  <si>
    <t>P9701004</t>
  </si>
  <si>
    <t>이승현</t>
  </si>
  <si>
    <t>P9701005</t>
  </si>
  <si>
    <t>김두아</t>
  </si>
  <si>
    <t>P9701006</t>
  </si>
  <si>
    <t>이승주</t>
  </si>
  <si>
    <t>P9701007</t>
  </si>
  <si>
    <t>김정석</t>
  </si>
  <si>
    <t>P9701008</t>
  </si>
  <si>
    <t>임희윤</t>
  </si>
  <si>
    <t>P9832013</t>
  </si>
  <si>
    <t>강승래</t>
  </si>
  <si>
    <t>P9832015</t>
  </si>
  <si>
    <t>이다혜</t>
  </si>
  <si>
    <t>SWP-431</t>
    <phoneticPr fontId="2" type="noConversion"/>
  </si>
  <si>
    <t>RE-54</t>
    <phoneticPr fontId="2" type="noConversion"/>
  </si>
  <si>
    <t>SEM-75</t>
    <phoneticPr fontId="2" type="noConversion"/>
  </si>
  <si>
    <t>TA-343</t>
    <phoneticPr fontId="2" type="noConversion"/>
  </si>
  <si>
    <t>SEM-74</t>
    <phoneticPr fontId="2" type="noConversion"/>
  </si>
  <si>
    <t>가격</t>
    <phoneticPr fontId="2" type="noConversion"/>
  </si>
  <si>
    <t>수량</t>
    <phoneticPr fontId="2" type="noConversion"/>
  </si>
  <si>
    <t>에어팟</t>
    <phoneticPr fontId="2" type="noConversion"/>
  </si>
  <si>
    <t>닌텐도 스위치</t>
    <phoneticPr fontId="2" type="noConversion"/>
  </si>
  <si>
    <t>공기청정기</t>
    <phoneticPr fontId="2" type="noConversion"/>
  </si>
  <si>
    <t>드럼세탁기</t>
    <phoneticPr fontId="2" type="noConversion"/>
  </si>
  <si>
    <t>식기세척기</t>
    <phoneticPr fontId="2" type="noConversion"/>
  </si>
  <si>
    <t>음식물 처리기</t>
    <phoneticPr fontId="2" type="noConversion"/>
  </si>
  <si>
    <t>냉장고</t>
    <phoneticPr fontId="2" type="noConversion"/>
  </si>
  <si>
    <t>에어프라이어</t>
    <phoneticPr fontId="2" type="noConversion"/>
  </si>
  <si>
    <t>압력받솥</t>
    <phoneticPr fontId="2" type="noConversion"/>
  </si>
  <si>
    <t>인덕션</t>
    <phoneticPr fontId="2" type="noConversion"/>
  </si>
  <si>
    <t>김치냉장고</t>
    <phoneticPr fontId="2" type="noConversion"/>
  </si>
  <si>
    <t>건조기</t>
    <phoneticPr fontId="2" type="noConversion"/>
  </si>
  <si>
    <t>로봇청소기</t>
    <phoneticPr fontId="2" type="noConversion"/>
  </si>
  <si>
    <t>무선청소기</t>
    <phoneticPr fontId="2" type="noConversion"/>
  </si>
  <si>
    <t>스타일러</t>
    <phoneticPr fontId="2" type="noConversion"/>
  </si>
  <si>
    <t>제습기</t>
    <phoneticPr fontId="2" type="noConversion"/>
  </si>
  <si>
    <t>조건</t>
    <phoneticPr fontId="2" type="noConversion"/>
  </si>
  <si>
    <t>금액</t>
    <phoneticPr fontId="2" type="noConversion"/>
  </si>
  <si>
    <t>[표1]</t>
    <phoneticPr fontId="2" type="noConversion"/>
  </si>
  <si>
    <t>[표1]</t>
    <phoneticPr fontId="2" type="noConversion"/>
  </si>
  <si>
    <t>[표2]</t>
    <phoneticPr fontId="2" type="noConversion"/>
  </si>
  <si>
    <t>상담번호</t>
    <phoneticPr fontId="2" type="noConversion"/>
  </si>
  <si>
    <t>숙박일수</t>
    <phoneticPr fontId="2" type="noConversion"/>
  </si>
  <si>
    <t>여행기간</t>
    <phoneticPr fontId="2" type="noConversion"/>
  </si>
  <si>
    <t>숙박상품</t>
    <phoneticPr fontId="2" type="noConversion"/>
  </si>
  <si>
    <t>상담일자</t>
    <phoneticPr fontId="2" type="noConversion"/>
  </si>
  <si>
    <t>확정여부</t>
    <phoneticPr fontId="2" type="noConversion"/>
  </si>
  <si>
    <t>렌트카</t>
    <phoneticPr fontId="2" type="noConversion"/>
  </si>
  <si>
    <t>렌트비용</t>
    <phoneticPr fontId="2" type="noConversion"/>
  </si>
  <si>
    <t>할인비용</t>
    <phoneticPr fontId="2" type="noConversion"/>
  </si>
  <si>
    <t>호텔</t>
    <phoneticPr fontId="2" type="noConversion"/>
  </si>
  <si>
    <t>리조트</t>
    <phoneticPr fontId="2" type="noConversion"/>
  </si>
  <si>
    <t>리조트</t>
    <phoneticPr fontId="2" type="noConversion"/>
  </si>
  <si>
    <t>펜션</t>
    <phoneticPr fontId="2" type="noConversion"/>
  </si>
  <si>
    <t>21-001</t>
    <phoneticPr fontId="2" type="noConversion"/>
  </si>
  <si>
    <t>확정</t>
    <phoneticPr fontId="2" type="noConversion"/>
  </si>
  <si>
    <t>RV</t>
    <phoneticPr fontId="2" type="noConversion"/>
  </si>
  <si>
    <t>확정</t>
    <phoneticPr fontId="2" type="noConversion"/>
  </si>
  <si>
    <t>21-002</t>
  </si>
  <si>
    <t>리조트</t>
    <phoneticPr fontId="2" type="noConversion"/>
  </si>
  <si>
    <t>미정</t>
    <phoneticPr fontId="2" type="noConversion"/>
  </si>
  <si>
    <t>소형</t>
    <phoneticPr fontId="2" type="noConversion"/>
  </si>
  <si>
    <t>미정</t>
    <phoneticPr fontId="2" type="noConversion"/>
  </si>
  <si>
    <t>21-003</t>
  </si>
  <si>
    <t>펜션</t>
    <phoneticPr fontId="2" type="noConversion"/>
  </si>
  <si>
    <t>확정</t>
    <phoneticPr fontId="2" type="noConversion"/>
  </si>
  <si>
    <t>승합</t>
    <phoneticPr fontId="2" type="noConversion"/>
  </si>
  <si>
    <t>21-004</t>
  </si>
  <si>
    <t>RV</t>
    <phoneticPr fontId="2" type="noConversion"/>
  </si>
  <si>
    <t>[표3]</t>
    <phoneticPr fontId="2" type="noConversion"/>
  </si>
  <si>
    <t>예약건수</t>
    <phoneticPr fontId="2" type="noConversion"/>
  </si>
  <si>
    <t>21-005</t>
  </si>
  <si>
    <t>중형</t>
    <phoneticPr fontId="2" type="noConversion"/>
  </si>
  <si>
    <t>렌트카</t>
    <phoneticPr fontId="2" type="noConversion"/>
  </si>
  <si>
    <t>호텔</t>
    <phoneticPr fontId="2" type="noConversion"/>
  </si>
  <si>
    <t>21-006</t>
  </si>
  <si>
    <t>소형</t>
    <phoneticPr fontId="2" type="noConversion"/>
  </si>
  <si>
    <t>21-007</t>
  </si>
  <si>
    <t>중형</t>
    <phoneticPr fontId="2" type="noConversion"/>
  </si>
  <si>
    <t>21-008</t>
  </si>
  <si>
    <t>21-009</t>
  </si>
  <si>
    <t>승합</t>
    <phoneticPr fontId="2" type="noConversion"/>
  </si>
  <si>
    <t>21-010</t>
  </si>
  <si>
    <t>21-011</t>
  </si>
  <si>
    <t>[표4]</t>
    <phoneticPr fontId="2" type="noConversion"/>
  </si>
  <si>
    <t>21-012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</si>
  <si>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</si>
  <si>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</si>
  <si>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</si>
  <si>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</si>
  <si>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</si>
  <si>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</si>
  <si>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</si>
  <si>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</si>
  <si>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</si>
  <si>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</si>
  <si>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</si>
  <si>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</si>
  <si>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렌트시간</t>
    <phoneticPr fontId="2" type="noConversion"/>
  </si>
  <si>
    <t>예약률</t>
    <phoneticPr fontId="2" type="noConversion"/>
  </si>
  <si>
    <t xml:space="preserve"> 3 박</t>
    <phoneticPr fontId="2" type="noConversion"/>
  </si>
  <si>
    <t xml:space="preserve"> 4 박</t>
    <phoneticPr fontId="2" type="noConversion"/>
  </si>
  <si>
    <t xml:space="preserve"> 5 박</t>
    <phoneticPr fontId="2" type="noConversion"/>
  </si>
  <si>
    <t xml:space="preserve"> 3 박</t>
    <phoneticPr fontId="2" type="noConversion"/>
  </si>
  <si>
    <t xml:space="preserve"> 1 박</t>
    <phoneticPr fontId="2" type="noConversion"/>
  </si>
  <si>
    <t xml:space="preserve"> 6 박</t>
    <phoneticPr fontId="2" type="noConversion"/>
  </si>
  <si>
    <t xml:space="preserve"> 5 박</t>
    <phoneticPr fontId="2" type="noConversion"/>
  </si>
  <si>
    <t xml:space="preserve"> 5 박</t>
    <phoneticPr fontId="2" type="noConversion"/>
  </si>
  <si>
    <t xml:space="preserve"> 2 박</t>
    <phoneticPr fontId="2" type="noConversion"/>
  </si>
  <si>
    <t xml:space="preserve"> 4 박</t>
    <phoneticPr fontId="2" type="noConversion"/>
  </si>
  <si>
    <t xml:space="preserve"> 3 박</t>
    <phoneticPr fontId="2" type="noConversion"/>
  </si>
  <si>
    <t xml:space="preserve"> 5 박</t>
    <phoneticPr fontId="2" type="noConversion"/>
  </si>
  <si>
    <t xml:space="preserve"> 4 박</t>
    <phoneticPr fontId="2" type="noConversion"/>
  </si>
  <si>
    <t xml:space="preserve"> 5 박</t>
    <phoneticPr fontId="2" type="noConversion"/>
  </si>
  <si>
    <t xml:space="preserve"> 3 박</t>
    <phoneticPr fontId="2" type="noConversion"/>
  </si>
  <si>
    <t>구인 업체 현황</t>
    <phoneticPr fontId="2" type="noConversion"/>
  </si>
  <si>
    <t>오전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</si>
</sst>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&quot;₩&quot;#,##0"/>
    <numFmt numFmtId="177" formatCode="[Blue][&gt;=1]&quot;▲&quot;* 0;[Red][&lt;0]&quot;▼&quot;* 0;;"/>
    <numFmt numFmtId="178" formatCode="m&quot;월&quot;\ d&quot;일&quot;;@"/>
    <numFmt numFmtId="179" formatCode="General\ &quot;시간&quot;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i/>
      <sz val="12"/>
      <color rgb="FF0000FF"/>
      <name val="궁서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41" fontId="4" fillId="0" borderId="1" xfId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1" fontId="4" fillId="0" borderId="1" xfId="1" applyFont="1" applyFill="1" applyBorder="1">
      <alignment vertical="center"/>
    </xf>
    <xf numFmtId="177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41" fontId="4" fillId="0" borderId="1" xfId="1" applyFont="1" applyBorder="1" applyAlignment="1" applyProtection="1">
      <alignment vertical="center"/>
      <protection locked="0"/>
    </xf>
    <xf numFmtId="41" fontId="0" fillId="0" borderId="1" xfId="0" applyNumberFormat="1" applyBorder="1" applyProtection="1">
      <alignment vertical="center"/>
      <protection hidden="1"/>
    </xf>
    <xf numFmtId="0" fontId="0" fillId="0" borderId="1" xfId="0" applyBorder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41" fontId="0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7">
    <dxf>
      <font>
        <b val="0"/>
        <i/>
        <condense val="0"/>
        <extend val="0"/>
      </font>
    </dxf>
    <dxf>
      <font>
        <b val="0"/>
        <i/>
        <condense val="0"/>
        <extend val="0"/>
      </font>
    </dxf>
    <dxf>
      <font>
        <b val="0"/>
        <i/>
        <condense val="0"/>
        <extend val="0"/>
      </font>
    </dxf>
    <dxf>
      <font>
        <b val="0"/>
        <i/>
        <condense val="0"/>
        <extend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strRef>
          <c:f>'기타작업-1'!$B$1</c:f>
          <c:strCache>
            <c:ptCount val="1"/>
            <c:pt idx="0">
              <c:v>겨울 가전 상품 정보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가격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trendline>
            <c:spPr>
              <a:ln w="19050" cap="flat" cmpd="sng" algn="ctr">
                <a:solidFill>
                  <a:schemeClr val="accent4"/>
                </a:solidFill>
                <a:prstDash val="solid"/>
                <a:miter lim="800000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strRef>
              <c:f>'기타작업-1'!$C$3:$C$10</c:f>
              <c:strCache>
                <c:ptCount val="8"/>
                <c:pt idx="0">
                  <c:v>에어셀카모</c:v>
                </c:pt>
                <c:pt idx="1">
                  <c:v>보헤미안무자계</c:v>
                </c:pt>
                <c:pt idx="2">
                  <c:v>황토온돌마루</c:v>
                </c:pt>
                <c:pt idx="3">
                  <c:v>라디라이트</c:v>
                </c:pt>
                <c:pt idx="4">
                  <c:v>뉴드림스파</c:v>
                </c:pt>
                <c:pt idx="5">
                  <c:v>황토보료</c:v>
                </c:pt>
                <c:pt idx="6">
                  <c:v>보이로전기요</c:v>
                </c:pt>
                <c:pt idx="7">
                  <c:v>올크리니베이직</c:v>
                </c:pt>
              </c:strCache>
            </c:strRef>
          </c:cat>
          <c:val>
            <c:numRef>
              <c:f>'기타작업-1'!$F$3:$F$10</c:f>
              <c:numCache>
                <c:formatCode>_(* #,##0_);_(* \(#,##0\);_(* "-"_);_(@_)</c:formatCode>
                <c:ptCount val="8"/>
                <c:pt idx="0">
                  <c:v>83300</c:v>
                </c:pt>
                <c:pt idx="1">
                  <c:v>151260</c:v>
                </c:pt>
                <c:pt idx="2">
                  <c:v>220760</c:v>
                </c:pt>
                <c:pt idx="3">
                  <c:v>210000</c:v>
                </c:pt>
                <c:pt idx="4">
                  <c:v>80860</c:v>
                </c:pt>
                <c:pt idx="5">
                  <c:v>139860</c:v>
                </c:pt>
                <c:pt idx="6">
                  <c:v>163800</c:v>
                </c:pt>
                <c:pt idx="7">
                  <c:v>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E-4238-BA26-9A5FC9CE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137648"/>
        <c:axId val="232144304"/>
      </c:barChart>
      <c:catAx>
        <c:axId val="23213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144304"/>
        <c:crossesAt val="50000"/>
        <c:auto val="1"/>
        <c:lblAlgn val="ctr"/>
        <c:lblOffset val="100"/>
        <c:noMultiLvlLbl val="0"/>
      </c:catAx>
      <c:valAx>
        <c:axId val="23214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'기타작업-1'!$F$2</c:f>
              <c:strCache>
                <c:ptCount val="1"/>
                <c:pt idx="0">
                  <c:v>가격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13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>
      <a:outerShdw blurRad="50800" dist="38100" algn="l" rotWithShape="0">
        <a:prstClr val="black">
          <a:alpha val="40000"/>
        </a:prstClr>
      </a:outerShdw>
    </a:effectLst>
    <a:scene3d>
      <a:camera prst="orthographicFront"/>
      <a:lightRig rig="threePt" dir="t"/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11</xdr:row>
      <xdr:rowOff>0</xdr:rowOff>
    </xdr:from>
    <xdr:to>
      <xdr:col>8</xdr:col>
      <xdr:colOff>696684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657225</xdr:colOff>
          <xdr:row>2</xdr:row>
          <xdr:rowOff>28575</xdr:rowOff>
        </xdr:to>
        <xdr:sp macro="" textlink="">
          <xdr:nvSpPr>
            <xdr:cNvPr id="1025" name="cmd업체검색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36.545286574074" backgroundQuery="1" createdVersion="7" refreshedVersion="7" minRefreshableVersion="3" recordCount="10" xr:uid="{0EA07C38-370D-48C4-9EA1-E22CA3ED1D46}">
  <cacheSource type="external" connectionId="4"/>
  <cacheFields count="5">
    <cacheField name="상품코드" numFmtId="0" sqlType="-9">
      <sharedItems count="10">
        <s v="F8964-M"/>
        <s v="T2578-M"/>
        <s v="F4257-M"/>
        <s v="B2324-L"/>
        <s v="T2583-M"/>
        <s v="B2384-M"/>
        <s v="F4322-L"/>
        <s v="T3284-L"/>
        <s v="T8521-M"/>
        <s v="T2698-L"/>
      </sharedItems>
    </cacheField>
    <cacheField name="구분" numFmtId="0" sqlType="-9">
      <sharedItems count="3">
        <s v="꽃바구니"/>
        <s v="꽃다발"/>
        <s v="분재"/>
      </sharedItems>
    </cacheField>
    <cacheField name="주문수량" numFmtId="0" sqlType="8">
      <sharedItems containsSemiMixedTypes="0" containsString="0" containsNumber="1" containsInteger="1" minValue="38" maxValue="114" count="10">
        <n v="84"/>
        <n v="94"/>
        <n v="39"/>
        <n v="79"/>
        <n v="52"/>
        <n v="69"/>
        <n v="86"/>
        <n v="64"/>
        <n v="38"/>
        <n v="114"/>
      </sharedItems>
    </cacheField>
    <cacheField name="매출금액" numFmtId="0" sqlType="8">
      <sharedItems containsSemiMixedTypes="0" containsString="0" containsNumber="1" containsInteger="1" minValue="1991200" maxValue="15800000" count="10">
        <n v="5947200"/>
        <n v="6298000"/>
        <n v="2269800"/>
        <n v="15800000"/>
        <n v="3026400"/>
        <n v="10350000"/>
        <n v="10750000"/>
        <n v="3776000"/>
        <n v="1991200"/>
        <n v="6954000"/>
      </sharedItems>
    </cacheField>
    <cacheField name="부가가치세" numFmtId="0" formula="매출금액 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</r>
  <r>
    <x v="1"/>
    <x v="1"/>
    <x v="1"/>
    <x v="1"/>
  </r>
  <r>
    <x v="2"/>
    <x v="0"/>
    <x v="2"/>
    <x v="2"/>
  </r>
  <r>
    <x v="3"/>
    <x v="2"/>
    <x v="3"/>
    <x v="3"/>
  </r>
  <r>
    <x v="4"/>
    <x v="1"/>
    <x v="4"/>
    <x v="4"/>
  </r>
  <r>
    <x v="5"/>
    <x v="2"/>
    <x v="5"/>
    <x v="5"/>
  </r>
  <r>
    <x v="6"/>
    <x v="0"/>
    <x v="6"/>
    <x v="6"/>
  </r>
  <r>
    <x v="7"/>
    <x v="1"/>
    <x v="7"/>
    <x v="7"/>
  </r>
  <r>
    <x v="8"/>
    <x v="1"/>
    <x v="8"/>
    <x v="8"/>
  </r>
  <r>
    <x v="9"/>
    <x v="1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9C052-A5CB-4E96-8BA1-8FFA7EF2D61E}" name="피벗 테이블2" cacheId="1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D7" firstHeaderRow="0" firstDataRow="1" firstDataCol="1"/>
  <pivotFields count="5">
    <pivotField compact="0" showAll="0"/>
    <pivotField axis="axisRow" compact="0" showAll="0" sortType="descending">
      <items count="4">
        <item x="2"/>
        <item x="0"/>
        <item x="1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주문수량" fld="2" baseField="0" baseItem="0"/>
    <dataField name="합계 : 매출금액" fld="3" baseField="1" baseItem="0" numFmtId="176"/>
    <dataField name="합계 : 부가가치세" fld="4" baseField="1" baseItem="0" numFmtId="176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7" xr16:uid="{00000000-0016-0000-0700-000000000000}" autoFormatId="16" applyNumberFormats="0" applyBorderFormats="0" applyFontFormats="1" applyPatternFormats="1" applyAlignmentFormats="0" applyWidthHeightFormats="0">
  <queryTableRefresh nextId="7">
    <queryTableFields count="6">
      <queryTableField id="1" name="업체명"/>
      <queryTableField id="2" name="구인수"/>
      <queryTableField id="3" name="전년대비구인수"/>
      <queryTableField id="4" name="소재지"/>
      <queryTableField id="5" name="월평균급여"/>
      <queryTableField id="6" name="모집직종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6" xr16:uid="{00000000-0016-0000-0800-000001000000}" autoFormatId="16" applyNumberFormats="0" applyBorderFormats="0" applyFontFormats="1" applyPatternFormats="1" applyAlignmentFormats="0" applyWidthHeightFormats="0">
  <queryTableRefresh nextId="7">
    <queryTableFields count="6">
      <queryTableField id="1" name="업체명"/>
      <queryTableField id="2" name="구인수"/>
      <queryTableField id="3" name="전년대비구인수"/>
      <queryTableField id="4" name="소재지"/>
      <queryTableField id="5" name="월평균급여"/>
      <queryTableField id="6" name="모집직종"/>
    </queryTableFields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EA7866-15AD-483E-A04C-C6674DAA5DE4}" name="표2" displayName="표2" ref="A1:D4" totalsRowShown="0">
  <autoFilter ref="A1:D4" xr:uid="{D1EA7866-15AD-483E-A04C-C6674DAA5DE4}"/>
  <tableColumns count="4">
    <tableColumn id="1" xr3:uid="{2B92A3BD-0E7F-4415-8670-BCE110F307E2}" name="상품코드"/>
    <tableColumn id="2" xr3:uid="{C6D04F89-D5EF-4EB1-8743-3A3079D3B4D6}" name="구분"/>
    <tableColumn id="3" xr3:uid="{8CF22A0A-D569-4E38-B810-940CED09CC7A}" name="주문수량"/>
    <tableColumn id="4" xr3:uid="{E46AF7A7-71B1-43BF-824E-C8ACF09CBEB5}" name="매출금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8"/>
  <sheetViews>
    <sheetView tabSelected="1" workbookViewId="0"/>
  </sheetViews>
  <sheetFormatPr defaultRowHeight="16.5"/>
  <cols>
    <col min="1" max="1" width="11.625" bestFit="1" customWidth="1"/>
    <col min="2" max="2" width="10.625" bestFit="1" customWidth="1"/>
    <col min="3" max="4" width="14.375" bestFit="1" customWidth="1"/>
    <col min="5" max="5" width="9.25" bestFit="1" customWidth="1"/>
  </cols>
  <sheetData>
    <row r="1" spans="1:5">
      <c r="A1" s="6"/>
      <c r="B1" s="6"/>
      <c r="C1" s="6"/>
      <c r="D1" s="6"/>
      <c r="E1" s="6"/>
    </row>
    <row r="2" spans="1:5">
      <c r="A2" s="8" t="s">
        <v>63</v>
      </c>
      <c r="B2" s="8" t="s">
        <v>64</v>
      </c>
      <c r="C2" s="8" t="s">
        <v>65</v>
      </c>
      <c r="D2" s="8" t="s">
        <v>181</v>
      </c>
      <c r="E2" s="8" t="s">
        <v>182</v>
      </c>
    </row>
    <row r="3" spans="1:5">
      <c r="A3" s="9">
        <v>45792</v>
      </c>
      <c r="B3" s="8" t="s">
        <v>66</v>
      </c>
      <c r="C3" s="8" t="s">
        <v>183</v>
      </c>
      <c r="D3" s="7">
        <v>225900</v>
      </c>
      <c r="E3" s="8">
        <v>15</v>
      </c>
    </row>
    <row r="4" spans="1:5">
      <c r="A4" s="9">
        <v>45802</v>
      </c>
      <c r="B4" s="8" t="s">
        <v>67</v>
      </c>
      <c r="C4" s="8" t="s">
        <v>184</v>
      </c>
      <c r="D4" s="7">
        <v>353890</v>
      </c>
      <c r="E4" s="8">
        <v>12</v>
      </c>
    </row>
    <row r="5" spans="1:5">
      <c r="A5" s="9">
        <v>45909</v>
      </c>
      <c r="B5" s="8" t="s">
        <v>68</v>
      </c>
      <c r="C5" s="8" t="s">
        <v>185</v>
      </c>
      <c r="D5" s="7">
        <v>379000</v>
      </c>
      <c r="E5" s="8">
        <v>3</v>
      </c>
    </row>
    <row r="6" spans="1:5">
      <c r="A6" s="9">
        <v>45996</v>
      </c>
      <c r="B6" s="8" t="s">
        <v>69</v>
      </c>
      <c r="C6" s="8" t="s">
        <v>186</v>
      </c>
      <c r="D6" s="7">
        <v>1890000</v>
      </c>
      <c r="E6" s="8">
        <v>12</v>
      </c>
    </row>
    <row r="7" spans="1:5">
      <c r="A7" s="9">
        <v>45784</v>
      </c>
      <c r="B7" s="8" t="s">
        <v>176</v>
      </c>
      <c r="C7" s="8" t="s">
        <v>187</v>
      </c>
      <c r="D7" s="7">
        <v>590000</v>
      </c>
      <c r="E7" s="8">
        <v>3</v>
      </c>
    </row>
    <row r="8" spans="1:5">
      <c r="A8" s="9">
        <v>45782</v>
      </c>
      <c r="B8" s="8" t="s">
        <v>177</v>
      </c>
      <c r="C8" s="8" t="s">
        <v>188</v>
      </c>
      <c r="D8" s="7">
        <v>770000</v>
      </c>
      <c r="E8" s="8">
        <v>4</v>
      </c>
    </row>
    <row r="9" spans="1:5">
      <c r="A9" s="9">
        <v>45782</v>
      </c>
      <c r="B9" s="8" t="s">
        <v>70</v>
      </c>
      <c r="C9" s="8" t="s">
        <v>189</v>
      </c>
      <c r="D9" s="7">
        <v>1772100</v>
      </c>
      <c r="E9" s="8">
        <v>8</v>
      </c>
    </row>
    <row r="10" spans="1:5">
      <c r="A10" s="9">
        <v>45785</v>
      </c>
      <c r="B10" s="8" t="s">
        <v>71</v>
      </c>
      <c r="C10" s="8" t="s">
        <v>190</v>
      </c>
      <c r="D10" s="7">
        <v>209000</v>
      </c>
      <c r="E10" s="8">
        <v>2</v>
      </c>
    </row>
    <row r="11" spans="1:5">
      <c r="A11" s="9">
        <v>46002</v>
      </c>
      <c r="B11" s="8" t="s">
        <v>72</v>
      </c>
      <c r="C11" s="8" t="s">
        <v>191</v>
      </c>
      <c r="D11" s="7">
        <v>264780</v>
      </c>
      <c r="E11" s="8">
        <v>5</v>
      </c>
    </row>
    <row r="12" spans="1:5">
      <c r="A12" s="9">
        <v>45765</v>
      </c>
      <c r="B12" s="8" t="s">
        <v>73</v>
      </c>
      <c r="C12" s="8" t="s">
        <v>192</v>
      </c>
      <c r="D12" s="7">
        <v>1890000</v>
      </c>
      <c r="E12" s="8">
        <v>9</v>
      </c>
    </row>
    <row r="13" spans="1:5">
      <c r="A13" s="9">
        <v>45823</v>
      </c>
      <c r="B13" s="8" t="s">
        <v>178</v>
      </c>
      <c r="C13" s="8" t="s">
        <v>193</v>
      </c>
      <c r="D13" s="7">
        <v>1155040</v>
      </c>
      <c r="E13" s="8">
        <v>5</v>
      </c>
    </row>
    <row r="14" spans="1:5">
      <c r="A14" s="9">
        <v>45784</v>
      </c>
      <c r="B14" s="8" t="s">
        <v>179</v>
      </c>
      <c r="C14" s="8" t="s">
        <v>194</v>
      </c>
      <c r="D14" s="7">
        <v>766920</v>
      </c>
      <c r="E14" s="8">
        <v>5</v>
      </c>
    </row>
    <row r="15" spans="1:5">
      <c r="A15" s="9">
        <v>45766</v>
      </c>
      <c r="B15" s="8" t="s">
        <v>74</v>
      </c>
      <c r="C15" s="8" t="s">
        <v>195</v>
      </c>
      <c r="D15" s="7">
        <v>599000</v>
      </c>
      <c r="E15" s="8">
        <v>3</v>
      </c>
    </row>
    <row r="16" spans="1:5">
      <c r="A16" s="9">
        <v>45802</v>
      </c>
      <c r="B16" s="8" t="s">
        <v>180</v>
      </c>
      <c r="C16" s="8" t="s">
        <v>196</v>
      </c>
      <c r="D16" s="7">
        <v>703960</v>
      </c>
      <c r="E16" s="8">
        <v>10</v>
      </c>
    </row>
    <row r="17" spans="1:5">
      <c r="A17" s="9">
        <v>46002</v>
      </c>
      <c r="B17" s="8" t="s">
        <v>75</v>
      </c>
      <c r="C17" s="8" t="s">
        <v>197</v>
      </c>
      <c r="D17" s="7">
        <v>1445620</v>
      </c>
      <c r="E17" s="8">
        <v>4</v>
      </c>
    </row>
    <row r="18" spans="1:5">
      <c r="A18" s="9">
        <v>45794</v>
      </c>
      <c r="B18" s="8" t="s">
        <v>76</v>
      </c>
      <c r="C18" s="8" t="s">
        <v>198</v>
      </c>
      <c r="D18" s="7">
        <v>352000</v>
      </c>
      <c r="E18" s="8">
        <v>9</v>
      </c>
    </row>
    <row r="21" spans="1:5">
      <c r="A21" t="s">
        <v>199</v>
      </c>
    </row>
    <row r="22" spans="1:5">
      <c r="A22" t="b">
        <f>AND(ISEVEN(RIGHT(B3,1)),MONTH(A3)=5)</f>
        <v>0</v>
      </c>
    </row>
    <row r="25" spans="1:5">
      <c r="A25" s="8" t="s">
        <v>63</v>
      </c>
      <c r="B25" s="8" t="s">
        <v>64</v>
      </c>
      <c r="C25" s="8" t="s">
        <v>65</v>
      </c>
      <c r="D25" s="8" t="s">
        <v>181</v>
      </c>
      <c r="E25" s="8" t="s">
        <v>182</v>
      </c>
    </row>
    <row r="26" spans="1:5">
      <c r="A26" s="9">
        <v>45802</v>
      </c>
      <c r="B26" s="8" t="s">
        <v>67</v>
      </c>
      <c r="C26" s="8" t="s">
        <v>184</v>
      </c>
      <c r="D26" s="7">
        <v>353890</v>
      </c>
      <c r="E26" s="8">
        <v>12</v>
      </c>
    </row>
    <row r="27" spans="1:5">
      <c r="A27" s="9">
        <v>45782</v>
      </c>
      <c r="B27" s="8" t="s">
        <v>177</v>
      </c>
      <c r="C27" s="8" t="s">
        <v>188</v>
      </c>
      <c r="D27" s="7">
        <v>770000</v>
      </c>
      <c r="E27" s="8">
        <v>4</v>
      </c>
    </row>
    <row r="28" spans="1:5">
      <c r="A28" s="9">
        <v>45802</v>
      </c>
      <c r="B28" s="8" t="s">
        <v>180</v>
      </c>
      <c r="C28" s="8" t="s">
        <v>196</v>
      </c>
      <c r="D28" s="7">
        <v>703960</v>
      </c>
      <c r="E28" s="8">
        <v>10</v>
      </c>
    </row>
  </sheetData>
  <phoneticPr fontId="2" type="noConversion"/>
  <conditionalFormatting sqref="A3:E18">
    <cfRule type="expression" dxfId="5" priority="1">
      <formula>AND(MONTH($A3)=5,$E3&gt;=6,$E3&lt;=12)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G18"/>
  <sheetViews>
    <sheetView view="pageBreakPreview" zoomScaleNormal="100" zoomScaleSheetLayoutView="100" workbookViewId="0">
      <selection activeCell="B2" sqref="B2"/>
    </sheetView>
  </sheetViews>
  <sheetFormatPr defaultColWidth="8.625" defaultRowHeight="16.5"/>
  <cols>
    <col min="1" max="1" width="8.625" style="19"/>
    <col min="2" max="2" width="12.25" style="19" customWidth="1"/>
    <col min="3" max="3" width="13" style="19" customWidth="1"/>
    <col min="4" max="4" width="14.875" style="19" customWidth="1"/>
    <col min="5" max="5" width="12.75" style="19" customWidth="1"/>
    <col min="6" max="6" width="10.375" style="19" customWidth="1"/>
    <col min="7" max="7" width="11.75" style="19" bestFit="1" customWidth="1"/>
    <col min="8" max="16384" width="8.625" style="19"/>
  </cols>
  <sheetData>
    <row r="2" spans="2:7">
      <c r="B2" s="17" t="s">
        <v>63</v>
      </c>
      <c r="C2" s="17" t="s">
        <v>64</v>
      </c>
      <c r="D2" s="17" t="s">
        <v>65</v>
      </c>
      <c r="E2" s="17" t="s">
        <v>94</v>
      </c>
      <c r="F2" s="17" t="s">
        <v>182</v>
      </c>
      <c r="G2" s="18" t="s">
        <v>200</v>
      </c>
    </row>
    <row r="3" spans="2:7">
      <c r="B3" s="20">
        <v>45792</v>
      </c>
      <c r="C3" s="17" t="s">
        <v>66</v>
      </c>
      <c r="D3" s="17" t="s">
        <v>183</v>
      </c>
      <c r="E3" s="21">
        <v>225900</v>
      </c>
      <c r="F3" s="17">
        <v>15</v>
      </c>
      <c r="G3" s="22">
        <f>E3*F3</f>
        <v>3388500</v>
      </c>
    </row>
    <row r="4" spans="2:7">
      <c r="B4" s="20">
        <v>45802</v>
      </c>
      <c r="C4" s="17" t="s">
        <v>67</v>
      </c>
      <c r="D4" s="17" t="s">
        <v>184</v>
      </c>
      <c r="E4" s="21">
        <v>353890</v>
      </c>
      <c r="F4" s="17">
        <v>12</v>
      </c>
      <c r="G4" s="22">
        <f t="shared" ref="G4:G18" si="0">E4*F4</f>
        <v>4246680</v>
      </c>
    </row>
    <row r="5" spans="2:7">
      <c r="B5" s="20">
        <v>45909</v>
      </c>
      <c r="C5" s="17" t="s">
        <v>68</v>
      </c>
      <c r="D5" s="17" t="s">
        <v>185</v>
      </c>
      <c r="E5" s="21">
        <v>379000</v>
      </c>
      <c r="F5" s="17">
        <v>3</v>
      </c>
      <c r="G5" s="22">
        <f t="shared" si="0"/>
        <v>1137000</v>
      </c>
    </row>
    <row r="6" spans="2:7">
      <c r="B6" s="20">
        <v>45996</v>
      </c>
      <c r="C6" s="17" t="s">
        <v>69</v>
      </c>
      <c r="D6" s="17" t="s">
        <v>186</v>
      </c>
      <c r="E6" s="21">
        <v>1890000</v>
      </c>
      <c r="F6" s="17">
        <v>12</v>
      </c>
      <c r="G6" s="22">
        <f t="shared" si="0"/>
        <v>22680000</v>
      </c>
    </row>
    <row r="7" spans="2:7">
      <c r="B7" s="20">
        <v>45784</v>
      </c>
      <c r="C7" s="17" t="s">
        <v>176</v>
      </c>
      <c r="D7" s="17" t="s">
        <v>187</v>
      </c>
      <c r="E7" s="21">
        <v>590000</v>
      </c>
      <c r="F7" s="17">
        <v>3</v>
      </c>
      <c r="G7" s="22">
        <f t="shared" si="0"/>
        <v>1770000</v>
      </c>
    </row>
    <row r="8" spans="2:7">
      <c r="B8" s="20">
        <v>45782</v>
      </c>
      <c r="C8" s="17" t="s">
        <v>177</v>
      </c>
      <c r="D8" s="17" t="s">
        <v>188</v>
      </c>
      <c r="E8" s="21">
        <v>770000</v>
      </c>
      <c r="F8" s="17">
        <v>4</v>
      </c>
      <c r="G8" s="22">
        <f t="shared" si="0"/>
        <v>3080000</v>
      </c>
    </row>
    <row r="9" spans="2:7">
      <c r="B9" s="20">
        <v>45782</v>
      </c>
      <c r="C9" s="17" t="s">
        <v>70</v>
      </c>
      <c r="D9" s="17" t="s">
        <v>189</v>
      </c>
      <c r="E9" s="21">
        <v>1772100</v>
      </c>
      <c r="F9" s="17">
        <v>8</v>
      </c>
      <c r="G9" s="22">
        <f t="shared" si="0"/>
        <v>14176800</v>
      </c>
    </row>
    <row r="10" spans="2:7">
      <c r="B10" s="20">
        <v>45785</v>
      </c>
      <c r="C10" s="17" t="s">
        <v>71</v>
      </c>
      <c r="D10" s="17" t="s">
        <v>190</v>
      </c>
      <c r="E10" s="21">
        <v>209000</v>
      </c>
      <c r="F10" s="17">
        <v>2</v>
      </c>
      <c r="G10" s="22">
        <f t="shared" si="0"/>
        <v>418000</v>
      </c>
    </row>
    <row r="11" spans="2:7">
      <c r="B11" s="20">
        <v>46002</v>
      </c>
      <c r="C11" s="17" t="s">
        <v>72</v>
      </c>
      <c r="D11" s="17" t="s">
        <v>191</v>
      </c>
      <c r="E11" s="21">
        <v>264780</v>
      </c>
      <c r="F11" s="17">
        <v>5</v>
      </c>
      <c r="G11" s="22">
        <f t="shared" si="0"/>
        <v>1323900</v>
      </c>
    </row>
    <row r="12" spans="2:7">
      <c r="B12" s="20">
        <v>45765</v>
      </c>
      <c r="C12" s="17" t="s">
        <v>73</v>
      </c>
      <c r="D12" s="17" t="s">
        <v>192</v>
      </c>
      <c r="E12" s="21">
        <v>1890000</v>
      </c>
      <c r="F12" s="17">
        <v>9</v>
      </c>
      <c r="G12" s="22">
        <f t="shared" si="0"/>
        <v>17010000</v>
      </c>
    </row>
    <row r="13" spans="2:7">
      <c r="B13" s="20">
        <v>45823</v>
      </c>
      <c r="C13" s="17" t="s">
        <v>178</v>
      </c>
      <c r="D13" s="17" t="s">
        <v>193</v>
      </c>
      <c r="E13" s="21">
        <v>1155040</v>
      </c>
      <c r="F13" s="17">
        <v>5</v>
      </c>
      <c r="G13" s="22">
        <f t="shared" si="0"/>
        <v>5775200</v>
      </c>
    </row>
    <row r="14" spans="2:7">
      <c r="B14" s="20">
        <v>45784</v>
      </c>
      <c r="C14" s="17" t="s">
        <v>179</v>
      </c>
      <c r="D14" s="17" t="s">
        <v>194</v>
      </c>
      <c r="E14" s="21">
        <v>766920</v>
      </c>
      <c r="F14" s="17">
        <v>5</v>
      </c>
      <c r="G14" s="22">
        <f t="shared" si="0"/>
        <v>3834600</v>
      </c>
    </row>
    <row r="15" spans="2:7">
      <c r="B15" s="20">
        <v>45766</v>
      </c>
      <c r="C15" s="17" t="s">
        <v>74</v>
      </c>
      <c r="D15" s="17" t="s">
        <v>195</v>
      </c>
      <c r="E15" s="21">
        <v>599000</v>
      </c>
      <c r="F15" s="17">
        <v>3</v>
      </c>
      <c r="G15" s="22">
        <f t="shared" si="0"/>
        <v>1797000</v>
      </c>
    </row>
    <row r="16" spans="2:7">
      <c r="B16" s="20">
        <v>45802</v>
      </c>
      <c r="C16" s="17" t="s">
        <v>180</v>
      </c>
      <c r="D16" s="17" t="s">
        <v>196</v>
      </c>
      <c r="E16" s="21">
        <v>703960</v>
      </c>
      <c r="F16" s="17">
        <v>10</v>
      </c>
      <c r="G16" s="22">
        <f t="shared" si="0"/>
        <v>7039600</v>
      </c>
    </row>
    <row r="17" spans="2:7">
      <c r="B17" s="20">
        <v>46002</v>
      </c>
      <c r="C17" s="17" t="s">
        <v>75</v>
      </c>
      <c r="D17" s="17" t="s">
        <v>197</v>
      </c>
      <c r="E17" s="21">
        <v>1445620</v>
      </c>
      <c r="F17" s="17">
        <v>4</v>
      </c>
      <c r="G17" s="22">
        <f t="shared" si="0"/>
        <v>5782480</v>
      </c>
    </row>
    <row r="18" spans="2:7">
      <c r="B18" s="20">
        <v>45794</v>
      </c>
      <c r="C18" s="17" t="s">
        <v>76</v>
      </c>
      <c r="D18" s="17" t="s">
        <v>198</v>
      </c>
      <c r="E18" s="21">
        <v>352000</v>
      </c>
      <c r="F18" s="17">
        <v>9</v>
      </c>
      <c r="G18" s="22">
        <f t="shared" si="0"/>
        <v>3168000</v>
      </c>
    </row>
  </sheetData>
  <sheetProtection sheet="1" objects="1" scenarios="1" formatCells="0"/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9"/>
  <sheetViews>
    <sheetView workbookViewId="0">
      <selection activeCell="M3" sqref="M3"/>
    </sheetView>
  </sheetViews>
  <sheetFormatPr defaultRowHeight="16.5"/>
  <cols>
    <col min="10" max="10" width="9.375" style="31" bestFit="1" customWidth="1"/>
    <col min="11" max="11" width="1.625" customWidth="1"/>
  </cols>
  <sheetData>
    <row r="1" spans="1:18">
      <c r="A1" t="s">
        <v>202</v>
      </c>
      <c r="L1" t="s">
        <v>203</v>
      </c>
      <c r="M1" t="s">
        <v>262</v>
      </c>
    </row>
    <row r="2" spans="1:18">
      <c r="A2" s="23" t="s">
        <v>204</v>
      </c>
      <c r="B2" s="4" t="s">
        <v>205</v>
      </c>
      <c r="C2" s="29" t="s">
        <v>206</v>
      </c>
      <c r="D2" s="4" t="s">
        <v>207</v>
      </c>
      <c r="E2" s="4" t="s">
        <v>208</v>
      </c>
      <c r="F2" s="4" t="s">
        <v>209</v>
      </c>
      <c r="G2" s="4" t="s">
        <v>210</v>
      </c>
      <c r="H2" s="4" t="s">
        <v>261</v>
      </c>
      <c r="I2" s="29" t="s">
        <v>211</v>
      </c>
      <c r="J2" s="32" t="s">
        <v>212</v>
      </c>
      <c r="L2" s="4" t="s">
        <v>209</v>
      </c>
      <c r="M2" s="29" t="s">
        <v>213</v>
      </c>
      <c r="N2" s="29" t="s">
        <v>215</v>
      </c>
      <c r="O2" s="29" t="s">
        <v>216</v>
      </c>
    </row>
    <row r="3" spans="1:18">
      <c r="A3" s="4" t="s">
        <v>217</v>
      </c>
      <c r="B3" s="4" t="s">
        <v>263</v>
      </c>
      <c r="C3" s="30" t="str">
        <f>_xlfn.CONCAT(LEFT(TRIM(B3),1),"박",LEFT(TRIM(B3),1)+1,"일")</f>
        <v>3박4일</v>
      </c>
      <c r="D3" s="4" t="s">
        <v>213</v>
      </c>
      <c r="E3" s="24">
        <v>44258</v>
      </c>
      <c r="F3" s="4" t="s">
        <v>218</v>
      </c>
      <c r="G3" s="4" t="s">
        <v>219</v>
      </c>
      <c r="H3" s="25">
        <v>78</v>
      </c>
      <c r="I3" s="5">
        <f>HLOOKUP(H3,$M$14:$R$19,MATCH(G3,$L$16:$L$19,0)+2)</f>
        <v>130000</v>
      </c>
      <c r="J3" s="5" cm="1">
        <f t="array" ref="J3">fn할인비용(I3)</f>
        <v>123500</v>
      </c>
      <c r="L3" s="4" t="s">
        <v>220</v>
      </c>
      <c r="M3" s="30" t="str">
        <f t="array" ref="M3">TEXT(COUNT(IF(($F$3:$F$26=$L3)*($D$3:$D$26=M$2),1))/COUNTA($D$3:$D$26),"0%")</f>
        <v>38%</v>
      </c>
      <c r="N3" s="30" t="str">
        <f t="array" ref="N3">TEXT(COUNT(IF(($F$3:$F$26=$L3)*($D$3:$D$26=N$2),1))/COUNTA($D$3:$D$26),"0%")</f>
        <v>25%</v>
      </c>
      <c r="O3" s="30" t="str">
        <f t="array" ref="O3">TEXT(COUNT(IF(($F$3:$F$26=$L3)*($D$3:$D$26=O$2),1))/COUNTA($D$3:$D$26),"0%")</f>
        <v>13%</v>
      </c>
    </row>
    <row r="4" spans="1:18">
      <c r="A4" s="4" t="s">
        <v>221</v>
      </c>
      <c r="B4" s="4" t="s">
        <v>264</v>
      </c>
      <c r="C4" s="34" t="str">
        <f t="shared" ref="C4:C26" si="0">_xlfn.CONCAT(LEFT(TRIM(B4),1),"박",LEFT(TRIM(B4),1)+1,"일")</f>
        <v>4박5일</v>
      </c>
      <c r="D4" s="4" t="s">
        <v>222</v>
      </c>
      <c r="E4" s="24">
        <v>44258</v>
      </c>
      <c r="F4" s="4" t="s">
        <v>223</v>
      </c>
      <c r="G4" s="4" t="s">
        <v>224</v>
      </c>
      <c r="H4" s="25">
        <v>80</v>
      </c>
      <c r="I4" s="5">
        <f t="shared" ref="I4:I26" si="1">HLOOKUP(H4,$M$14:$R$19,MATCH(G4,$L$16:$L$19,0)+2)</f>
        <v>110000</v>
      </c>
      <c r="J4" s="5" cm="1">
        <f t="array" ref="J4">fn할인비용(I4)</f>
        <v>104500</v>
      </c>
      <c r="L4" s="4" t="s">
        <v>225</v>
      </c>
      <c r="M4" s="30" t="str">
        <f t="array" ref="M4">TEXT(COUNT(IF(($F$3:$F$26=$L4)*($D$3:$D$26=M$2),1))/COUNTA($D$3:$D$26),"0%")</f>
        <v>0%</v>
      </c>
      <c r="N4" s="30" t="str">
        <f t="array" ref="N4">TEXT(COUNT(IF(($F$3:$F$26=$L4)*($D$3:$D$26=N$2),1))/COUNTA($D$3:$D$26),"0%")</f>
        <v>17%</v>
      </c>
      <c r="O4" s="30" t="str">
        <f t="array" ref="O4">TEXT(COUNT(IF(($F$3:$F$26=$L4)*($D$3:$D$26=O$2),1))/COUNTA($D$3:$D$26),"0%")</f>
        <v>8%</v>
      </c>
    </row>
    <row r="5" spans="1:18">
      <c r="A5" s="4" t="s">
        <v>226</v>
      </c>
      <c r="B5" s="4" t="s">
        <v>265</v>
      </c>
      <c r="C5" s="34" t="str">
        <f t="shared" si="0"/>
        <v>5박6일</v>
      </c>
      <c r="D5" s="4" t="s">
        <v>227</v>
      </c>
      <c r="E5" s="24">
        <v>44259</v>
      </c>
      <c r="F5" s="4" t="s">
        <v>228</v>
      </c>
      <c r="G5" s="4" t="s">
        <v>229</v>
      </c>
      <c r="H5" s="25">
        <v>125</v>
      </c>
      <c r="I5" s="5">
        <f t="shared" si="1"/>
        <v>200000</v>
      </c>
      <c r="J5" s="5" cm="1">
        <f t="array" ref="J5">fn할인비용(I5)</f>
        <v>180000</v>
      </c>
    </row>
    <row r="6" spans="1:18">
      <c r="A6" s="4" t="s">
        <v>230</v>
      </c>
      <c r="B6" s="4" t="s">
        <v>263</v>
      </c>
      <c r="C6" s="34" t="str">
        <f t="shared" si="0"/>
        <v>3박4일</v>
      </c>
      <c r="D6" s="4" t="s">
        <v>213</v>
      </c>
      <c r="E6" s="24">
        <v>44259</v>
      </c>
      <c r="F6" s="4" t="s">
        <v>228</v>
      </c>
      <c r="G6" s="4" t="s">
        <v>231</v>
      </c>
      <c r="H6" s="25">
        <v>84</v>
      </c>
      <c r="I6" s="5">
        <f t="shared" si="1"/>
        <v>130000</v>
      </c>
      <c r="J6" s="5" cm="1">
        <f t="array" ref="J6">fn할인비용(I6)</f>
        <v>123500</v>
      </c>
      <c r="L6" s="26" t="s">
        <v>232</v>
      </c>
      <c r="M6" t="s">
        <v>233</v>
      </c>
    </row>
    <row r="7" spans="1:18">
      <c r="A7" s="4" t="s">
        <v>234</v>
      </c>
      <c r="B7" s="4" t="s">
        <v>266</v>
      </c>
      <c r="C7" s="34" t="str">
        <f t="shared" si="0"/>
        <v>3박4일</v>
      </c>
      <c r="D7" s="4" t="s">
        <v>222</v>
      </c>
      <c r="E7" s="24">
        <v>44259</v>
      </c>
      <c r="F7" s="4" t="s">
        <v>218</v>
      </c>
      <c r="G7" s="4" t="s">
        <v>235</v>
      </c>
      <c r="H7" s="25">
        <v>91</v>
      </c>
      <c r="I7" s="5">
        <f t="shared" si="1"/>
        <v>120000</v>
      </c>
      <c r="J7" s="5" cm="1">
        <f t="array" ref="J7">fn할인비용(I7)</f>
        <v>114000</v>
      </c>
      <c r="L7" s="4" t="s">
        <v>236</v>
      </c>
      <c r="M7" s="29" t="s">
        <v>237</v>
      </c>
      <c r="N7" s="29" t="s">
        <v>214</v>
      </c>
      <c r="O7" s="29" t="s">
        <v>216</v>
      </c>
    </row>
    <row r="8" spans="1:18">
      <c r="A8" s="4" t="s">
        <v>238</v>
      </c>
      <c r="B8" s="4" t="s">
        <v>267</v>
      </c>
      <c r="C8" s="34" t="str">
        <f t="shared" si="0"/>
        <v>1박2일</v>
      </c>
      <c r="D8" s="4" t="s">
        <v>213</v>
      </c>
      <c r="E8" s="24">
        <v>44260</v>
      </c>
      <c r="F8" s="4" t="s">
        <v>218</v>
      </c>
      <c r="G8" s="4" t="s">
        <v>224</v>
      </c>
      <c r="H8" s="25">
        <v>28</v>
      </c>
      <c r="I8" s="5">
        <f t="shared" si="1"/>
        <v>50000</v>
      </c>
      <c r="J8" s="5" cm="1">
        <f t="array" ref="J8">fn할인비용(I8)</f>
        <v>48500</v>
      </c>
      <c r="L8" s="4" t="s">
        <v>239</v>
      </c>
      <c r="M8" s="27" t="str">
        <f t="array" ref="M8">SUM(IF(($G$3:$G$26=$L8)*($D$3:$D$26=M$7),1))&amp;"건"</f>
        <v>2건</v>
      </c>
      <c r="N8" s="27" t="str">
        <f t="array" ref="N8">SUM(IF(($G$3:$G$26=$L8)*($D$3:$D$26=N$7),1))&amp;"건"</f>
        <v>4건</v>
      </c>
      <c r="O8" s="27" t="str">
        <f t="array" ref="O8">SUM(IF(($G$3:$G$26=$L8)*($D$3:$D$26=O$7),1))&amp;"건"</f>
        <v>1건</v>
      </c>
    </row>
    <row r="9" spans="1:18">
      <c r="A9" s="4" t="s">
        <v>240</v>
      </c>
      <c r="B9" s="4" t="s">
        <v>268</v>
      </c>
      <c r="C9" s="34" t="str">
        <f t="shared" si="0"/>
        <v>6박7일</v>
      </c>
      <c r="D9" s="4" t="s">
        <v>237</v>
      </c>
      <c r="E9" s="24">
        <v>44260</v>
      </c>
      <c r="F9" s="4" t="s">
        <v>228</v>
      </c>
      <c r="G9" s="4" t="s">
        <v>231</v>
      </c>
      <c r="H9" s="25">
        <v>148</v>
      </c>
      <c r="I9" s="5">
        <f t="shared" si="1"/>
        <v>220000</v>
      </c>
      <c r="J9" s="5" cm="1">
        <f t="array" ref="J9">fn할인비용(I9)</f>
        <v>198000</v>
      </c>
      <c r="L9" s="4" t="s">
        <v>241</v>
      </c>
      <c r="M9" s="27" t="str">
        <f t="array" ref="M9">SUM(IF(($G$3:$G$26=$L9)*($D$3:$D$26=M$7),1))&amp;"건"</f>
        <v>1건</v>
      </c>
      <c r="N9" s="27" t="str">
        <f t="array" ref="N9">SUM(IF(($G$3:$G$26=$L9)*($D$3:$D$26=N$7),1))&amp;"건"</f>
        <v>5건</v>
      </c>
      <c r="O9" s="27" t="str">
        <f t="array" ref="O9">SUM(IF(($G$3:$G$26=$L9)*($D$3:$D$26=O$7),1))&amp;"건"</f>
        <v>2건</v>
      </c>
    </row>
    <row r="10" spans="1:18">
      <c r="A10" s="4" t="s">
        <v>242</v>
      </c>
      <c r="B10" s="4" t="s">
        <v>264</v>
      </c>
      <c r="C10" s="34" t="str">
        <f t="shared" si="0"/>
        <v>4박5일</v>
      </c>
      <c r="D10" s="4" t="s">
        <v>222</v>
      </c>
      <c r="E10" s="24">
        <v>44260</v>
      </c>
      <c r="F10" s="4" t="s">
        <v>225</v>
      </c>
      <c r="G10" s="4" t="s">
        <v>241</v>
      </c>
      <c r="H10" s="25">
        <v>98</v>
      </c>
      <c r="I10" s="5">
        <f t="shared" si="1"/>
        <v>150000</v>
      </c>
      <c r="J10" s="5" cm="1">
        <f t="array" ref="J10">fn할인비용(I10)</f>
        <v>142500</v>
      </c>
      <c r="L10" s="4" t="s">
        <v>231</v>
      </c>
      <c r="M10" s="27" t="str">
        <f t="array" ref="M10">SUM(IF(($G$3:$G$26=$L10)*($D$3:$D$26=M$7),1))&amp;"건"</f>
        <v>5건</v>
      </c>
      <c r="N10" s="27" t="str">
        <f t="array" ref="N10">SUM(IF(($G$3:$G$26=$L10)*($D$3:$D$26=N$7),1))&amp;"건"</f>
        <v>1건</v>
      </c>
      <c r="O10" s="27" t="str">
        <f t="array" ref="O10">SUM(IF(($G$3:$G$26=$L10)*($D$3:$D$26=O$7),1))&amp;"건"</f>
        <v>0건</v>
      </c>
    </row>
    <row r="11" spans="1:18">
      <c r="A11" s="4" t="s">
        <v>243</v>
      </c>
      <c r="B11" s="4" t="s">
        <v>263</v>
      </c>
      <c r="C11" s="34" t="str">
        <f t="shared" si="0"/>
        <v>3박4일</v>
      </c>
      <c r="D11" s="4" t="s">
        <v>222</v>
      </c>
      <c r="E11" s="24">
        <v>44263</v>
      </c>
      <c r="F11" s="4" t="s">
        <v>228</v>
      </c>
      <c r="G11" s="4" t="s">
        <v>241</v>
      </c>
      <c r="H11" s="25">
        <v>82</v>
      </c>
      <c r="I11" s="5">
        <f t="shared" si="1"/>
        <v>120000</v>
      </c>
      <c r="J11" s="5" cm="1">
        <f t="array" ref="J11">fn할인비용(I11)</f>
        <v>114000</v>
      </c>
      <c r="L11" s="4" t="s">
        <v>244</v>
      </c>
      <c r="M11" s="27" t="str">
        <f t="array" ref="M11">SUM(IF(($G$3:$G$26=$L11)*($D$3:$D$26=M$7),1))&amp;"건"</f>
        <v>1건</v>
      </c>
      <c r="N11" s="27" t="str">
        <f t="array" ref="N11">SUM(IF(($G$3:$G$26=$L11)*($D$3:$D$26=N$7),1))&amp;"건"</f>
        <v>0건</v>
      </c>
      <c r="O11" s="27" t="str">
        <f t="array" ref="O11">SUM(IF(($G$3:$G$26=$L11)*($D$3:$D$26=O$7),1))&amp;"건"</f>
        <v>2건</v>
      </c>
    </row>
    <row r="12" spans="1:18">
      <c r="A12" s="4" t="s">
        <v>245</v>
      </c>
      <c r="B12" s="4" t="s">
        <v>269</v>
      </c>
      <c r="C12" s="34" t="str">
        <f t="shared" si="0"/>
        <v>5박6일</v>
      </c>
      <c r="D12" s="4" t="s">
        <v>227</v>
      </c>
      <c r="E12" s="24">
        <v>44263</v>
      </c>
      <c r="F12" s="4" t="s">
        <v>228</v>
      </c>
      <c r="G12" s="4" t="s">
        <v>239</v>
      </c>
      <c r="H12" s="25">
        <v>134</v>
      </c>
      <c r="I12" s="5">
        <f t="shared" si="1"/>
        <v>170000</v>
      </c>
      <c r="J12" s="5" cm="1">
        <f t="array" ref="J12">fn할인비용(I12)</f>
        <v>161500</v>
      </c>
    </row>
    <row r="13" spans="1:18">
      <c r="A13" s="4" t="s">
        <v>246</v>
      </c>
      <c r="B13" s="4" t="s">
        <v>263</v>
      </c>
      <c r="C13" s="34" t="str">
        <f t="shared" si="0"/>
        <v>3박4일</v>
      </c>
      <c r="D13" s="4" t="s">
        <v>222</v>
      </c>
      <c r="E13" s="24">
        <v>44263</v>
      </c>
      <c r="F13" s="4" t="s">
        <v>225</v>
      </c>
      <c r="G13" s="4" t="s">
        <v>239</v>
      </c>
      <c r="H13" s="25">
        <v>82</v>
      </c>
      <c r="I13" s="5">
        <f t="shared" si="1"/>
        <v>110000</v>
      </c>
      <c r="J13" s="5" cm="1">
        <f t="array" ref="J13">fn할인비용(I13)</f>
        <v>104500</v>
      </c>
      <c r="L13" s="26" t="s">
        <v>247</v>
      </c>
    </row>
    <row r="14" spans="1:18">
      <c r="A14" s="4" t="s">
        <v>248</v>
      </c>
      <c r="B14" s="4" t="s">
        <v>270</v>
      </c>
      <c r="C14" s="34" t="str">
        <f t="shared" si="0"/>
        <v>5박6일</v>
      </c>
      <c r="D14" s="4" t="s">
        <v>237</v>
      </c>
      <c r="E14" s="24">
        <v>44264</v>
      </c>
      <c r="F14" s="4" t="s">
        <v>228</v>
      </c>
      <c r="G14" s="4" t="s">
        <v>244</v>
      </c>
      <c r="H14" s="25">
        <v>124</v>
      </c>
      <c r="I14" s="5">
        <f t="shared" si="1"/>
        <v>200000</v>
      </c>
      <c r="J14" s="5" cm="1">
        <f t="array" ref="J14">fn할인비용(I14)</f>
        <v>180000</v>
      </c>
      <c r="L14" s="35" t="s">
        <v>236</v>
      </c>
      <c r="M14" s="23">
        <v>24</v>
      </c>
      <c r="N14" s="23">
        <v>48</v>
      </c>
      <c r="O14" s="23">
        <v>72</v>
      </c>
      <c r="P14" s="23">
        <v>96</v>
      </c>
      <c r="Q14" s="23">
        <v>120</v>
      </c>
      <c r="R14" s="23">
        <v>144</v>
      </c>
    </row>
    <row r="15" spans="1:18">
      <c r="A15" s="4" t="s">
        <v>249</v>
      </c>
      <c r="B15" s="4" t="s">
        <v>263</v>
      </c>
      <c r="C15" s="34" t="str">
        <f t="shared" si="0"/>
        <v>3박4일</v>
      </c>
      <c r="D15" s="4" t="s">
        <v>227</v>
      </c>
      <c r="E15" s="24">
        <v>44264</v>
      </c>
      <c r="F15" s="4" t="s">
        <v>228</v>
      </c>
      <c r="G15" s="4" t="s">
        <v>241</v>
      </c>
      <c r="H15" s="25">
        <v>90</v>
      </c>
      <c r="I15" s="5">
        <f t="shared" si="1"/>
        <v>120000</v>
      </c>
      <c r="J15" s="5" cm="1">
        <f t="array" ref="J15">fn할인비용(I15)</f>
        <v>114000</v>
      </c>
      <c r="L15" s="35"/>
      <c r="M15" s="23">
        <v>47</v>
      </c>
      <c r="N15" s="23">
        <v>71</v>
      </c>
      <c r="O15" s="23">
        <v>95</v>
      </c>
      <c r="P15" s="23">
        <v>119</v>
      </c>
      <c r="Q15" s="23">
        <v>143</v>
      </c>
      <c r="R15" s="23"/>
    </row>
    <row r="16" spans="1:18">
      <c r="A16" s="4" t="s">
        <v>250</v>
      </c>
      <c r="B16" s="4" t="s">
        <v>264</v>
      </c>
      <c r="C16" s="34" t="str">
        <f t="shared" si="0"/>
        <v>4박5일</v>
      </c>
      <c r="D16" s="4" t="s">
        <v>222</v>
      </c>
      <c r="E16" s="24">
        <v>44264</v>
      </c>
      <c r="F16" s="4" t="s">
        <v>228</v>
      </c>
      <c r="G16" s="4" t="s">
        <v>239</v>
      </c>
      <c r="H16" s="25">
        <v>109</v>
      </c>
      <c r="I16" s="5">
        <f t="shared" si="1"/>
        <v>140000</v>
      </c>
      <c r="J16" s="5" cm="1">
        <f t="array" ref="J16">fn할인비용(I16)</f>
        <v>133000</v>
      </c>
      <c r="L16" s="4" t="s">
        <v>239</v>
      </c>
      <c r="M16" s="5">
        <v>50000</v>
      </c>
      <c r="N16" s="5">
        <v>80000</v>
      </c>
      <c r="O16" s="5">
        <v>110000</v>
      </c>
      <c r="P16" s="5">
        <v>140000</v>
      </c>
      <c r="Q16" s="5">
        <v>170000</v>
      </c>
      <c r="R16" s="5">
        <v>200000</v>
      </c>
    </row>
    <row r="17" spans="1:18">
      <c r="A17" s="4" t="s">
        <v>251</v>
      </c>
      <c r="B17" s="4" t="s">
        <v>271</v>
      </c>
      <c r="C17" s="34" t="str">
        <f t="shared" si="0"/>
        <v>2박3일</v>
      </c>
      <c r="D17" s="4" t="s">
        <v>222</v>
      </c>
      <c r="E17" s="24">
        <v>44265</v>
      </c>
      <c r="F17" s="4" t="s">
        <v>228</v>
      </c>
      <c r="G17" s="4" t="s">
        <v>241</v>
      </c>
      <c r="H17" s="25">
        <v>58</v>
      </c>
      <c r="I17" s="5">
        <f t="shared" si="1"/>
        <v>90000</v>
      </c>
      <c r="J17" s="5" cm="1">
        <f t="array" ref="J17">fn할인비용(I17)</f>
        <v>87300</v>
      </c>
      <c r="L17" s="4" t="s">
        <v>241</v>
      </c>
      <c r="M17" s="5">
        <v>60000</v>
      </c>
      <c r="N17" s="5">
        <v>90000</v>
      </c>
      <c r="O17" s="5">
        <v>120000</v>
      </c>
      <c r="P17" s="5">
        <v>150000</v>
      </c>
      <c r="Q17" s="5">
        <v>180000</v>
      </c>
      <c r="R17" s="5">
        <v>210000</v>
      </c>
    </row>
    <row r="18" spans="1:18">
      <c r="A18" s="4" t="s">
        <v>252</v>
      </c>
      <c r="B18" s="4" t="s">
        <v>266</v>
      </c>
      <c r="C18" s="34" t="str">
        <f t="shared" si="0"/>
        <v>3박4일</v>
      </c>
      <c r="D18" s="4" t="s">
        <v>237</v>
      </c>
      <c r="E18" s="24">
        <v>44265</v>
      </c>
      <c r="F18" s="4" t="s">
        <v>228</v>
      </c>
      <c r="G18" s="4" t="s">
        <v>231</v>
      </c>
      <c r="H18" s="25">
        <v>86</v>
      </c>
      <c r="I18" s="5">
        <f t="shared" si="1"/>
        <v>130000</v>
      </c>
      <c r="J18" s="5" cm="1">
        <f t="array" ref="J18">fn할인비용(I18)</f>
        <v>123500</v>
      </c>
      <c r="L18" s="4" t="s">
        <v>231</v>
      </c>
      <c r="M18" s="5">
        <v>70000</v>
      </c>
      <c r="N18" s="5">
        <v>100000</v>
      </c>
      <c r="O18" s="5">
        <v>130000</v>
      </c>
      <c r="P18" s="5">
        <v>160000</v>
      </c>
      <c r="Q18" s="5">
        <v>190000</v>
      </c>
      <c r="R18" s="5">
        <v>220000</v>
      </c>
    </row>
    <row r="19" spans="1:18">
      <c r="A19" s="4" t="s">
        <v>253</v>
      </c>
      <c r="B19" s="4" t="s">
        <v>272</v>
      </c>
      <c r="C19" s="34" t="str">
        <f t="shared" si="0"/>
        <v>4박5일</v>
      </c>
      <c r="D19" s="4" t="s">
        <v>237</v>
      </c>
      <c r="E19" s="24">
        <v>44265</v>
      </c>
      <c r="F19" s="4" t="s">
        <v>228</v>
      </c>
      <c r="G19" s="4" t="s">
        <v>241</v>
      </c>
      <c r="H19" s="25">
        <v>112</v>
      </c>
      <c r="I19" s="5">
        <f t="shared" si="1"/>
        <v>150000</v>
      </c>
      <c r="J19" s="5" cm="1">
        <f t="array" ref="J19">fn할인비용(I19)</f>
        <v>142500</v>
      </c>
      <c r="L19" s="4" t="s">
        <v>244</v>
      </c>
      <c r="M19" s="5">
        <v>80000</v>
      </c>
      <c r="N19" s="5">
        <v>110000</v>
      </c>
      <c r="O19" s="5">
        <v>140000</v>
      </c>
      <c r="P19" s="5">
        <v>170000</v>
      </c>
      <c r="Q19" s="5">
        <v>200000</v>
      </c>
      <c r="R19" s="5">
        <v>230000</v>
      </c>
    </row>
    <row r="20" spans="1:18">
      <c r="A20" s="4" t="s">
        <v>254</v>
      </c>
      <c r="B20" s="4" t="s">
        <v>273</v>
      </c>
      <c r="C20" s="34" t="str">
        <f t="shared" si="0"/>
        <v>3박4일</v>
      </c>
      <c r="D20" s="4" t="s">
        <v>227</v>
      </c>
      <c r="E20" s="24">
        <v>44265</v>
      </c>
      <c r="F20" s="4" t="s">
        <v>225</v>
      </c>
      <c r="G20" s="4" t="s">
        <v>241</v>
      </c>
      <c r="H20" s="25">
        <v>92</v>
      </c>
      <c r="I20" s="5">
        <f t="shared" si="1"/>
        <v>120000</v>
      </c>
      <c r="J20" s="5" cm="1">
        <f t="array" ref="J20">fn할인비용(I20)</f>
        <v>114000</v>
      </c>
      <c r="L20" s="26"/>
    </row>
    <row r="21" spans="1:18">
      <c r="A21" s="4" t="s">
        <v>255</v>
      </c>
      <c r="B21" s="4" t="s">
        <v>274</v>
      </c>
      <c r="C21" s="34" t="str">
        <f t="shared" si="0"/>
        <v>5박6일</v>
      </c>
      <c r="D21" s="4" t="s">
        <v>237</v>
      </c>
      <c r="E21" s="24">
        <v>44266</v>
      </c>
      <c r="F21" s="4" t="s">
        <v>228</v>
      </c>
      <c r="G21" s="4" t="s">
        <v>239</v>
      </c>
      <c r="H21" s="25">
        <v>130</v>
      </c>
      <c r="I21" s="5">
        <f t="shared" si="1"/>
        <v>170000</v>
      </c>
      <c r="J21" s="5" cm="1">
        <f t="array" ref="J21">fn할인비용(I21)</f>
        <v>161500</v>
      </c>
      <c r="L21" s="26"/>
    </row>
    <row r="22" spans="1:18">
      <c r="A22" s="4" t="s">
        <v>256</v>
      </c>
      <c r="B22" s="4" t="s">
        <v>267</v>
      </c>
      <c r="C22" s="34" t="str">
        <f t="shared" si="0"/>
        <v>1박2일</v>
      </c>
      <c r="D22" s="4" t="s">
        <v>222</v>
      </c>
      <c r="E22" s="24">
        <v>44266</v>
      </c>
      <c r="F22" s="4" t="s">
        <v>225</v>
      </c>
      <c r="G22" s="4" t="s">
        <v>231</v>
      </c>
      <c r="H22" s="25">
        <v>32</v>
      </c>
      <c r="I22" s="5">
        <f t="shared" si="1"/>
        <v>70000</v>
      </c>
      <c r="J22" s="5" cm="1">
        <f t="array" ref="J22">fn할인비용(I22)</f>
        <v>67900</v>
      </c>
    </row>
    <row r="23" spans="1:18">
      <c r="A23" s="4" t="s">
        <v>257</v>
      </c>
      <c r="B23" s="4" t="s">
        <v>263</v>
      </c>
      <c r="C23" s="34" t="str">
        <f t="shared" si="0"/>
        <v>3박4일</v>
      </c>
      <c r="D23" s="4" t="s">
        <v>222</v>
      </c>
      <c r="E23" s="24">
        <v>44266</v>
      </c>
      <c r="F23" s="4" t="s">
        <v>228</v>
      </c>
      <c r="G23" s="4" t="s">
        <v>241</v>
      </c>
      <c r="H23" s="25">
        <v>85</v>
      </c>
      <c r="I23" s="5">
        <f t="shared" si="1"/>
        <v>120000</v>
      </c>
      <c r="J23" s="5" cm="1">
        <f t="array" ref="J23">fn할인비용(I23)</f>
        <v>114000</v>
      </c>
    </row>
    <row r="24" spans="1:18">
      <c r="A24" s="4" t="s">
        <v>258</v>
      </c>
      <c r="B24" s="4" t="s">
        <v>275</v>
      </c>
      <c r="C24" s="34" t="str">
        <f t="shared" si="0"/>
        <v>4박5일</v>
      </c>
      <c r="D24" s="4" t="s">
        <v>237</v>
      </c>
      <c r="E24" s="24">
        <v>44267</v>
      </c>
      <c r="F24" s="4" t="s">
        <v>228</v>
      </c>
      <c r="G24" s="4" t="s">
        <v>231</v>
      </c>
      <c r="H24" s="25">
        <v>107</v>
      </c>
      <c r="I24" s="5">
        <f t="shared" si="1"/>
        <v>160000</v>
      </c>
      <c r="J24" s="5" cm="1">
        <f t="array" ref="J24">fn할인비용(I24)</f>
        <v>152000</v>
      </c>
    </row>
    <row r="25" spans="1:18">
      <c r="A25" s="4" t="s">
        <v>259</v>
      </c>
      <c r="B25" s="4" t="s">
        <v>276</v>
      </c>
      <c r="C25" s="34" t="str">
        <f t="shared" si="0"/>
        <v>5박6일</v>
      </c>
      <c r="D25" s="4" t="s">
        <v>227</v>
      </c>
      <c r="E25" s="24">
        <v>44267</v>
      </c>
      <c r="F25" s="4" t="s">
        <v>225</v>
      </c>
      <c r="G25" s="4" t="s">
        <v>244</v>
      </c>
      <c r="H25" s="25">
        <v>124</v>
      </c>
      <c r="I25" s="5">
        <f t="shared" si="1"/>
        <v>200000</v>
      </c>
      <c r="J25" s="5" cm="1">
        <f t="array" ref="J25">fn할인비용(I25)</f>
        <v>180000</v>
      </c>
    </row>
    <row r="26" spans="1:18">
      <c r="A26" s="4" t="s">
        <v>260</v>
      </c>
      <c r="B26" s="4" t="s">
        <v>277</v>
      </c>
      <c r="C26" s="34" t="str">
        <f t="shared" si="0"/>
        <v>3박4일</v>
      </c>
      <c r="D26" s="4" t="s">
        <v>222</v>
      </c>
      <c r="E26" s="24">
        <v>44267</v>
      </c>
      <c r="F26" s="4" t="s">
        <v>228</v>
      </c>
      <c r="G26" s="4" t="s">
        <v>239</v>
      </c>
      <c r="H26" s="25">
        <v>87</v>
      </c>
      <c r="I26" s="5">
        <f t="shared" si="1"/>
        <v>110000</v>
      </c>
      <c r="J26" s="5" cm="1">
        <f t="array" ref="J26">fn할인비용(I26)</f>
        <v>104500</v>
      </c>
    </row>
    <row r="28" spans="1:18">
      <c r="E28" s="28"/>
      <c r="F28" s="28"/>
      <c r="G28" s="28"/>
      <c r="H28" s="28"/>
      <c r="I28" s="28"/>
    </row>
    <row r="29" spans="1:18">
      <c r="E29" s="28"/>
      <c r="F29" s="28"/>
      <c r="G29" s="28"/>
      <c r="H29" s="28"/>
      <c r="I29" s="28"/>
    </row>
  </sheetData>
  <mergeCells count="1">
    <mergeCell ref="L14:L1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64AEF-B5CF-4429-809F-B1917EB6C75D}">
  <dimension ref="A3:D7"/>
  <sheetViews>
    <sheetView workbookViewId="0">
      <selection activeCell="H26" sqref="H26"/>
    </sheetView>
  </sheetViews>
  <sheetFormatPr defaultRowHeight="16.5"/>
  <cols>
    <col min="1" max="1" width="9" bestFit="1" customWidth="1"/>
    <col min="2" max="3" width="15.25" bestFit="1" customWidth="1"/>
    <col min="4" max="4" width="17.375" bestFit="1" customWidth="1"/>
  </cols>
  <sheetData>
    <row r="3" spans="1:4">
      <c r="A3" s="10" t="s">
        <v>83</v>
      </c>
      <c r="B3" t="s">
        <v>81</v>
      </c>
      <c r="C3" t="s">
        <v>82</v>
      </c>
      <c r="D3" t="s">
        <v>84</v>
      </c>
    </row>
    <row r="4" spans="1:4">
      <c r="A4" t="s">
        <v>79</v>
      </c>
      <c r="B4" s="11">
        <v>148</v>
      </c>
      <c r="C4" s="12">
        <v>26150000</v>
      </c>
      <c r="D4" s="12">
        <v>2615000</v>
      </c>
    </row>
    <row r="5" spans="1:4">
      <c r="A5" t="s">
        <v>78</v>
      </c>
      <c r="B5" s="11">
        <v>209</v>
      </c>
      <c r="C5" s="12">
        <v>18967000</v>
      </c>
      <c r="D5" s="12">
        <v>1896700</v>
      </c>
    </row>
    <row r="6" spans="1:4">
      <c r="A6" t="s">
        <v>77</v>
      </c>
      <c r="B6" s="11">
        <v>362</v>
      </c>
      <c r="C6" s="12">
        <v>22045600</v>
      </c>
      <c r="D6" s="12">
        <v>2204560</v>
      </c>
    </row>
    <row r="7" spans="1:4">
      <c r="A7" t="s">
        <v>80</v>
      </c>
      <c r="B7" s="11">
        <v>719</v>
      </c>
      <c r="C7" s="12">
        <v>67162600</v>
      </c>
      <c r="D7" s="12">
        <v>6716260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8706-57EC-4A02-848E-95DDFBED09C3}">
  <dimension ref="A1:D4"/>
  <sheetViews>
    <sheetView workbookViewId="0">
      <selection activeCell="J14" sqref="J14"/>
    </sheetView>
  </sheetViews>
  <sheetFormatPr defaultRowHeight="16.5"/>
  <cols>
    <col min="1" max="1" width="10.25" customWidth="1"/>
    <col min="3" max="4" width="10.25" customWidth="1"/>
  </cols>
  <sheetData>
    <row r="1" spans="1:4">
      <c r="A1" t="s">
        <v>85</v>
      </c>
      <c r="B1" t="s">
        <v>83</v>
      </c>
      <c r="C1" t="s">
        <v>86</v>
      </c>
      <c r="D1" t="s">
        <v>87</v>
      </c>
    </row>
    <row r="2" spans="1:4">
      <c r="A2" t="s">
        <v>88</v>
      </c>
      <c r="B2" t="s">
        <v>78</v>
      </c>
      <c r="C2">
        <v>84</v>
      </c>
      <c r="D2">
        <v>5947200</v>
      </c>
    </row>
    <row r="3" spans="1:4">
      <c r="A3" t="s">
        <v>90</v>
      </c>
      <c r="B3" t="s">
        <v>78</v>
      </c>
      <c r="C3">
        <v>86</v>
      </c>
      <c r="D3">
        <v>10750000</v>
      </c>
    </row>
    <row r="4" spans="1:4">
      <c r="A4" t="s">
        <v>89</v>
      </c>
      <c r="B4" t="s">
        <v>78</v>
      </c>
      <c r="C4">
        <v>39</v>
      </c>
      <c r="D4">
        <v>2269800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 filterMode="1"/>
  <dimension ref="A1:G26"/>
  <sheetViews>
    <sheetView workbookViewId="0">
      <selection activeCell="G42" sqref="G42"/>
    </sheetView>
  </sheetViews>
  <sheetFormatPr defaultRowHeight="16.5"/>
  <cols>
    <col min="1" max="1" width="9.5" bestFit="1" customWidth="1"/>
    <col min="4" max="4" width="10.625" bestFit="1" customWidth="1"/>
    <col min="5" max="5" width="9.25" bestFit="1" customWidth="1"/>
    <col min="6" max="7" width="10.625" bestFit="1" customWidth="1"/>
  </cols>
  <sheetData>
    <row r="1" spans="1:7">
      <c r="A1" t="s">
        <v>201</v>
      </c>
    </row>
    <row r="2" spans="1:7">
      <c r="A2" s="4" t="s">
        <v>124</v>
      </c>
      <c r="B2" s="4" t="s">
        <v>125</v>
      </c>
      <c r="C2" s="4" t="s">
        <v>56</v>
      </c>
      <c r="D2" s="4" t="s">
        <v>57</v>
      </c>
      <c r="E2" s="4" t="s">
        <v>126</v>
      </c>
      <c r="F2" s="4" t="s">
        <v>58</v>
      </c>
      <c r="G2" s="4" t="s">
        <v>127</v>
      </c>
    </row>
    <row r="3" spans="1:7" hidden="1">
      <c r="A3" s="4" t="s">
        <v>134</v>
      </c>
      <c r="B3" s="4" t="s">
        <v>135</v>
      </c>
      <c r="C3" s="4" t="s">
        <v>60</v>
      </c>
      <c r="D3" s="5">
        <v>903600</v>
      </c>
      <c r="E3" s="5">
        <v>4</v>
      </c>
      <c r="F3" s="5">
        <v>135540</v>
      </c>
      <c r="G3" s="5">
        <f t="shared" ref="G3:G26" si="0">D3+F3</f>
        <v>1039140</v>
      </c>
    </row>
    <row r="4" spans="1:7" hidden="1">
      <c r="A4" s="4" t="s">
        <v>128</v>
      </c>
      <c r="B4" s="4" t="s">
        <v>129</v>
      </c>
      <c r="C4" s="4" t="s">
        <v>60</v>
      </c>
      <c r="D4" s="5">
        <v>985600</v>
      </c>
      <c r="E4" s="5">
        <v>5</v>
      </c>
      <c r="F4" s="5">
        <v>147840</v>
      </c>
      <c r="G4" s="5">
        <f t="shared" si="0"/>
        <v>1133440</v>
      </c>
    </row>
    <row r="5" spans="1:7" hidden="1">
      <c r="A5" s="4" t="s">
        <v>154</v>
      </c>
      <c r="B5" s="4" t="s">
        <v>155</v>
      </c>
      <c r="C5" s="4" t="s">
        <v>60</v>
      </c>
      <c r="D5" s="5">
        <v>895600</v>
      </c>
      <c r="E5" s="5">
        <v>4</v>
      </c>
      <c r="F5" s="5">
        <v>134340</v>
      </c>
      <c r="G5" s="5">
        <f t="shared" si="0"/>
        <v>1029940</v>
      </c>
    </row>
    <row r="6" spans="1:7" hidden="1">
      <c r="A6" s="4" t="s">
        <v>130</v>
      </c>
      <c r="B6" s="4" t="s">
        <v>131</v>
      </c>
      <c r="C6" s="4" t="s">
        <v>59</v>
      </c>
      <c r="D6" s="5">
        <v>903600</v>
      </c>
      <c r="E6" s="5">
        <v>4</v>
      </c>
      <c r="F6" s="5">
        <v>135540</v>
      </c>
      <c r="G6" s="5">
        <f t="shared" si="0"/>
        <v>1039140</v>
      </c>
    </row>
    <row r="7" spans="1:7">
      <c r="A7" s="4" t="s">
        <v>156</v>
      </c>
      <c r="B7" s="4" t="s">
        <v>157</v>
      </c>
      <c r="C7" s="4" t="s">
        <v>62</v>
      </c>
      <c r="D7" s="5">
        <v>905890</v>
      </c>
      <c r="E7" s="5">
        <v>1</v>
      </c>
      <c r="F7" s="5">
        <v>1358835</v>
      </c>
      <c r="G7" s="5">
        <f t="shared" si="0"/>
        <v>2264725</v>
      </c>
    </row>
    <row r="8" spans="1:7">
      <c r="A8" s="4" t="s">
        <v>132</v>
      </c>
      <c r="B8" s="4" t="s">
        <v>133</v>
      </c>
      <c r="C8" s="4" t="s">
        <v>59</v>
      </c>
      <c r="D8" s="5">
        <v>1256000</v>
      </c>
      <c r="E8" s="5">
        <v>5</v>
      </c>
      <c r="F8" s="5">
        <v>188400</v>
      </c>
      <c r="G8" s="5">
        <f t="shared" si="0"/>
        <v>1444400</v>
      </c>
    </row>
    <row r="9" spans="1:7">
      <c r="A9" s="4" t="s">
        <v>172</v>
      </c>
      <c r="B9" s="4" t="s">
        <v>173</v>
      </c>
      <c r="C9" s="4" t="s">
        <v>61</v>
      </c>
      <c r="D9" s="5">
        <v>1235000</v>
      </c>
      <c r="E9" s="5">
        <v>8</v>
      </c>
      <c r="F9" s="5">
        <v>185250</v>
      </c>
      <c r="G9" s="5">
        <f t="shared" si="0"/>
        <v>1420250</v>
      </c>
    </row>
    <row r="10" spans="1:7" hidden="1">
      <c r="A10" s="4" t="s">
        <v>140</v>
      </c>
      <c r="B10" s="4" t="s">
        <v>141</v>
      </c>
      <c r="C10" s="4" t="s">
        <v>59</v>
      </c>
      <c r="D10" s="5">
        <v>985200</v>
      </c>
      <c r="E10" s="5">
        <v>6</v>
      </c>
      <c r="F10" s="5">
        <v>147780</v>
      </c>
      <c r="G10" s="5">
        <f t="shared" si="0"/>
        <v>1132980</v>
      </c>
    </row>
    <row r="11" spans="1:7">
      <c r="A11" s="4" t="s">
        <v>174</v>
      </c>
      <c r="B11" s="4" t="s">
        <v>175</v>
      </c>
      <c r="C11" s="4" t="s">
        <v>61</v>
      </c>
      <c r="D11" s="5">
        <v>1153200</v>
      </c>
      <c r="E11" s="5">
        <v>7</v>
      </c>
      <c r="F11" s="5">
        <v>172980</v>
      </c>
      <c r="G11" s="5">
        <f t="shared" si="0"/>
        <v>1326180</v>
      </c>
    </row>
    <row r="12" spans="1:7">
      <c r="A12" s="4" t="s">
        <v>136</v>
      </c>
      <c r="B12" s="4" t="s">
        <v>137</v>
      </c>
      <c r="C12" s="4" t="s">
        <v>59</v>
      </c>
      <c r="D12" s="5">
        <v>1150000</v>
      </c>
      <c r="E12" s="5">
        <v>7</v>
      </c>
      <c r="F12" s="5">
        <v>172500</v>
      </c>
      <c r="G12" s="5">
        <f t="shared" si="0"/>
        <v>1322500</v>
      </c>
    </row>
    <row r="13" spans="1:7" hidden="1">
      <c r="A13" s="4" t="s">
        <v>146</v>
      </c>
      <c r="B13" s="4" t="s">
        <v>147</v>
      </c>
      <c r="C13" s="4" t="s">
        <v>59</v>
      </c>
      <c r="D13" s="5">
        <v>998500</v>
      </c>
      <c r="E13" s="5">
        <v>7</v>
      </c>
      <c r="F13" s="5">
        <v>149775</v>
      </c>
      <c r="G13" s="5">
        <f t="shared" si="0"/>
        <v>1148275</v>
      </c>
    </row>
    <row r="14" spans="1:7">
      <c r="A14" s="4" t="s">
        <v>152</v>
      </c>
      <c r="B14" s="4" t="s">
        <v>153</v>
      </c>
      <c r="C14" s="4" t="s">
        <v>62</v>
      </c>
      <c r="D14" s="5">
        <v>1125600</v>
      </c>
      <c r="E14" s="5">
        <v>6</v>
      </c>
      <c r="F14" s="5">
        <v>168840</v>
      </c>
      <c r="G14" s="5">
        <f t="shared" si="0"/>
        <v>1294440</v>
      </c>
    </row>
    <row r="15" spans="1:7" hidden="1">
      <c r="A15" s="4" t="s">
        <v>150</v>
      </c>
      <c r="B15" s="4" t="s">
        <v>151</v>
      </c>
      <c r="C15" s="4" t="s">
        <v>62</v>
      </c>
      <c r="D15" s="5">
        <v>1028400</v>
      </c>
      <c r="E15" s="5">
        <v>5</v>
      </c>
      <c r="F15" s="5">
        <v>154260</v>
      </c>
      <c r="G15" s="5">
        <f t="shared" si="0"/>
        <v>1182660</v>
      </c>
    </row>
    <row r="16" spans="1:7">
      <c r="A16" s="4" t="s">
        <v>138</v>
      </c>
      <c r="B16" s="4" t="s">
        <v>139</v>
      </c>
      <c r="C16" s="4" t="s">
        <v>59</v>
      </c>
      <c r="D16" s="5">
        <v>1120000</v>
      </c>
      <c r="E16" s="5">
        <v>8</v>
      </c>
      <c r="F16" s="5">
        <v>168000</v>
      </c>
      <c r="G16" s="5">
        <f t="shared" si="0"/>
        <v>1288000</v>
      </c>
    </row>
    <row r="17" spans="1:7">
      <c r="A17" s="4" t="s">
        <v>144</v>
      </c>
      <c r="B17" s="4" t="s">
        <v>145</v>
      </c>
      <c r="C17" s="4" t="s">
        <v>59</v>
      </c>
      <c r="D17" s="5">
        <v>1065900</v>
      </c>
      <c r="E17" s="5">
        <v>9</v>
      </c>
      <c r="F17" s="5">
        <v>159885</v>
      </c>
      <c r="G17" s="5">
        <f t="shared" si="0"/>
        <v>1225785</v>
      </c>
    </row>
    <row r="18" spans="1:7" hidden="1">
      <c r="A18" s="4" t="s">
        <v>158</v>
      </c>
      <c r="B18" s="4" t="s">
        <v>159</v>
      </c>
      <c r="C18" s="4" t="s">
        <v>62</v>
      </c>
      <c r="D18" s="5">
        <v>758900</v>
      </c>
      <c r="E18" s="5">
        <v>1</v>
      </c>
      <c r="F18" s="5">
        <v>113835</v>
      </c>
      <c r="G18" s="5">
        <f t="shared" si="0"/>
        <v>872735</v>
      </c>
    </row>
    <row r="19" spans="1:7" hidden="1">
      <c r="A19" s="4" t="s">
        <v>160</v>
      </c>
      <c r="B19" s="4" t="s">
        <v>161</v>
      </c>
      <c r="C19" s="4" t="s">
        <v>61</v>
      </c>
      <c r="D19" s="5">
        <v>926500</v>
      </c>
      <c r="E19" s="5">
        <v>2</v>
      </c>
      <c r="F19" s="5">
        <v>138975</v>
      </c>
      <c r="G19" s="5">
        <f t="shared" si="0"/>
        <v>1065475</v>
      </c>
    </row>
    <row r="20" spans="1:7" hidden="1">
      <c r="A20" s="4" t="s">
        <v>162</v>
      </c>
      <c r="B20" s="4" t="s">
        <v>163</v>
      </c>
      <c r="C20" s="4" t="s">
        <v>61</v>
      </c>
      <c r="D20" s="5">
        <v>915600</v>
      </c>
      <c r="E20" s="5">
        <v>2</v>
      </c>
      <c r="F20" s="5">
        <v>137340</v>
      </c>
      <c r="G20" s="5">
        <f t="shared" si="0"/>
        <v>1052940</v>
      </c>
    </row>
    <row r="21" spans="1:7" hidden="1">
      <c r="A21" s="4" t="s">
        <v>164</v>
      </c>
      <c r="B21" s="4" t="s">
        <v>165</v>
      </c>
      <c r="C21" s="4" t="s">
        <v>61</v>
      </c>
      <c r="D21" s="5">
        <v>897800</v>
      </c>
      <c r="E21" s="5">
        <v>1</v>
      </c>
      <c r="F21" s="5">
        <v>134670</v>
      </c>
      <c r="G21" s="5">
        <f t="shared" si="0"/>
        <v>1032470</v>
      </c>
    </row>
    <row r="22" spans="1:7" hidden="1">
      <c r="A22" s="4" t="s">
        <v>166</v>
      </c>
      <c r="B22" s="4" t="s">
        <v>167</v>
      </c>
      <c r="C22" s="4" t="s">
        <v>61</v>
      </c>
      <c r="D22" s="5">
        <v>945200</v>
      </c>
      <c r="E22" s="5">
        <v>2</v>
      </c>
      <c r="F22" s="5">
        <v>141780</v>
      </c>
      <c r="G22" s="5">
        <f t="shared" si="0"/>
        <v>1086980</v>
      </c>
    </row>
    <row r="23" spans="1:7" hidden="1">
      <c r="A23" s="4" t="s">
        <v>168</v>
      </c>
      <c r="B23" s="4" t="s">
        <v>169</v>
      </c>
      <c r="C23" s="4" t="s">
        <v>61</v>
      </c>
      <c r="D23" s="5">
        <v>912500</v>
      </c>
      <c r="E23" s="5">
        <v>2</v>
      </c>
      <c r="F23" s="5">
        <v>136875</v>
      </c>
      <c r="G23" s="5">
        <f t="shared" si="0"/>
        <v>1049375</v>
      </c>
    </row>
    <row r="24" spans="1:7" hidden="1">
      <c r="A24" s="4" t="s">
        <v>170</v>
      </c>
      <c r="B24" s="4" t="s">
        <v>171</v>
      </c>
      <c r="C24" s="4" t="s">
        <v>61</v>
      </c>
      <c r="D24" s="5">
        <v>890000</v>
      </c>
      <c r="E24" s="5">
        <v>1</v>
      </c>
      <c r="F24" s="5">
        <v>133500</v>
      </c>
      <c r="G24" s="5">
        <f t="shared" si="0"/>
        <v>1023500</v>
      </c>
    </row>
    <row r="25" spans="1:7">
      <c r="A25" s="4" t="s">
        <v>148</v>
      </c>
      <c r="B25" s="4" t="s">
        <v>149</v>
      </c>
      <c r="C25" s="4" t="s">
        <v>62</v>
      </c>
      <c r="D25" s="5">
        <v>1059000</v>
      </c>
      <c r="E25" s="5">
        <v>6</v>
      </c>
      <c r="F25" s="5">
        <v>158850</v>
      </c>
      <c r="G25" s="5">
        <f t="shared" si="0"/>
        <v>1217850</v>
      </c>
    </row>
    <row r="26" spans="1:7">
      <c r="A26" s="4" t="s">
        <v>142</v>
      </c>
      <c r="B26" s="4" t="s">
        <v>143</v>
      </c>
      <c r="C26" s="4" t="s">
        <v>59</v>
      </c>
      <c r="D26" s="5">
        <v>1058200</v>
      </c>
      <c r="E26" s="5">
        <v>8</v>
      </c>
      <c r="F26" s="5">
        <v>158730</v>
      </c>
      <c r="G26" s="5">
        <f t="shared" si="0"/>
        <v>1216930</v>
      </c>
    </row>
  </sheetData>
  <autoFilter ref="A2:G26" xr:uid="{00000000-0009-0000-0000-000005000000}">
    <filterColumn colId="6">
      <colorFilter dxfId="6"/>
    </filterColumn>
    <sortState xmlns:xlrd2="http://schemas.microsoft.com/office/spreadsheetml/2017/richdata2" ref="A7:G26">
      <sortCondition descending="1" ref="G2:G26"/>
    </sortState>
  </autoFilter>
  <phoneticPr fontId="2" type="noConversion"/>
  <conditionalFormatting sqref="G3:G26">
    <cfRule type="top10" dxfId="4" priority="1" rank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I10"/>
  <sheetViews>
    <sheetView workbookViewId="0"/>
  </sheetViews>
  <sheetFormatPr defaultRowHeight="16.5"/>
  <cols>
    <col min="3" max="3" width="16" customWidth="1"/>
    <col min="4" max="4" width="10.125" customWidth="1"/>
    <col min="5" max="5" width="11.25" customWidth="1"/>
    <col min="6" max="6" width="10.625" bestFit="1" customWidth="1"/>
    <col min="7" max="7" width="12.25" customWidth="1"/>
  </cols>
  <sheetData>
    <row r="1" spans="2:9">
      <c r="B1" s="6" t="s">
        <v>122</v>
      </c>
      <c r="C1" s="6"/>
      <c r="D1" s="6"/>
      <c r="E1" s="6"/>
      <c r="F1" s="6"/>
      <c r="G1" s="6"/>
      <c r="H1" s="6"/>
      <c r="I1" s="6"/>
    </row>
    <row r="2" spans="2:9">
      <c r="B2" s="13" t="s">
        <v>64</v>
      </c>
      <c r="C2" s="13" t="s">
        <v>91</v>
      </c>
      <c r="D2" s="13" t="s">
        <v>92</v>
      </c>
      <c r="E2" s="13" t="s">
        <v>93</v>
      </c>
      <c r="F2" s="14" t="s">
        <v>94</v>
      </c>
      <c r="G2" s="14" t="s">
        <v>121</v>
      </c>
      <c r="H2" s="6"/>
      <c r="I2" s="6"/>
    </row>
    <row r="3" spans="2:9">
      <c r="B3" s="13" t="s">
        <v>95</v>
      </c>
      <c r="C3" s="13" t="s">
        <v>96</v>
      </c>
      <c r="D3" s="13" t="s">
        <v>97</v>
      </c>
      <c r="E3" s="13" t="s">
        <v>98</v>
      </c>
      <c r="F3" s="15">
        <v>83300</v>
      </c>
      <c r="G3" s="15">
        <v>95</v>
      </c>
      <c r="H3" s="6"/>
      <c r="I3" s="6"/>
    </row>
    <row r="4" spans="2:9">
      <c r="B4" s="13" t="s">
        <v>99</v>
      </c>
      <c r="C4" s="13" t="s">
        <v>100</v>
      </c>
      <c r="D4" s="13" t="s">
        <v>101</v>
      </c>
      <c r="E4" s="13" t="s">
        <v>102</v>
      </c>
      <c r="F4" s="15">
        <v>151260</v>
      </c>
      <c r="G4" s="15">
        <v>190</v>
      </c>
      <c r="H4" s="6"/>
      <c r="I4" s="6"/>
    </row>
    <row r="5" spans="2:9">
      <c r="B5" s="13" t="s">
        <v>103</v>
      </c>
      <c r="C5" s="13" t="s">
        <v>104</v>
      </c>
      <c r="D5" s="13" t="s">
        <v>105</v>
      </c>
      <c r="E5" s="13" t="s">
        <v>106</v>
      </c>
      <c r="F5" s="15">
        <v>220760</v>
      </c>
      <c r="G5" s="15">
        <v>350</v>
      </c>
      <c r="H5" s="6"/>
      <c r="I5" s="6"/>
    </row>
    <row r="6" spans="2:9">
      <c r="B6" s="13" t="s">
        <v>107</v>
      </c>
      <c r="C6" s="13" t="s">
        <v>108</v>
      </c>
      <c r="D6" s="13" t="s">
        <v>101</v>
      </c>
      <c r="E6" s="13" t="s">
        <v>109</v>
      </c>
      <c r="F6" s="15">
        <v>210000</v>
      </c>
      <c r="G6" s="15">
        <v>75</v>
      </c>
      <c r="H6" s="6"/>
      <c r="I6" s="6"/>
    </row>
    <row r="7" spans="2:9">
      <c r="B7" s="13" t="s">
        <v>110</v>
      </c>
      <c r="C7" s="13" t="s">
        <v>111</v>
      </c>
      <c r="D7" s="13" t="s">
        <v>105</v>
      </c>
      <c r="E7" s="13" t="s">
        <v>112</v>
      </c>
      <c r="F7" s="15">
        <v>80860</v>
      </c>
      <c r="G7" s="15">
        <v>240</v>
      </c>
      <c r="H7" s="6"/>
      <c r="I7" s="6"/>
    </row>
    <row r="8" spans="2:9">
      <c r="B8" s="13" t="s">
        <v>113</v>
      </c>
      <c r="C8" s="13" t="s">
        <v>114</v>
      </c>
      <c r="D8" s="13" t="s">
        <v>101</v>
      </c>
      <c r="E8" s="13" t="s">
        <v>112</v>
      </c>
      <c r="F8" s="15">
        <v>139860</v>
      </c>
      <c r="G8" s="15">
        <v>180</v>
      </c>
      <c r="H8" s="6"/>
      <c r="I8" s="6"/>
    </row>
    <row r="9" spans="2:9">
      <c r="B9" s="13" t="s">
        <v>115</v>
      </c>
      <c r="C9" s="13" t="s">
        <v>116</v>
      </c>
      <c r="D9" s="13" t="s">
        <v>97</v>
      </c>
      <c r="E9" s="13" t="s">
        <v>117</v>
      </c>
      <c r="F9" s="15">
        <v>163800</v>
      </c>
      <c r="G9" s="15">
        <v>120</v>
      </c>
      <c r="H9" s="6"/>
      <c r="I9" s="6"/>
    </row>
    <row r="10" spans="2:9">
      <c r="B10" s="13" t="s">
        <v>118</v>
      </c>
      <c r="C10" s="13" t="s">
        <v>119</v>
      </c>
      <c r="D10" s="13" t="s">
        <v>97</v>
      </c>
      <c r="E10" s="13" t="s">
        <v>120</v>
      </c>
      <c r="F10" s="15">
        <v>95000</v>
      </c>
      <c r="G10" s="15">
        <v>150</v>
      </c>
      <c r="H10" s="6"/>
      <c r="I10" s="6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5:F22"/>
  <sheetViews>
    <sheetView workbookViewId="0"/>
  </sheetViews>
  <sheetFormatPr defaultRowHeight="16.5"/>
  <cols>
    <col min="3" max="3" width="14.375" bestFit="1" customWidth="1"/>
    <col min="5" max="5" width="12.125" bestFit="1" customWidth="1"/>
  </cols>
  <sheetData>
    <row r="5" spans="1:6">
      <c r="A5" s="1" t="s">
        <v>0</v>
      </c>
      <c r="B5" s="1" t="s">
        <v>1</v>
      </c>
      <c r="C5" s="1" t="s">
        <v>2</v>
      </c>
      <c r="D5" s="1" t="s">
        <v>3</v>
      </c>
      <c r="E5" s="3" t="s">
        <v>26</v>
      </c>
      <c r="F5" s="1" t="s">
        <v>4</v>
      </c>
    </row>
    <row r="6" spans="1:6">
      <c r="A6" s="1" t="s">
        <v>5</v>
      </c>
      <c r="B6" s="1">
        <v>1</v>
      </c>
      <c r="C6" s="16">
        <v>-1</v>
      </c>
      <c r="D6" s="1" t="s">
        <v>6</v>
      </c>
      <c r="E6" s="2" t="s">
        <v>27</v>
      </c>
      <c r="F6" s="1" t="s">
        <v>43</v>
      </c>
    </row>
    <row r="7" spans="1:6">
      <c r="A7" s="1" t="s">
        <v>7</v>
      </c>
      <c r="B7" s="1">
        <v>1</v>
      </c>
      <c r="C7" s="16">
        <v>-17</v>
      </c>
      <c r="D7" s="1" t="s">
        <v>8</v>
      </c>
      <c r="E7" s="2" t="s">
        <v>28</v>
      </c>
      <c r="F7" s="1" t="s">
        <v>44</v>
      </c>
    </row>
    <row r="8" spans="1:6">
      <c r="A8" s="1" t="s">
        <v>9</v>
      </c>
      <c r="B8" s="1">
        <v>12</v>
      </c>
      <c r="C8" s="16">
        <v>5</v>
      </c>
      <c r="D8" s="1" t="s">
        <v>10</v>
      </c>
      <c r="E8" s="2" t="s">
        <v>29</v>
      </c>
      <c r="F8" s="1" t="s">
        <v>45</v>
      </c>
    </row>
    <row r="9" spans="1:6">
      <c r="A9" s="1" t="s">
        <v>11</v>
      </c>
      <c r="B9" s="1">
        <v>25</v>
      </c>
      <c r="C9" s="16">
        <v>12</v>
      </c>
      <c r="D9" s="1" t="s">
        <v>10</v>
      </c>
      <c r="E9" s="2" t="s">
        <v>30</v>
      </c>
      <c r="F9" s="1" t="s">
        <v>46</v>
      </c>
    </row>
    <row r="10" spans="1:6">
      <c r="A10" s="1" t="s">
        <v>12</v>
      </c>
      <c r="B10" s="1">
        <v>7</v>
      </c>
      <c r="C10" s="16">
        <v>-33</v>
      </c>
      <c r="D10" s="1" t="s">
        <v>13</v>
      </c>
      <c r="E10" s="2" t="s">
        <v>31</v>
      </c>
      <c r="F10" s="1" t="s">
        <v>47</v>
      </c>
    </row>
    <row r="11" spans="1:6">
      <c r="A11" s="1" t="s">
        <v>14</v>
      </c>
      <c r="B11" s="1">
        <v>8</v>
      </c>
      <c r="C11" s="16">
        <v>6</v>
      </c>
      <c r="D11" s="1" t="s">
        <v>13</v>
      </c>
      <c r="E11" s="2" t="s">
        <v>32</v>
      </c>
      <c r="F11" s="1" t="s">
        <v>47</v>
      </c>
    </row>
    <row r="12" spans="1:6">
      <c r="A12" s="1" t="s">
        <v>15</v>
      </c>
      <c r="B12" s="1">
        <v>5</v>
      </c>
      <c r="C12" s="16">
        <v>2</v>
      </c>
      <c r="D12" s="1" t="s">
        <v>16</v>
      </c>
      <c r="E12" s="2" t="s">
        <v>33</v>
      </c>
      <c r="F12" s="1" t="s">
        <v>48</v>
      </c>
    </row>
    <row r="13" spans="1:6">
      <c r="A13" s="1" t="s">
        <v>17</v>
      </c>
      <c r="B13" s="1">
        <v>3</v>
      </c>
      <c r="C13" s="16">
        <v>1</v>
      </c>
      <c r="D13" s="1" t="s">
        <v>16</v>
      </c>
      <c r="E13" s="2" t="s">
        <v>34</v>
      </c>
      <c r="F13" s="1" t="s">
        <v>49</v>
      </c>
    </row>
    <row r="14" spans="1:6">
      <c r="A14" s="1" t="s">
        <v>18</v>
      </c>
      <c r="B14" s="1">
        <v>25</v>
      </c>
      <c r="C14" s="16">
        <v>5</v>
      </c>
      <c r="D14" s="1" t="s">
        <v>16</v>
      </c>
      <c r="E14" s="2" t="s">
        <v>35</v>
      </c>
      <c r="F14" s="1" t="s">
        <v>50</v>
      </c>
    </row>
    <row r="15" spans="1:6">
      <c r="A15" s="1" t="s">
        <v>19</v>
      </c>
      <c r="B15" s="1">
        <v>7</v>
      </c>
      <c r="C15" s="16">
        <v>1</v>
      </c>
      <c r="D15" s="1" t="s">
        <v>16</v>
      </c>
      <c r="E15" s="2" t="s">
        <v>36</v>
      </c>
      <c r="F15" s="1" t="s">
        <v>49</v>
      </c>
    </row>
    <row r="16" spans="1:6">
      <c r="A16" s="1" t="s">
        <v>20</v>
      </c>
      <c r="B16" s="1">
        <v>2</v>
      </c>
      <c r="C16" s="16">
        <v>0</v>
      </c>
      <c r="D16" s="1" t="s">
        <v>16</v>
      </c>
      <c r="E16" s="2" t="s">
        <v>37</v>
      </c>
      <c r="F16" s="1" t="s">
        <v>51</v>
      </c>
    </row>
    <row r="17" spans="1:6">
      <c r="A17" s="1" t="s">
        <v>21</v>
      </c>
      <c r="B17" s="1">
        <v>2</v>
      </c>
      <c r="C17" s="16">
        <v>-1</v>
      </c>
      <c r="D17" s="1" t="s">
        <v>8</v>
      </c>
      <c r="E17" s="2" t="s">
        <v>38</v>
      </c>
      <c r="F17" s="1" t="s">
        <v>52</v>
      </c>
    </row>
    <row r="18" spans="1:6">
      <c r="A18" s="1" t="s">
        <v>22</v>
      </c>
      <c r="B18" s="1">
        <v>5</v>
      </c>
      <c r="C18" s="16">
        <v>-17</v>
      </c>
      <c r="D18" s="1" t="s">
        <v>8</v>
      </c>
      <c r="E18" s="2" t="s">
        <v>30</v>
      </c>
      <c r="F18" s="1" t="s">
        <v>53</v>
      </c>
    </row>
    <row r="19" spans="1:6">
      <c r="A19" s="1" t="s">
        <v>23</v>
      </c>
      <c r="B19" s="1">
        <v>25</v>
      </c>
      <c r="C19" s="16">
        <v>5</v>
      </c>
      <c r="D19" s="1" t="s">
        <v>8</v>
      </c>
      <c r="E19" s="2" t="s">
        <v>39</v>
      </c>
      <c r="F19" s="1" t="s">
        <v>47</v>
      </c>
    </row>
    <row r="20" spans="1:6">
      <c r="A20" s="1" t="s">
        <v>24</v>
      </c>
      <c r="B20" s="1">
        <v>18</v>
      </c>
      <c r="C20" s="16">
        <v>12</v>
      </c>
      <c r="D20" s="1" t="s">
        <v>8</v>
      </c>
      <c r="E20" s="2" t="s">
        <v>40</v>
      </c>
      <c r="F20" s="1" t="s">
        <v>50</v>
      </c>
    </row>
    <row r="21" spans="1:6">
      <c r="A21" s="1" t="s">
        <v>25</v>
      </c>
      <c r="B21" s="1">
        <v>17</v>
      </c>
      <c r="C21" s="16">
        <v>-33</v>
      </c>
      <c r="D21" s="1" t="s">
        <v>8</v>
      </c>
      <c r="E21" s="2" t="s">
        <v>41</v>
      </c>
      <c r="F21" s="1" t="s">
        <v>54</v>
      </c>
    </row>
    <row r="22" spans="1:6">
      <c r="A22" s="1" t="s">
        <v>18</v>
      </c>
      <c r="B22" s="1">
        <v>5</v>
      </c>
      <c r="C22" s="16">
        <v>2</v>
      </c>
      <c r="D22" s="1" t="s">
        <v>10</v>
      </c>
      <c r="E22" s="2" t="s">
        <v>42</v>
      </c>
      <c r="F22" s="1" t="s">
        <v>55</v>
      </c>
    </row>
  </sheetData>
  <phoneticPr fontId="2" type="noConversion"/>
  <conditionalFormatting sqref="A5:F5">
    <cfRule type="expression" dxfId="3" priority="1" stopIfTrue="1">
      <formula>OR($C6&gt;=10,$G6=전자)</formula>
    </cfRule>
  </conditionalFormatting>
  <conditionalFormatting sqref="A6:F22">
    <cfRule type="expression" dxfId="2" priority="2" stopIfTrue="1">
      <formula>OR($C6&gt;=10,$G6=전자)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B1:G21"/>
  <sheetViews>
    <sheetView workbookViewId="0"/>
  </sheetViews>
  <sheetFormatPr defaultRowHeight="16.5"/>
  <cols>
    <col min="2" max="2" width="10.125" customWidth="1"/>
    <col min="4" max="4" width="14.375" bestFit="1" customWidth="1"/>
    <col min="6" max="6" width="12.125" bestFit="1" customWidth="1"/>
    <col min="7" max="7" width="8.75" customWidth="1"/>
  </cols>
  <sheetData>
    <row r="1" spans="2:7">
      <c r="B1" s="33" t="s">
        <v>278</v>
      </c>
    </row>
    <row r="3" spans="2:7">
      <c r="B3" t="s">
        <v>123</v>
      </c>
      <c r="C3" t="s">
        <v>279</v>
      </c>
    </row>
    <row r="4" spans="2:7">
      <c r="B4" s="1" t="s">
        <v>0</v>
      </c>
      <c r="C4" s="1" t="s">
        <v>1</v>
      </c>
      <c r="D4" s="1" t="s">
        <v>2</v>
      </c>
      <c r="E4" s="1" t="s">
        <v>3</v>
      </c>
      <c r="F4" s="3" t="s">
        <v>26</v>
      </c>
      <c r="G4" s="1" t="s">
        <v>4</v>
      </c>
    </row>
    <row r="5" spans="2:7">
      <c r="B5" s="1" t="s">
        <v>5</v>
      </c>
      <c r="C5" s="1">
        <v>1</v>
      </c>
      <c r="D5" s="1">
        <v>-1</v>
      </c>
      <c r="E5" s="1" t="s">
        <v>6</v>
      </c>
      <c r="F5" s="2" t="s">
        <v>27</v>
      </c>
      <c r="G5" s="1" t="s">
        <v>43</v>
      </c>
    </row>
    <row r="6" spans="2:7">
      <c r="B6" s="1" t="s">
        <v>7</v>
      </c>
      <c r="C6" s="1">
        <v>1</v>
      </c>
      <c r="D6" s="1">
        <v>-17</v>
      </c>
      <c r="E6" s="1" t="s">
        <v>8</v>
      </c>
      <c r="F6" s="2" t="s">
        <v>28</v>
      </c>
      <c r="G6" s="1" t="s">
        <v>44</v>
      </c>
    </row>
    <row r="7" spans="2:7">
      <c r="B7" s="1" t="s">
        <v>9</v>
      </c>
      <c r="C7" s="1">
        <v>12</v>
      </c>
      <c r="D7" s="1">
        <v>5</v>
      </c>
      <c r="E7" s="1" t="s">
        <v>10</v>
      </c>
      <c r="F7" s="2" t="s">
        <v>29</v>
      </c>
      <c r="G7" s="1" t="s">
        <v>45</v>
      </c>
    </row>
    <row r="8" spans="2:7">
      <c r="B8" s="1" t="s">
        <v>11</v>
      </c>
      <c r="C8" s="1">
        <v>25</v>
      </c>
      <c r="D8" s="1">
        <v>12</v>
      </c>
      <c r="E8" s="1" t="s">
        <v>10</v>
      </c>
      <c r="F8" s="2" t="s">
        <v>30</v>
      </c>
      <c r="G8" s="1" t="s">
        <v>46</v>
      </c>
    </row>
    <row r="9" spans="2:7">
      <c r="B9" s="1" t="s">
        <v>12</v>
      </c>
      <c r="C9" s="1">
        <v>7</v>
      </c>
      <c r="D9" s="1">
        <v>-33</v>
      </c>
      <c r="E9" s="1" t="s">
        <v>13</v>
      </c>
      <c r="F9" s="2" t="s">
        <v>31</v>
      </c>
      <c r="G9" s="1" t="s">
        <v>47</v>
      </c>
    </row>
    <row r="10" spans="2:7">
      <c r="B10" s="1" t="s">
        <v>14</v>
      </c>
      <c r="C10" s="1">
        <v>8</v>
      </c>
      <c r="D10" s="1">
        <v>6</v>
      </c>
      <c r="E10" s="1" t="s">
        <v>13</v>
      </c>
      <c r="F10" s="2" t="s">
        <v>32</v>
      </c>
      <c r="G10" s="1" t="s">
        <v>47</v>
      </c>
    </row>
    <row r="11" spans="2:7">
      <c r="B11" s="1" t="s">
        <v>15</v>
      </c>
      <c r="C11" s="1">
        <v>5</v>
      </c>
      <c r="D11" s="1">
        <v>2</v>
      </c>
      <c r="E11" s="1" t="s">
        <v>16</v>
      </c>
      <c r="F11" s="2" t="s">
        <v>33</v>
      </c>
      <c r="G11" s="1" t="s">
        <v>48</v>
      </c>
    </row>
    <row r="12" spans="2:7">
      <c r="B12" s="1" t="s">
        <v>17</v>
      </c>
      <c r="C12" s="1">
        <v>3</v>
      </c>
      <c r="D12" s="1">
        <v>1</v>
      </c>
      <c r="E12" s="1" t="s">
        <v>16</v>
      </c>
      <c r="F12" s="2" t="s">
        <v>34</v>
      </c>
      <c r="G12" s="1" t="s">
        <v>49</v>
      </c>
    </row>
    <row r="13" spans="2:7">
      <c r="B13" s="1" t="s">
        <v>18</v>
      </c>
      <c r="C13" s="1">
        <v>25</v>
      </c>
      <c r="D13" s="1">
        <v>5</v>
      </c>
      <c r="E13" s="1" t="s">
        <v>16</v>
      </c>
      <c r="F13" s="2" t="s">
        <v>35</v>
      </c>
      <c r="G13" s="1" t="s">
        <v>50</v>
      </c>
    </row>
    <row r="14" spans="2:7">
      <c r="B14" s="1" t="s">
        <v>19</v>
      </c>
      <c r="C14" s="1">
        <v>7</v>
      </c>
      <c r="D14" s="1">
        <v>1</v>
      </c>
      <c r="E14" s="1" t="s">
        <v>16</v>
      </c>
      <c r="F14" s="2" t="s">
        <v>36</v>
      </c>
      <c r="G14" s="1" t="s">
        <v>49</v>
      </c>
    </row>
    <row r="15" spans="2:7">
      <c r="B15" s="1" t="s">
        <v>20</v>
      </c>
      <c r="C15" s="1">
        <v>2</v>
      </c>
      <c r="D15" s="1">
        <v>0</v>
      </c>
      <c r="E15" s="1" t="s">
        <v>16</v>
      </c>
      <c r="F15" s="2" t="s">
        <v>37</v>
      </c>
      <c r="G15" s="1" t="s">
        <v>51</v>
      </c>
    </row>
    <row r="16" spans="2:7">
      <c r="B16" s="1" t="s">
        <v>21</v>
      </c>
      <c r="C16" s="1">
        <v>2</v>
      </c>
      <c r="D16" s="1">
        <v>-1</v>
      </c>
      <c r="E16" s="1" t="s">
        <v>8</v>
      </c>
      <c r="F16" s="2" t="s">
        <v>38</v>
      </c>
      <c r="G16" s="1" t="s">
        <v>52</v>
      </c>
    </row>
    <row r="17" spans="2:7">
      <c r="B17" s="1" t="s">
        <v>22</v>
      </c>
      <c r="C17" s="1">
        <v>5</v>
      </c>
      <c r="D17" s="1">
        <v>-17</v>
      </c>
      <c r="E17" s="1" t="s">
        <v>8</v>
      </c>
      <c r="F17" s="2" t="s">
        <v>30</v>
      </c>
      <c r="G17" s="1" t="s">
        <v>53</v>
      </c>
    </row>
    <row r="18" spans="2:7">
      <c r="B18" s="1" t="s">
        <v>23</v>
      </c>
      <c r="C18" s="1">
        <v>25</v>
      </c>
      <c r="D18" s="1">
        <v>5</v>
      </c>
      <c r="E18" s="1" t="s">
        <v>8</v>
      </c>
      <c r="F18" s="2" t="s">
        <v>39</v>
      </c>
      <c r="G18" s="1" t="s">
        <v>47</v>
      </c>
    </row>
    <row r="19" spans="2:7">
      <c r="B19" s="1" t="s">
        <v>24</v>
      </c>
      <c r="C19" s="1">
        <v>18</v>
      </c>
      <c r="D19" s="1">
        <v>12</v>
      </c>
      <c r="E19" s="1" t="s">
        <v>8</v>
      </c>
      <c r="F19" s="2" t="s">
        <v>40</v>
      </c>
      <c r="G19" s="1" t="s">
        <v>50</v>
      </c>
    </row>
    <row r="20" spans="2:7">
      <c r="B20" s="1" t="s">
        <v>25</v>
      </c>
      <c r="C20" s="1">
        <v>17</v>
      </c>
      <c r="D20" s="1">
        <v>-33</v>
      </c>
      <c r="E20" s="1" t="s">
        <v>8</v>
      </c>
      <c r="F20" s="2" t="s">
        <v>41</v>
      </c>
      <c r="G20" s="1" t="s">
        <v>54</v>
      </c>
    </row>
    <row r="21" spans="2:7">
      <c r="B21" s="1" t="s">
        <v>18</v>
      </c>
      <c r="C21" s="1">
        <v>5</v>
      </c>
      <c r="D21" s="1">
        <v>2</v>
      </c>
      <c r="E21" s="1" t="s">
        <v>10</v>
      </c>
      <c r="F21" s="2" t="s">
        <v>42</v>
      </c>
      <c r="G21" s="1" t="s">
        <v>55</v>
      </c>
    </row>
  </sheetData>
  <phoneticPr fontId="2" type="noConversion"/>
  <conditionalFormatting sqref="B4:G4">
    <cfRule type="expression" dxfId="1" priority="1" stopIfTrue="1">
      <formula>OR($C5&gt;=10,$G5=전자)</formula>
    </cfRule>
  </conditionalFormatting>
  <conditionalFormatting sqref="B5:G21">
    <cfRule type="expression" dxfId="0" priority="2" stopIfTrue="1">
      <formula>OR($C5&gt;=10,$G5=전자)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업체검색">
          <controlPr defaultSize="0" autoLine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657225</xdr:colOff>
                <xdr:row>2</xdr:row>
                <xdr:rowOff>28575</xdr:rowOff>
              </to>
            </anchor>
          </controlPr>
        </control>
      </mc:Choice>
      <mc:Fallback>
        <control shapeId="1025" r:id="rId4" name="cmd업체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꽃바구니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'기타작업-2'!MS_Access_Database_Query_2</vt:lpstr>
      <vt:lpstr>'기타작업-3'!MS_Access_Database_Query_2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2021-04-18T12:29:54Z</dcterms:created>
  <dcterms:modified xsi:type="dcterms:W3CDTF">2024-09-01T04:16:37Z</dcterms:modified>
</cp:coreProperties>
</file>