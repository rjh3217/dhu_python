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1급\상시공략집\2024컴활1급(상시)\스프레드시트\상시공략문제\정답\"/>
    </mc:Choice>
  </mc:AlternateContent>
  <xr:revisionPtr revIDLastSave="0" documentId="13_ncr:1_{0F917434-77B2-4F70-BBD1-03B5772F341E}" xr6:coauthVersionLast="47" xr6:coauthVersionMax="47" xr10:uidLastSave="{00000000-0000-0000-0000-000000000000}"/>
  <bookViews>
    <workbookView xWindow="16110" yWindow="1635" windowWidth="14955" windowHeight="13170" tabRatio="896" activeTab="1" xr2:uid="{00000000-000D-0000-FFFF-FFFF00000000}"/>
  </bookViews>
  <sheets>
    <sheet name="기본작업-1" sheetId="1" r:id="rId1"/>
    <sheet name="기본작업-2" sheetId="2" r:id="rId2"/>
    <sheet name="계산작업" sheetId="3" r:id="rId3"/>
    <sheet name="회원어르신" sheetId="14" r:id="rId4"/>
    <sheet name="분석작업-1" sheetId="10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9"/>
  <definedNames>
    <definedName name="_xlnm._FilterDatabase" localSheetId="0" hidden="1">'기본작업-1'!$A$2:$G$30</definedName>
    <definedName name="_xlnm._FilterDatabase" localSheetId="5" hidden="1">'분석작업-2'!$B$3:$E$10</definedName>
    <definedName name="_xlnm.Criteria" localSheetId="0">'기본작업-1'!$A$33:$A$34</definedName>
    <definedName name="_xlnm.Extract" localSheetId="0">'기본작업-1'!$A$36:$G$36</definedName>
    <definedName name="_xlnm.Print_Area" localSheetId="1">'기본작업-2'!$A$2:$G$50</definedName>
    <definedName name="_xlnm.Print_Titles" localSheetId="1">'기본작업-2'!$2:$2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4" i="3" l="1" a="1"/>
  <c r="L14" i="3" s="1"/>
  <c r="M14" i="3" a="1"/>
  <c r="M14" i="3" s="1"/>
  <c r="N14" i="3" a="1"/>
  <c r="N14" i="3" s="1"/>
  <c r="O14" i="3" a="1"/>
  <c r="O14" i="3" s="1"/>
  <c r="L15" i="3" a="1"/>
  <c r="L15" i="3" s="1"/>
  <c r="M15" i="3" a="1"/>
  <c r="M15" i="3" s="1"/>
  <c r="N15" i="3" a="1"/>
  <c r="N15" i="3" s="1"/>
  <c r="O15" i="3" a="1"/>
  <c r="O15" i="3" s="1"/>
  <c r="L16" i="3" a="1"/>
  <c r="L16" i="3" s="1"/>
  <c r="M16" i="3" a="1"/>
  <c r="M16" i="3" s="1"/>
  <c r="N16" i="3" a="1"/>
  <c r="N16" i="3" s="1"/>
  <c r="O16" i="3" a="1"/>
  <c r="O16" i="3" s="1"/>
  <c r="L17" i="3" a="1"/>
  <c r="L17" i="3" s="1"/>
  <c r="M17" i="3" a="1"/>
  <c r="M17" i="3" s="1"/>
  <c r="N17" i="3" a="1"/>
  <c r="N17" i="3" s="1"/>
  <c r="O17" i="3" a="1"/>
  <c r="O17" i="3" s="1"/>
  <c r="K15" i="3" a="1"/>
  <c r="K15" i="3" s="1"/>
  <c r="K16" i="3" a="1"/>
  <c r="K16" i="3" s="1"/>
  <c r="K17" i="3" a="1"/>
  <c r="K17" i="3" s="1"/>
  <c r="K14" i="3" a="1"/>
  <c r="K14" i="3" s="1"/>
  <c r="G4" i="3" l="1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/>
  <c r="G20" i="3" a="1"/>
  <c r="G20" i="3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" i="3" a="1"/>
  <c r="G3" i="3" s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" i="3"/>
  <c r="A34" i="1"/>
  <c r="H25" i="3" a="1"/>
  <c r="H24" i="3" a="1"/>
  <c r="H3" i="3" a="1"/>
  <c r="H32" i="3" a="1"/>
  <c r="H23" i="3" a="1"/>
  <c r="H20" i="3" a="1"/>
  <c r="H8" i="3" a="1"/>
  <c r="H15" i="3" a="1"/>
  <c r="H22" i="3" a="1"/>
  <c r="H19" i="3" a="1"/>
  <c r="H10" i="3" a="1"/>
  <c r="H13" i="3" a="1"/>
  <c r="H9" i="3" a="1"/>
  <c r="H12" i="3" a="1"/>
  <c r="H30" i="3" a="1"/>
  <c r="H18" i="3" a="1"/>
  <c r="H14" i="3" a="1"/>
  <c r="H5" i="3" a="1"/>
  <c r="H28" i="3" a="1"/>
  <c r="H6" i="3" a="1"/>
  <c r="H17" i="3" a="1"/>
  <c r="H26" i="3" a="1"/>
  <c r="H11" i="3" a="1"/>
  <c r="H16" i="3" a="1"/>
  <c r="H29" i="3" a="1"/>
  <c r="H31" i="3" a="1"/>
  <c r="H7" i="3" a="1"/>
  <c r="H27" i="3" a="1"/>
  <c r="H4" i="3" a="1"/>
  <c r="H21" i="3" a="1"/>
  <c r="H27" i="3" l="1"/>
  <c r="H24" i="3"/>
  <c r="H14" i="3"/>
  <c r="H23" i="3"/>
  <c r="H13" i="3"/>
  <c r="H32" i="3"/>
  <c r="H22" i="3"/>
  <c r="H12" i="3"/>
  <c r="H31" i="3"/>
  <c r="H21" i="3"/>
  <c r="H11" i="3"/>
  <c r="H30" i="3"/>
  <c r="H20" i="3"/>
  <c r="H10" i="3"/>
  <c r="H29" i="3"/>
  <c r="H19" i="3"/>
  <c r="H9" i="3"/>
  <c r="H28" i="3"/>
  <c r="H18" i="3"/>
  <c r="H8" i="3"/>
  <c r="H17" i="3"/>
  <c r="H7" i="3"/>
  <c r="H26" i="3"/>
  <c r="H16" i="3"/>
  <c r="H6" i="3"/>
  <c r="H25" i="3"/>
  <c r="H15" i="3"/>
  <c r="H5" i="3"/>
  <c r="H4" i="3"/>
  <c r="H3" i="3"/>
  <c r="L22" i="3" a="1"/>
  <c r="L23" i="3" s="1"/>
  <c r="L22" i="3" l="1"/>
  <c r="L25" i="3"/>
  <c r="L2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E:\영진(2022년)\1급\엑셀\기출문제1회\5월특강.xlsx" keepAlive="1" name="5월특강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2" xr16:uid="{00000000-0015-0000-FFFF-FFFF01000000}" sourceFile="E:\영진(2022년)\1급\엑셀\기출문제1회\5월특강.xlsx" keepAlive="1" name="5월특강1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3" xr16:uid="{00000000-0015-0000-FFFF-FFFF02000000}" sourceFile="E:\영진(2022년)\1급\엑셀\기출문제1회\5월특강.xlsx" keepAlive="1" name="5월특강2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4" xr16:uid="{00000000-0015-0000-FFFF-FFFF03000000}" sourceFile="E:\영진(2022년)\1급\엑셀\기출문제1회\5월특강.xlsx" keepAlive="1" name="5월특강3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5" xr16:uid="{7D5E2744-50D8-4EA2-ABDB-291993ECF59C}" sourceFile="E:\영진(2024년)\1급\상시공략집\2024컴활1급(상시)\스프레드시트\상시공략문제\특강.xlsx" keepAlive="1" name="특강" type="5" refreshedVersion="7" background="1">
    <dbPr connection="Provider=Microsoft.ACE.OLEDB.12.0;User ID=Admin;Data Source=E:\영진(2024년)\1급\상시공략집\2024컴활1급(상시)\스프레드시트\상시공략문제\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<sst xmlns="http://schemas.openxmlformats.org/spreadsheetml/2006/main" count="657" uniqueCount="230">
  <si>
    <t>구분</t>
  </si>
  <si>
    <t>성명</t>
  </si>
  <si>
    <t>회원</t>
  </si>
  <si>
    <t>비회원</t>
  </si>
  <si>
    <t>청소년</t>
  </si>
  <si>
    <t>고진웅</t>
  </si>
  <si>
    <t>어르신</t>
  </si>
  <si>
    <t>어린이</t>
  </si>
  <si>
    <t>김솔오</t>
  </si>
  <si>
    <t>김시습</t>
  </si>
  <si>
    <t>김은소</t>
  </si>
  <si>
    <t>김중건</t>
  </si>
  <si>
    <t>안대훈</t>
  </si>
  <si>
    <t>오덕우</t>
  </si>
  <si>
    <t>홍영식</t>
  </si>
  <si>
    <t>[표1]</t>
    <phoneticPr fontId="1" type="noConversion"/>
  </si>
  <si>
    <t>기준일 :</t>
    <phoneticPr fontId="1" type="noConversion"/>
  </si>
  <si>
    <t>[표2] 기본요금/할인율</t>
    <phoneticPr fontId="1" type="noConversion"/>
  </si>
  <si>
    <t>구분</t>
    <phoneticPr fontId="1" type="noConversion"/>
  </si>
  <si>
    <t>비고</t>
    <phoneticPr fontId="1" type="noConversion"/>
  </si>
  <si>
    <t>요일</t>
    <phoneticPr fontId="1" type="noConversion"/>
  </si>
  <si>
    <t>기본요금</t>
    <phoneticPr fontId="1" type="noConversion"/>
  </si>
  <si>
    <t>회원</t>
    <phoneticPr fontId="1" type="noConversion"/>
  </si>
  <si>
    <t>어르신</t>
    <phoneticPr fontId="1" type="noConversion"/>
  </si>
  <si>
    <t>회원</t>
    <phoneticPr fontId="1" type="noConversion"/>
  </si>
  <si>
    <t>청소년</t>
    <phoneticPr fontId="1" type="noConversion"/>
  </si>
  <si>
    <t>월요일</t>
    <phoneticPr fontId="1" type="noConversion"/>
  </si>
  <si>
    <t>비회원</t>
    <phoneticPr fontId="1" type="noConversion"/>
  </si>
  <si>
    <t>화요일</t>
  </si>
  <si>
    <t>수요일</t>
  </si>
  <si>
    <t>목요일</t>
  </si>
  <si>
    <t>금요일</t>
  </si>
  <si>
    <t>토요일</t>
  </si>
  <si>
    <t>어린이</t>
    <phoneticPr fontId="1" type="noConversion"/>
  </si>
  <si>
    <t>일요일</t>
  </si>
  <si>
    <t>[표3]</t>
    <phoneticPr fontId="1" type="noConversion"/>
  </si>
  <si>
    <t>비회원</t>
    <phoneticPr fontId="1" type="noConversion"/>
  </si>
  <si>
    <t>어린이</t>
    <phoneticPr fontId="1" type="noConversion"/>
  </si>
  <si>
    <t>어르신</t>
    <phoneticPr fontId="1" type="noConversion"/>
  </si>
  <si>
    <t>김중건</t>
    <phoneticPr fontId="1" type="noConversion"/>
  </si>
  <si>
    <t>회원</t>
    <phoneticPr fontId="1" type="noConversion"/>
  </si>
  <si>
    <t>[표4]</t>
    <phoneticPr fontId="1" type="noConversion"/>
  </si>
  <si>
    <t>고진웅</t>
    <phoneticPr fontId="1" type="noConversion"/>
  </si>
  <si>
    <t>날짜</t>
    <phoneticPr fontId="1" type="noConversion"/>
  </si>
  <si>
    <t>참가비율</t>
    <phoneticPr fontId="1" type="noConversion"/>
  </si>
  <si>
    <t>안대훈</t>
    <phoneticPr fontId="1" type="noConversion"/>
  </si>
  <si>
    <t>김솔오</t>
    <phoneticPr fontId="1" type="noConversion"/>
  </si>
  <si>
    <t>오덕우</t>
    <phoneticPr fontId="1" type="noConversion"/>
  </si>
  <si>
    <t>김은소</t>
    <phoneticPr fontId="1" type="noConversion"/>
  </si>
  <si>
    <t>유벼리</t>
    <phoneticPr fontId="1" type="noConversion"/>
  </si>
  <si>
    <t>박호영</t>
    <phoneticPr fontId="1" type="noConversion"/>
  </si>
  <si>
    <t>[표1]</t>
  </si>
  <si>
    <t>담당자</t>
    <phoneticPr fontId="1" type="noConversion"/>
  </si>
  <si>
    <t>연락처</t>
    <phoneticPr fontId="1" type="noConversion"/>
  </si>
  <si>
    <t>031)711-4041</t>
  </si>
  <si>
    <t>이메일주소</t>
    <phoneticPr fontId="1" type="noConversion"/>
  </si>
  <si>
    <t>구분</t>
    <phoneticPr fontId="1" type="noConversion"/>
  </si>
  <si>
    <t>신청인원</t>
    <phoneticPr fontId="1" type="noConversion"/>
  </si>
  <si>
    <t>특강 날짜</t>
    <phoneticPr fontId="1" type="noConversion"/>
  </si>
  <si>
    <t>특강명</t>
    <phoneticPr fontId="1" type="noConversion"/>
  </si>
  <si>
    <t>필라테스</t>
    <phoneticPr fontId="1" type="noConversion"/>
  </si>
  <si>
    <t>재테크</t>
    <phoneticPr fontId="1" type="noConversion"/>
  </si>
  <si>
    <t>뷰티</t>
    <phoneticPr fontId="1" type="noConversion"/>
  </si>
  <si>
    <t>바리스타</t>
    <phoneticPr fontId="1" type="noConversion"/>
  </si>
  <si>
    <t>외국어</t>
    <phoneticPr fontId="1" type="noConversion"/>
  </si>
  <si>
    <t>특강주</t>
    <phoneticPr fontId="1" type="noConversion"/>
  </si>
  <si>
    <t>요리</t>
    <phoneticPr fontId="1" type="noConversion"/>
  </si>
  <si>
    <t>휴관</t>
    <phoneticPr fontId="1" type="noConversion"/>
  </si>
  <si>
    <t>어르신</t>
    <phoneticPr fontId="1" type="noConversion"/>
  </si>
  <si>
    <t>성인</t>
    <phoneticPr fontId="1" type="noConversion"/>
  </si>
  <si>
    <t>청소년</t>
    <phoneticPr fontId="1" type="noConversion"/>
  </si>
  <si>
    <t>수강분류</t>
    <phoneticPr fontId="1" type="noConversion"/>
  </si>
  <si>
    <t>신청인원</t>
    <phoneticPr fontId="1" type="noConversion"/>
  </si>
  <si>
    <t>금액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</si>
  <si>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</si>
  <si>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</si>
  <si>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</si>
  <si>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</si>
  <si>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</si>
  <si>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</si>
  <si>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청소년</t>
    <phoneticPr fontId="1" type="noConversion"/>
  </si>
  <si>
    <t>성인</t>
  </si>
  <si>
    <t>청소년</t>
    <phoneticPr fontId="1" type="noConversion"/>
  </si>
  <si>
    <t>비회원</t>
    <phoneticPr fontId="1" type="noConversion"/>
  </si>
  <si>
    <t>청소년</t>
    <phoneticPr fontId="1" type="noConversion"/>
  </si>
  <si>
    <t>성인</t>
    <phoneticPr fontId="1" type="noConversion"/>
  </si>
  <si>
    <t>배동진</t>
  </si>
  <si>
    <t>배동진</t>
    <phoneticPr fontId="1" type="noConversion"/>
  </si>
  <si>
    <t>이무열</t>
  </si>
  <si>
    <t>이무열</t>
    <phoneticPr fontId="1" type="noConversion"/>
  </si>
  <si>
    <t>김건남</t>
  </si>
  <si>
    <t>김건남</t>
    <phoneticPr fontId="1" type="noConversion"/>
  </si>
  <si>
    <t>서호형</t>
  </si>
  <si>
    <t>서호형</t>
    <phoneticPr fontId="1" type="noConversion"/>
  </si>
  <si>
    <t>조숙희</t>
  </si>
  <si>
    <t>조숙희</t>
    <phoneticPr fontId="1" type="noConversion"/>
  </si>
  <si>
    <t>김영란</t>
  </si>
  <si>
    <t>김영란</t>
    <phoneticPr fontId="1" type="noConversion"/>
  </si>
  <si>
    <t>심상섭</t>
  </si>
  <si>
    <t>심상섭</t>
    <phoneticPr fontId="1" type="noConversion"/>
  </si>
  <si>
    <t>정희숙</t>
  </si>
  <si>
    <t>정희숙</t>
    <phoneticPr fontId="1" type="noConversion"/>
  </si>
  <si>
    <t>차주석</t>
  </si>
  <si>
    <t>차주석</t>
    <phoneticPr fontId="1" type="noConversion"/>
  </si>
  <si>
    <t>김인정</t>
  </si>
  <si>
    <t>김인정</t>
    <phoneticPr fontId="1" type="noConversion"/>
  </si>
  <si>
    <t>이숙진</t>
  </si>
  <si>
    <t>이숙진</t>
    <phoneticPr fontId="1" type="noConversion"/>
  </si>
  <si>
    <t>이숙영</t>
  </si>
  <si>
    <t>이숙영</t>
    <phoneticPr fontId="1" type="noConversion"/>
  </si>
  <si>
    <t>이창명</t>
  </si>
  <si>
    <t>이창명</t>
    <phoneticPr fontId="1" type="noConversion"/>
  </si>
  <si>
    <t>배유정</t>
  </si>
  <si>
    <t>배유정</t>
    <phoneticPr fontId="1" type="noConversion"/>
  </si>
  <si>
    <t>한영희</t>
  </si>
  <si>
    <t>한영희</t>
    <phoneticPr fontId="1" type="noConversion"/>
  </si>
  <si>
    <t>김예중</t>
  </si>
  <si>
    <t>김예중</t>
    <phoneticPr fontId="1" type="noConversion"/>
  </si>
  <si>
    <t>이선영</t>
  </si>
  <si>
    <t>이선영</t>
    <phoneticPr fontId="1" type="noConversion"/>
  </si>
  <si>
    <t>임지영</t>
  </si>
  <si>
    <t>임지영</t>
    <phoneticPr fontId="1" type="noConversion"/>
  </si>
  <si>
    <t>민들레</t>
  </si>
  <si>
    <t>민들레</t>
    <phoneticPr fontId="1" type="noConversion"/>
  </si>
  <si>
    <t>오성식</t>
    <phoneticPr fontId="1" type="noConversion"/>
  </si>
  <si>
    <t>수강분류</t>
  </si>
  <si>
    <t>특강주</t>
  </si>
  <si>
    <t>특강 날짜</t>
  </si>
  <si>
    <t>신청인원</t>
  </si>
  <si>
    <t>금액</t>
  </si>
  <si>
    <t>비회원-1주</t>
  </si>
  <si>
    <t>회원-2주</t>
  </si>
  <si>
    <t>비회원-3주</t>
  </si>
  <si>
    <t>회원-3주</t>
  </si>
  <si>
    <t>회원-1주</t>
  </si>
  <si>
    <t>비회원-2주</t>
  </si>
  <si>
    <t>회원-4주</t>
  </si>
  <si>
    <t>비회원-4주</t>
  </si>
  <si>
    <t>구교선</t>
    <phoneticPr fontId="1" type="noConversion"/>
  </si>
  <si>
    <t>구교선</t>
    <phoneticPr fontId="1" type="noConversion"/>
  </si>
  <si>
    <t>김도연</t>
    <phoneticPr fontId="1" type="noConversion"/>
  </si>
  <si>
    <t>이루다</t>
    <phoneticPr fontId="1" type="noConversion"/>
  </si>
  <si>
    <t>최일우</t>
    <phoneticPr fontId="1" type="noConversion"/>
  </si>
  <si>
    <t>홍서우</t>
    <phoneticPr fontId="1" type="noConversion"/>
  </si>
  <si>
    <t>임진우</t>
    <phoneticPr fontId="1" type="noConversion"/>
  </si>
  <si>
    <t>이도훈</t>
    <phoneticPr fontId="1" type="noConversion"/>
  </si>
  <si>
    <t>이윤경</t>
    <phoneticPr fontId="1" type="noConversion"/>
  </si>
  <si>
    <t>오현석</t>
    <phoneticPr fontId="1" type="noConversion"/>
  </si>
  <si>
    <t>강태운</t>
    <phoneticPr fontId="1" type="noConversion"/>
  </si>
  <si>
    <t>김찬혁</t>
    <phoneticPr fontId="1" type="noConversion"/>
  </si>
  <si>
    <t>임현서</t>
    <phoneticPr fontId="1" type="noConversion"/>
  </si>
  <si>
    <t>김채율</t>
    <phoneticPr fontId="1" type="noConversion"/>
  </si>
  <si>
    <t>최민서</t>
    <phoneticPr fontId="1" type="noConversion"/>
  </si>
  <si>
    <t>김한성</t>
    <phoneticPr fontId="1" type="noConversion"/>
  </si>
  <si>
    <t>이연수</t>
    <phoneticPr fontId="1" type="noConversion"/>
  </si>
  <si>
    <t>오예성</t>
    <phoneticPr fontId="1" type="noConversion"/>
  </si>
  <si>
    <t>안서윤</t>
    <phoneticPr fontId="1" type="noConversion"/>
  </si>
  <si>
    <t>김려원</t>
    <phoneticPr fontId="1" type="noConversion"/>
  </si>
  <si>
    <t>한가경</t>
    <phoneticPr fontId="1" type="noConversion"/>
  </si>
  <si>
    <t>배수빈</t>
    <phoneticPr fontId="1" type="noConversion"/>
  </si>
  <si>
    <t>031)457-9580</t>
    <phoneticPr fontId="1" type="noConversion"/>
  </si>
  <si>
    <t>031)766-1974</t>
    <phoneticPr fontId="1" type="noConversion"/>
  </si>
  <si>
    <t>031)826-9790</t>
    <phoneticPr fontId="1" type="noConversion"/>
  </si>
  <si>
    <t>031)845-9750</t>
    <phoneticPr fontId="1" type="noConversion"/>
  </si>
  <si>
    <t>02)582-8986</t>
    <phoneticPr fontId="1" type="noConversion"/>
  </si>
  <si>
    <t>김제권</t>
    <phoneticPr fontId="1" type="noConversion"/>
  </si>
  <si>
    <t>이정미</t>
    <phoneticPr fontId="1" type="noConversion"/>
  </si>
  <si>
    <t>이미향</t>
    <phoneticPr fontId="1" type="noConversion"/>
  </si>
  <si>
    <t>김경주</t>
    <phoneticPr fontId="1" type="noConversion"/>
  </si>
  <si>
    <t>최선자</t>
    <phoneticPr fontId="1" type="noConversion"/>
  </si>
  <si>
    <t>강진욱</t>
    <phoneticPr fontId="1" type="noConversion"/>
  </si>
  <si>
    <t>02)890-7496</t>
    <phoneticPr fontId="1" type="noConversion"/>
  </si>
  <si>
    <t>배현숙</t>
    <phoneticPr fontId="1" type="noConversion"/>
  </si>
  <si>
    <t>독서</t>
    <phoneticPr fontId="1" type="noConversion"/>
  </si>
  <si>
    <t>수강분류</t>
    <phoneticPr fontId="1" type="noConversion"/>
  </si>
  <si>
    <t>신청인원</t>
    <phoneticPr fontId="1" type="noConversion"/>
  </si>
  <si>
    <t>직장인</t>
    <phoneticPr fontId="1" type="noConversion"/>
  </si>
  <si>
    <t>주부</t>
    <phoneticPr fontId="1" type="noConversion"/>
  </si>
  <si>
    <t>[표1] 수강분류별 신청인원/금액 평균</t>
    <phoneticPr fontId="1" type="noConversion"/>
  </si>
  <si>
    <t>특강날짜</t>
    <phoneticPr fontId="1" type="noConversion"/>
  </si>
  <si>
    <t>강호동</t>
    <phoneticPr fontId="1" type="noConversion"/>
  </si>
  <si>
    <t>이름</t>
    <phoneticPr fontId="1" type="noConversion"/>
  </si>
  <si>
    <t>성인</t>
    <phoneticPr fontId="1" type="noConversion"/>
  </si>
  <si>
    <t>어르신</t>
    <phoneticPr fontId="1" type="noConversion"/>
  </si>
  <si>
    <t>특강 날짜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</si>
  <si>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</si>
  <si>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</si>
  <si>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</si>
  <si>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</si>
  <si>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</si>
  <si>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</si>
  <si>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</si>
  <si>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</si>
  <si>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</si>
  <si>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</si>
  <si>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어린이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</si>
  <si>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</si>
  <si>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</si>
  <si>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</si>
  <si>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성인</t>
    <phoneticPr fontId="1" type="noConversion"/>
  </si>
  <si>
    <t>어린이</t>
    <phoneticPr fontId="1" type="noConversion"/>
  </si>
  <si>
    <t>어르신</t>
    <phoneticPr fontId="1" type="noConversion"/>
  </si>
  <si>
    <t>청소년</t>
    <phoneticPr fontId="1" type="noConversion"/>
  </si>
  <si>
    <t>성인</t>
    <phoneticPr fontId="1" type="noConversion"/>
  </si>
  <si>
    <t>성인</t>
    <phoneticPr fontId="1" type="noConversion"/>
  </si>
  <si>
    <t>어린이</t>
    <phoneticPr fontId="1" type="noConversion"/>
  </si>
  <si>
    <t>성인</t>
    <phoneticPr fontId="1" type="noConversion"/>
  </si>
  <si>
    <t>어르신</t>
    <phoneticPr fontId="1" type="noConversion"/>
  </si>
  <si>
    <t>lee123@youngjin.com</t>
    <phoneticPr fontId="1" type="noConversion"/>
  </si>
  <si>
    <t>kim357@youngjin.com</t>
    <phoneticPr fontId="1" type="noConversion"/>
  </si>
  <si>
    <t>park9014@naver.com</t>
    <phoneticPr fontId="1" type="noConversion"/>
  </si>
  <si>
    <t>hwang9871@daum.net</t>
    <phoneticPr fontId="1" type="noConversion"/>
  </si>
  <si>
    <t>choi111@nate.com</t>
    <phoneticPr fontId="1" type="noConversion"/>
  </si>
  <si>
    <t>sung235@naver.com</t>
    <phoneticPr fontId="1" type="noConversion"/>
  </si>
  <si>
    <t>yun8712@daum.net</t>
    <phoneticPr fontId="1" type="noConversion"/>
  </si>
  <si>
    <t>조건</t>
    <phoneticPr fontId="1" type="noConversion"/>
  </si>
  <si>
    <t>총합계</t>
  </si>
  <si>
    <t>값</t>
  </si>
  <si>
    <t>수강분류2</t>
  </si>
  <si>
    <t>평균 : 신청인원</t>
  </si>
  <si>
    <t>평균 : 금액</t>
  </si>
  <si>
    <t>이윤경</t>
  </si>
  <si>
    <t>정원</t>
    <phoneticPr fontId="1" type="noConversion"/>
  </si>
  <si>
    <t>A클래스</t>
  </si>
  <si>
    <t>B클래스</t>
  </si>
  <si>
    <t>월</t>
    <phoneticPr fontId="1" type="noConversion"/>
  </si>
  <si>
    <t>화</t>
  </si>
  <si>
    <t>수</t>
  </si>
  <si>
    <t>목</t>
  </si>
  <si>
    <t>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</si>
</sst>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[$-F800]dddd\,\ mmmm\ dd\,\ yyyy"/>
    <numFmt numFmtId="177" formatCode="General&quot; 이상&quot;"/>
    <numFmt numFmtId="178" formatCode="General&quot; 이하&quot;"/>
    <numFmt numFmtId="179" formatCode="#,##0_ "/>
    <numFmt numFmtId="180" formatCode="0.0_ "/>
    <numFmt numFmtId="181" formatCode="[&gt;=5]&quot;수업진행&quot;;&quot;폐강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2"/>
      <color theme="1"/>
      <name val="궁서체"/>
      <family val="1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4" fillId="0" borderId="1" xfId="3" applyFont="1" applyFill="1" applyBorder="1" applyAlignment="1">
      <alignment horizont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>
      <alignment vertical="center"/>
    </xf>
    <xf numFmtId="0" fontId="4" fillId="0" borderId="1" xfId="3" applyFont="1" applyFill="1" applyBorder="1" applyAlignment="1">
      <alignment horizontal="center" wrapText="1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4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4" fillId="3" borderId="1" xfId="3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5" fillId="0" borderId="1" xfId="4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4" fontId="0" fillId="0" borderId="0" xfId="0" applyNumberFormat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1" xfId="0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14" fontId="7" fillId="0" borderId="1" xfId="0" applyNumberFormat="1" applyFont="1" applyBorder="1">
      <alignment vertical="center"/>
    </xf>
    <xf numFmtId="0" fontId="7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5">
    <cellStyle name="백분율" xfId="2" builtinId="5"/>
    <cellStyle name="쉼표 [0]" xfId="1" builtinId="6"/>
    <cellStyle name="표준" xfId="0" builtinId="0"/>
    <cellStyle name="표준_계산작업" xfId="3" xr:uid="{00000000-0005-0000-0000-000003000000}"/>
    <cellStyle name="하이퍼링크" xfId="4" builtinId="8"/>
  </cellStyles>
  <dxfs count="3">
    <dxf>
      <font>
        <b/>
        <i val="0"/>
      </font>
    </dxf>
    <dxf>
      <numFmt numFmtId="19" formatCode="yyyy/mm/dd"/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수강분류별 신청인원</a:t>
            </a:r>
            <a:r>
              <a:rPr lang="en-US" altLang="ko-KR"/>
              <a:t>/</a:t>
            </a:r>
            <a:r>
              <a:rPr lang="ko-KR" altLang="en-US"/>
              <a:t>금액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'기타작업-1'!$D$3</c:f>
              <c:strCache>
                <c:ptCount val="1"/>
                <c:pt idx="0">
                  <c:v>금액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139780</c:v>
                </c:pt>
                <c:pt idx="1">
                  <c:v>291500</c:v>
                </c:pt>
                <c:pt idx="2">
                  <c:v>325000</c:v>
                </c:pt>
                <c:pt idx="3">
                  <c:v>178540</c:v>
                </c:pt>
                <c:pt idx="4">
                  <c:v>213700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E-4380-89FE-072463E7CD8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226719743"/>
        <c:axId val="1226715999"/>
      </c:barChart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신청인원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45</c:v>
                </c:pt>
                <c:pt idx="3">
                  <c:v>18</c:v>
                </c:pt>
                <c:pt idx="4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E-4380-89FE-072463E7CD8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8899376"/>
        <c:axId val="488894800"/>
      </c:lineChart>
      <c:catAx>
        <c:axId val="4888993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4800"/>
        <c:crosses val="max"/>
        <c:auto val="1"/>
        <c:lblAlgn val="ctr"/>
        <c:lblOffset val="100"/>
        <c:noMultiLvlLbl val="0"/>
      </c:catAx>
      <c:valAx>
        <c:axId val="4888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9376"/>
        <c:crosses val="autoZero"/>
        <c:crossBetween val="between"/>
      </c:valAx>
      <c:valAx>
        <c:axId val="1226715999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6719743"/>
        <c:crosses val="max"/>
        <c:crossBetween val="between"/>
      </c:valAx>
      <c:catAx>
        <c:axId val="1226719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6715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9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수업장소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진행여부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66675</xdr:rowOff>
        </xdr:from>
        <xdr:to>
          <xdr:col>5</xdr:col>
          <xdr:colOff>885825</xdr:colOff>
          <xdr:row>1</xdr:row>
          <xdr:rowOff>161925</xdr:rowOff>
        </xdr:to>
        <xdr:sp macro="" textlink="">
          <xdr:nvSpPr>
            <xdr:cNvPr id="1025" name="cmd신청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211.032729166669" backgroundQuery="1" createdVersion="7" refreshedVersion="7" minRefreshableVersion="3" recordCount="48" xr:uid="{56AFD6B0-6E1C-48D6-9F92-4534AE59874D}">
  <cacheSource type="external" connectionId="5"/>
  <cacheFields count="8">
    <cacheField name="구분" numFmtId="0">
      <sharedItems count="2">
        <s v="비회원"/>
        <s v="회원"/>
      </sharedItems>
    </cacheField>
    <cacheField name="수강분류" numFmtId="0">
      <sharedItems count="4">
        <s v="어르신"/>
        <s v="청소년"/>
        <s v="성인"/>
        <s v="어린이"/>
      </sharedItems>
      <fieldGroup par="7"/>
    </cacheField>
    <cacheField name="성명" numFmtId="0">
      <sharedItems/>
    </cacheField>
    <cacheField name="특강주" numFmtId="0">
      <sharedItems count="8">
        <s v="비회원-1주"/>
        <s v="회원-2주"/>
        <s v="비회원-3주"/>
        <s v="회원-3주"/>
        <s v="회원-1주"/>
        <s v="비회원-2주"/>
        <s v="회원-4주"/>
        <s v="비회원-4주"/>
      </sharedItems>
    </cacheField>
    <cacheField name="특강 날짜" numFmtId="0">
      <sharedItems containsSemiMixedTypes="0" containsNonDate="0" containsDate="1" containsString="0" minDate="2025-05-02T00:00:00" maxDate="2025-05-30T00:00:00" count="24">
        <d v="2025-05-03T00:00:00"/>
        <d v="2025-05-14T00:00:00"/>
        <d v="2025-05-05T00:00:00"/>
        <d v="2025-05-21T00:00:00"/>
        <d v="2025-05-13T00:00:00"/>
        <d v="2025-05-20T00:00:00"/>
        <d v="2025-05-22T00:00:00"/>
        <d v="2025-05-06T00:00:00"/>
        <d v="2025-05-08T00:00:00"/>
        <d v="2025-05-15T00:00:00"/>
        <d v="2025-05-16T00:00:00"/>
        <d v="2025-05-10T00:00:00"/>
        <d v="2025-05-23T00:00:00"/>
        <d v="2025-05-27T00:00:00"/>
        <d v="2025-05-07T00:00:00"/>
        <d v="2025-05-12T00:00:00"/>
        <d v="2025-05-29T00:00:00"/>
        <d v="2025-05-26T00:00:00"/>
        <d v="2025-05-02T00:00:00"/>
        <d v="2025-05-24T00:00:00"/>
        <d v="2025-05-28T00:00:00"/>
        <d v="2025-05-17T00:00:00"/>
        <d v="2025-05-09T00:00:00"/>
        <d v="2025-05-19T00:00:00"/>
      </sharedItems>
    </cacheField>
    <cacheField name="신청인원" numFmtId="0">
      <sharedItems containsSemiMixedTypes="0" containsString="0" containsNumber="1" containsInteger="1" minValue="5" maxValue="35" count="26">
        <n v="18"/>
        <n v="5"/>
        <n v="22"/>
        <n v="9"/>
        <n v="15"/>
        <n v="13"/>
        <n v="10"/>
        <n v="11"/>
        <n v="8"/>
        <n v="25"/>
        <n v="12"/>
        <n v="17"/>
        <n v="23"/>
        <n v="14"/>
        <n v="7"/>
        <n v="31"/>
        <n v="16"/>
        <n v="27"/>
        <n v="29"/>
        <n v="28"/>
        <n v="24"/>
        <n v="19"/>
        <n v="35"/>
        <n v="26"/>
        <n v="30"/>
        <n v="33"/>
      </sharedItems>
    </cacheField>
    <cacheField name="금액" numFmtId="0">
      <sharedItems containsSemiMixedTypes="0" containsString="0" containsNumber="1" containsInteger="1" minValue="23760" maxValue="356250"/>
    </cacheField>
    <cacheField name="수강분류2" numFmtId="0" databaseField="0">
      <fieldGroup base="1">
        <discretePr count="4">
          <x v="0"/>
          <x v="1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s v="배동진"/>
    <x v="0"/>
    <x v="0"/>
    <x v="0"/>
    <n v="69840"/>
  </r>
  <r>
    <x v="1"/>
    <x v="1"/>
    <s v="이무열"/>
    <x v="1"/>
    <x v="1"/>
    <x v="1"/>
    <n v="50000"/>
  </r>
  <r>
    <x v="0"/>
    <x v="2"/>
    <s v="김건남"/>
    <x v="0"/>
    <x v="2"/>
    <x v="2"/>
    <n v="106700"/>
  </r>
  <r>
    <x v="0"/>
    <x v="2"/>
    <s v="서호형"/>
    <x v="2"/>
    <x v="3"/>
    <x v="3"/>
    <n v="89100"/>
  </r>
  <r>
    <x v="1"/>
    <x v="2"/>
    <s v="조숙희"/>
    <x v="1"/>
    <x v="4"/>
    <x v="4"/>
    <n v="44100"/>
  </r>
  <r>
    <x v="0"/>
    <x v="2"/>
    <s v="김영란"/>
    <x v="0"/>
    <x v="2"/>
    <x v="0"/>
    <n v="88200"/>
  </r>
  <r>
    <x v="1"/>
    <x v="1"/>
    <s v="심상섭"/>
    <x v="3"/>
    <x v="5"/>
    <x v="5"/>
    <n v="38220"/>
  </r>
  <r>
    <x v="1"/>
    <x v="3"/>
    <s v="홍영식"/>
    <x v="3"/>
    <x v="6"/>
    <x v="6"/>
    <n v="147000"/>
  </r>
  <r>
    <x v="1"/>
    <x v="1"/>
    <s v="이숙영"/>
    <x v="4"/>
    <x v="7"/>
    <x v="7"/>
    <n v="32340"/>
  </r>
  <r>
    <x v="1"/>
    <x v="2"/>
    <s v="정희숙"/>
    <x v="4"/>
    <x v="8"/>
    <x v="6"/>
    <n v="147000"/>
  </r>
  <r>
    <x v="1"/>
    <x v="1"/>
    <s v="김시습"/>
    <x v="4"/>
    <x v="7"/>
    <x v="8"/>
    <n v="23760"/>
  </r>
  <r>
    <x v="0"/>
    <x v="2"/>
    <s v="차주석"/>
    <x v="5"/>
    <x v="9"/>
    <x v="3"/>
    <n v="132300"/>
  </r>
  <r>
    <x v="1"/>
    <x v="1"/>
    <s v="김인정"/>
    <x v="3"/>
    <x v="10"/>
    <x v="9"/>
    <n v="166250"/>
  </r>
  <r>
    <x v="1"/>
    <x v="0"/>
    <s v="이숙진"/>
    <x v="4"/>
    <x v="8"/>
    <x v="10"/>
    <n v="174600"/>
  </r>
  <r>
    <x v="0"/>
    <x v="2"/>
    <s v="이창명"/>
    <x v="5"/>
    <x v="11"/>
    <x v="11"/>
    <n v="65960"/>
  </r>
  <r>
    <x v="1"/>
    <x v="2"/>
    <s v="김중건"/>
    <x v="6"/>
    <x v="12"/>
    <x v="12"/>
    <n v="152950"/>
  </r>
  <r>
    <x v="1"/>
    <x v="1"/>
    <s v="배유정"/>
    <x v="6"/>
    <x v="12"/>
    <x v="5"/>
    <n v="87360"/>
  </r>
  <r>
    <x v="0"/>
    <x v="1"/>
    <s v="한영희"/>
    <x v="7"/>
    <x v="13"/>
    <x v="13"/>
    <n v="41160"/>
  </r>
  <r>
    <x v="1"/>
    <x v="1"/>
    <s v="고진웅"/>
    <x v="4"/>
    <x v="14"/>
    <x v="14"/>
    <n v="69300"/>
  </r>
  <r>
    <x v="1"/>
    <x v="2"/>
    <s v="안대훈"/>
    <x v="3"/>
    <x v="5"/>
    <x v="2"/>
    <n v="64020"/>
  </r>
  <r>
    <x v="1"/>
    <x v="2"/>
    <s v="민들레"/>
    <x v="1"/>
    <x v="15"/>
    <x v="15"/>
    <n v="150350"/>
  </r>
  <r>
    <x v="0"/>
    <x v="3"/>
    <s v="김솔오"/>
    <x v="7"/>
    <x v="16"/>
    <x v="16"/>
    <n v="232800"/>
  </r>
  <r>
    <x v="0"/>
    <x v="2"/>
    <s v="오덕우"/>
    <x v="5"/>
    <x v="15"/>
    <x v="17"/>
    <n v="130950"/>
  </r>
  <r>
    <x v="1"/>
    <x v="1"/>
    <s v="임지영"/>
    <x v="6"/>
    <x v="17"/>
    <x v="12"/>
    <n v="111550"/>
  </r>
  <r>
    <x v="0"/>
    <x v="2"/>
    <s v="김은소"/>
    <x v="7"/>
    <x v="12"/>
    <x v="16"/>
    <n v="107520"/>
  </r>
  <r>
    <x v="1"/>
    <x v="1"/>
    <s v="이선영"/>
    <x v="4"/>
    <x v="18"/>
    <x v="18"/>
    <n v="192850"/>
  </r>
  <r>
    <x v="1"/>
    <x v="1"/>
    <s v="김예중"/>
    <x v="1"/>
    <x v="4"/>
    <x v="19"/>
    <n v="81480"/>
  </r>
  <r>
    <x v="0"/>
    <x v="2"/>
    <s v="구교선"/>
    <x v="5"/>
    <x v="15"/>
    <x v="12"/>
    <n v="111550"/>
  </r>
  <r>
    <x v="1"/>
    <x v="3"/>
    <s v="김도연"/>
    <x v="4"/>
    <x v="0"/>
    <x v="15"/>
    <n v="117800"/>
  </r>
  <r>
    <x v="0"/>
    <x v="2"/>
    <s v="이루다"/>
    <x v="0"/>
    <x v="8"/>
    <x v="9"/>
    <n v="356250"/>
  </r>
  <r>
    <x v="0"/>
    <x v="2"/>
    <s v="최일우"/>
    <x v="5"/>
    <x v="9"/>
    <x v="20"/>
    <n v="342000"/>
  </r>
  <r>
    <x v="0"/>
    <x v="1"/>
    <s v="홍서우"/>
    <x v="7"/>
    <x v="19"/>
    <x v="8"/>
    <n v="31360"/>
  </r>
  <r>
    <x v="1"/>
    <x v="2"/>
    <s v="임진우"/>
    <x v="6"/>
    <x v="20"/>
    <x v="4"/>
    <n v="147000"/>
  </r>
  <r>
    <x v="1"/>
    <x v="3"/>
    <s v="이도훈"/>
    <x v="4"/>
    <x v="0"/>
    <x v="21"/>
    <n v="73720"/>
  </r>
  <r>
    <x v="1"/>
    <x v="0"/>
    <s v="이윤경"/>
    <x v="1"/>
    <x v="1"/>
    <x v="22"/>
    <n v="339500"/>
  </r>
  <r>
    <x v="0"/>
    <x v="0"/>
    <s v="오현석"/>
    <x v="2"/>
    <x v="21"/>
    <x v="11"/>
    <n v="65960"/>
  </r>
  <r>
    <x v="1"/>
    <x v="3"/>
    <s v="강태운"/>
    <x v="4"/>
    <x v="7"/>
    <x v="20"/>
    <n v="69840"/>
  </r>
  <r>
    <x v="1"/>
    <x v="1"/>
    <s v="김찬혁"/>
    <x v="1"/>
    <x v="15"/>
    <x v="23"/>
    <n v="126100"/>
  </r>
  <r>
    <x v="0"/>
    <x v="2"/>
    <s v="임현서"/>
    <x v="5"/>
    <x v="22"/>
    <x v="14"/>
    <n v="47530"/>
  </r>
  <r>
    <x v="0"/>
    <x v="2"/>
    <s v="김채율"/>
    <x v="5"/>
    <x v="11"/>
    <x v="24"/>
    <n v="114000"/>
  </r>
  <r>
    <x v="0"/>
    <x v="2"/>
    <s v="최민서"/>
    <x v="2"/>
    <x v="21"/>
    <x v="4"/>
    <n v="58200"/>
  </r>
  <r>
    <x v="0"/>
    <x v="3"/>
    <s v="김한성"/>
    <x v="2"/>
    <x v="3"/>
    <x v="17"/>
    <n v="261900"/>
  </r>
  <r>
    <x v="0"/>
    <x v="1"/>
    <s v="이연수"/>
    <x v="7"/>
    <x v="19"/>
    <x v="12"/>
    <n v="87400"/>
  </r>
  <r>
    <x v="1"/>
    <x v="2"/>
    <s v="오예성"/>
    <x v="3"/>
    <x v="10"/>
    <x v="16"/>
    <n v="107520"/>
  </r>
  <r>
    <x v="1"/>
    <x v="2"/>
    <s v="안서윤"/>
    <x v="3"/>
    <x v="23"/>
    <x v="13"/>
    <n v="68600"/>
  </r>
  <r>
    <x v="0"/>
    <x v="0"/>
    <s v="배수빈"/>
    <x v="2"/>
    <x v="5"/>
    <x v="8"/>
    <n v="23760"/>
  </r>
  <r>
    <x v="1"/>
    <x v="2"/>
    <s v="김려원"/>
    <x v="6"/>
    <x v="12"/>
    <x v="7"/>
    <n v="73920"/>
  </r>
  <r>
    <x v="1"/>
    <x v="2"/>
    <s v="한가경"/>
    <x v="6"/>
    <x v="20"/>
    <x v="25"/>
    <n v="320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CEF22-C983-44A5-ACE0-8FB4C716F616}" name="피벗 테이블1" cacheId="0" applyNumberFormats="0" applyBorderFormats="0" applyFontFormats="0" applyPatternFormats="0" applyAlignmentFormats="0" applyWidthHeightFormats="1" dataCaption="값" updatedVersion="7" minRefreshableVersion="3" showDrill="0" useAutoFormatting="1" colGrandTotals="0" itemPrintTitles="1" createdVersion="7" indent="0" compact="0" outline="1" outlineData="1" compactData="0" multipleFieldFilters="0" fieldListSortAscending="1">
  <location ref="B2:G11" firstHeaderRow="1" firstDataRow="3" firstDataCol="2"/>
  <pivotFields count="8">
    <pivotField axis="axisCol" compact="0" showAll="0">
      <items count="3">
        <item x="0"/>
        <item x="1"/>
        <item t="default"/>
      </items>
    </pivotField>
    <pivotField axis="axisRow" compact="0" showAll="0">
      <items count="5">
        <item x="2"/>
        <item x="0"/>
        <item x="3"/>
        <item x="1"/>
        <item t="default"/>
      </items>
    </pivotField>
    <pivotField compact="0" showAll="0"/>
    <pivotField compact="0" showAll="0"/>
    <pivotField compact="0" showAll="0"/>
    <pivotField dataField="1" compact="0" showAll="0"/>
    <pivotField dataField="1" compact="0" showAll="0"/>
    <pivotField axis="axisRow" compact="0" showAll="0">
      <items count="3">
        <item n="A클래스" x="0"/>
        <item n="B클래스" x="1"/>
        <item t="default"/>
      </items>
    </pivotField>
  </pivotFields>
  <rowFields count="2">
    <field x="7"/>
    <field x="1"/>
  </rowFields>
  <rowItems count="7">
    <i>
      <x/>
    </i>
    <i r="1">
      <x/>
    </i>
    <i r="1">
      <x v="1"/>
    </i>
    <i>
      <x v="1"/>
    </i>
    <i r="1">
      <x v="2"/>
    </i>
    <i r="1">
      <x v="3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평균 : 금액" fld="6" subtotal="average" baseField="7" baseItem="0" numFmtId="179"/>
    <dataField name="평균 : 신청인원" fld="5" subtotal="average" baseField="7" baseItem="0" numFmtId="18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A53BDB-FFE5-4E25-A709-3136D7581E5D}" name="표1" displayName="표1" ref="A1:G3" totalsRowShown="0">
  <autoFilter ref="A1:G3" xr:uid="{0FA53BDB-FFE5-4E25-A709-3136D7581E5D}"/>
  <tableColumns count="7">
    <tableColumn id="1" xr3:uid="{6A1B29EE-0B99-4CA6-A1E4-98496FCEC876}" name="구분"/>
    <tableColumn id="2" xr3:uid="{9BF6EDB7-55EE-41F4-9DE0-4F6C2218E137}" name="수강분류"/>
    <tableColumn id="3" xr3:uid="{86042C2D-B6D5-4D2F-9795-E9D246B16844}" name="성명"/>
    <tableColumn id="4" xr3:uid="{2458F9B6-F0B3-4049-BD99-EAAD9D72A8D9}" name="특강주"/>
    <tableColumn id="5" xr3:uid="{37EBB81B-7A92-4692-96A9-AC7C422EF2DF}" name="특강 날짜" dataDxfId="1"/>
    <tableColumn id="6" xr3:uid="{049CFD8D-ED12-4CF5-87B2-467BA91F40C8}" name="신청인원"/>
    <tableColumn id="7" xr3:uid="{4C838F68-80A8-4D8F-98FE-8C582004F40D}" name="금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park9014@naver.com" TargetMode="External"/><Relationship Id="rId7" Type="http://schemas.openxmlformats.org/officeDocument/2006/relationships/hyperlink" Target="mailto:yun8712@daum.net" TargetMode="External"/><Relationship Id="rId2" Type="http://schemas.openxmlformats.org/officeDocument/2006/relationships/hyperlink" Target="mailto:kim357@youngjin.com" TargetMode="External"/><Relationship Id="rId1" Type="http://schemas.openxmlformats.org/officeDocument/2006/relationships/hyperlink" Target="mailto:lee123@youngjin.com" TargetMode="External"/><Relationship Id="rId6" Type="http://schemas.openxmlformats.org/officeDocument/2006/relationships/hyperlink" Target="mailto:sung235@naver.com" TargetMode="External"/><Relationship Id="rId5" Type="http://schemas.openxmlformats.org/officeDocument/2006/relationships/hyperlink" Target="mailto:choi111@nate.com" TargetMode="External"/><Relationship Id="rId4" Type="http://schemas.openxmlformats.org/officeDocument/2006/relationships/hyperlink" Target="mailto:hwang9871@daum.ne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0"/>
  <sheetViews>
    <sheetView topLeftCell="A10" workbookViewId="0"/>
  </sheetViews>
  <sheetFormatPr defaultRowHeight="16.5" x14ac:dyDescent="0.3"/>
  <cols>
    <col min="4" max="4" width="12.375" bestFit="1" customWidth="1"/>
    <col min="5" max="5" width="24.875" bestFit="1" customWidth="1"/>
    <col min="7" max="7" width="10.5" bestFit="1" customWidth="1"/>
  </cols>
  <sheetData>
    <row r="1" spans="1:7" x14ac:dyDescent="0.3">
      <c r="A1" t="s">
        <v>51</v>
      </c>
      <c r="G1" s="1"/>
    </row>
    <row r="2" spans="1:7" x14ac:dyDescent="0.3">
      <c r="A2" s="2" t="s">
        <v>0</v>
      </c>
      <c r="B2" s="2" t="s">
        <v>125</v>
      </c>
      <c r="C2" s="3" t="s">
        <v>1</v>
      </c>
      <c r="D2" s="2" t="s">
        <v>126</v>
      </c>
      <c r="E2" s="2" t="s">
        <v>127</v>
      </c>
      <c r="F2" s="2" t="s">
        <v>128</v>
      </c>
      <c r="G2" s="2" t="s">
        <v>129</v>
      </c>
    </row>
    <row r="3" spans="1:7" x14ac:dyDescent="0.3">
      <c r="A3" s="2" t="s">
        <v>3</v>
      </c>
      <c r="B3" s="2" t="s">
        <v>6</v>
      </c>
      <c r="C3" s="2" t="s">
        <v>86</v>
      </c>
      <c r="D3" s="2" t="s">
        <v>130</v>
      </c>
      <c r="E3" s="4">
        <v>45780</v>
      </c>
      <c r="F3" s="5">
        <v>18</v>
      </c>
      <c r="G3" s="6">
        <v>69840</v>
      </c>
    </row>
    <row r="4" spans="1:7" x14ac:dyDescent="0.3">
      <c r="A4" s="2" t="s">
        <v>2</v>
      </c>
      <c r="B4" s="2" t="s">
        <v>4</v>
      </c>
      <c r="C4" s="2" t="s">
        <v>88</v>
      </c>
      <c r="D4" s="2" t="s">
        <v>131</v>
      </c>
      <c r="E4" s="4">
        <v>45791</v>
      </c>
      <c r="F4" s="5">
        <v>5</v>
      </c>
      <c r="G4" s="6">
        <v>50000</v>
      </c>
    </row>
    <row r="5" spans="1:7" x14ac:dyDescent="0.3">
      <c r="A5" s="2" t="s">
        <v>3</v>
      </c>
      <c r="B5" s="2" t="s">
        <v>81</v>
      </c>
      <c r="C5" s="7" t="s">
        <v>90</v>
      </c>
      <c r="D5" s="2" t="s">
        <v>130</v>
      </c>
      <c r="E5" s="4">
        <v>45782</v>
      </c>
      <c r="F5" s="5">
        <v>22</v>
      </c>
      <c r="G5" s="6">
        <v>106700</v>
      </c>
    </row>
    <row r="6" spans="1:7" x14ac:dyDescent="0.3">
      <c r="A6" s="2" t="s">
        <v>3</v>
      </c>
      <c r="B6" s="2" t="s">
        <v>81</v>
      </c>
      <c r="C6" s="2" t="s">
        <v>92</v>
      </c>
      <c r="D6" s="2" t="s">
        <v>132</v>
      </c>
      <c r="E6" s="4">
        <v>45798</v>
      </c>
      <c r="F6" s="5">
        <v>9</v>
      </c>
      <c r="G6" s="6">
        <v>89100</v>
      </c>
    </row>
    <row r="7" spans="1:7" x14ac:dyDescent="0.3">
      <c r="A7" s="2" t="s">
        <v>2</v>
      </c>
      <c r="B7" s="2" t="s">
        <v>81</v>
      </c>
      <c r="C7" s="7" t="s">
        <v>94</v>
      </c>
      <c r="D7" s="2" t="s">
        <v>131</v>
      </c>
      <c r="E7" s="4">
        <v>45790</v>
      </c>
      <c r="F7" s="5">
        <v>15</v>
      </c>
      <c r="G7" s="6">
        <v>44100</v>
      </c>
    </row>
    <row r="8" spans="1:7" x14ac:dyDescent="0.3">
      <c r="A8" s="2" t="s">
        <v>3</v>
      </c>
      <c r="B8" s="2" t="s">
        <v>81</v>
      </c>
      <c r="C8" s="2" t="s">
        <v>96</v>
      </c>
      <c r="D8" s="2" t="s">
        <v>130</v>
      </c>
      <c r="E8" s="4">
        <v>45782</v>
      </c>
      <c r="F8" s="5">
        <v>18</v>
      </c>
      <c r="G8" s="6">
        <v>88200</v>
      </c>
    </row>
    <row r="9" spans="1:7" x14ac:dyDescent="0.3">
      <c r="A9" s="2" t="s">
        <v>2</v>
      </c>
      <c r="B9" s="2" t="s">
        <v>4</v>
      </c>
      <c r="C9" s="2" t="s">
        <v>98</v>
      </c>
      <c r="D9" s="2" t="s">
        <v>133</v>
      </c>
      <c r="E9" s="4">
        <v>45797</v>
      </c>
      <c r="F9" s="5">
        <v>13</v>
      </c>
      <c r="G9" s="6">
        <v>38220</v>
      </c>
    </row>
    <row r="10" spans="1:7" x14ac:dyDescent="0.3">
      <c r="A10" s="2" t="s">
        <v>2</v>
      </c>
      <c r="B10" s="2" t="s">
        <v>7</v>
      </c>
      <c r="C10" s="2" t="s">
        <v>14</v>
      </c>
      <c r="D10" s="2" t="s">
        <v>133</v>
      </c>
      <c r="E10" s="4">
        <v>45799</v>
      </c>
      <c r="F10" s="5">
        <v>10</v>
      </c>
      <c r="G10" s="6">
        <v>147000</v>
      </c>
    </row>
    <row r="11" spans="1:7" x14ac:dyDescent="0.3">
      <c r="A11" s="2" t="s">
        <v>2</v>
      </c>
      <c r="B11" s="2" t="s">
        <v>4</v>
      </c>
      <c r="C11" s="2" t="s">
        <v>108</v>
      </c>
      <c r="D11" s="2" t="s">
        <v>134</v>
      </c>
      <c r="E11" s="4">
        <v>45783</v>
      </c>
      <c r="F11" s="5">
        <v>11</v>
      </c>
      <c r="G11" s="6">
        <v>32340</v>
      </c>
    </row>
    <row r="12" spans="1:7" x14ac:dyDescent="0.3">
      <c r="A12" s="2" t="s">
        <v>2</v>
      </c>
      <c r="B12" s="2" t="s">
        <v>81</v>
      </c>
      <c r="C12" s="7" t="s">
        <v>100</v>
      </c>
      <c r="D12" s="2" t="s">
        <v>134</v>
      </c>
      <c r="E12" s="4">
        <v>45785</v>
      </c>
      <c r="F12" s="5">
        <v>10</v>
      </c>
      <c r="G12" s="6">
        <v>147000</v>
      </c>
    </row>
    <row r="13" spans="1:7" x14ac:dyDescent="0.3">
      <c r="A13" s="2" t="s">
        <v>2</v>
      </c>
      <c r="B13" s="2" t="s">
        <v>4</v>
      </c>
      <c r="C13" s="2" t="s">
        <v>9</v>
      </c>
      <c r="D13" s="2" t="s">
        <v>134</v>
      </c>
      <c r="E13" s="4">
        <v>45783</v>
      </c>
      <c r="F13" s="5">
        <v>8</v>
      </c>
      <c r="G13" s="6">
        <v>23760</v>
      </c>
    </row>
    <row r="14" spans="1:7" x14ac:dyDescent="0.3">
      <c r="A14" s="2" t="s">
        <v>3</v>
      </c>
      <c r="B14" s="2" t="s">
        <v>81</v>
      </c>
      <c r="C14" s="2" t="s">
        <v>102</v>
      </c>
      <c r="D14" s="2" t="s">
        <v>135</v>
      </c>
      <c r="E14" s="4">
        <v>45792</v>
      </c>
      <c r="F14" s="5">
        <v>9</v>
      </c>
      <c r="G14" s="6">
        <v>132300</v>
      </c>
    </row>
    <row r="15" spans="1:7" x14ac:dyDescent="0.3">
      <c r="A15" s="2" t="s">
        <v>2</v>
      </c>
      <c r="B15" s="2" t="s">
        <v>4</v>
      </c>
      <c r="C15" s="2" t="s">
        <v>104</v>
      </c>
      <c r="D15" s="2" t="s">
        <v>133</v>
      </c>
      <c r="E15" s="4">
        <v>45793</v>
      </c>
      <c r="F15" s="5">
        <v>25</v>
      </c>
      <c r="G15" s="6">
        <v>166250</v>
      </c>
    </row>
    <row r="16" spans="1:7" x14ac:dyDescent="0.3">
      <c r="A16" s="2" t="s">
        <v>2</v>
      </c>
      <c r="B16" s="2" t="s">
        <v>6</v>
      </c>
      <c r="C16" s="7" t="s">
        <v>106</v>
      </c>
      <c r="D16" s="2" t="s">
        <v>134</v>
      </c>
      <c r="E16" s="4">
        <v>45785</v>
      </c>
      <c r="F16" s="5">
        <v>12</v>
      </c>
      <c r="G16" s="6">
        <v>174600</v>
      </c>
    </row>
    <row r="17" spans="1:7" x14ac:dyDescent="0.3">
      <c r="A17" s="2" t="s">
        <v>3</v>
      </c>
      <c r="B17" s="2" t="s">
        <v>81</v>
      </c>
      <c r="C17" s="7" t="s">
        <v>110</v>
      </c>
      <c r="D17" s="2" t="s">
        <v>135</v>
      </c>
      <c r="E17" s="4">
        <v>45787</v>
      </c>
      <c r="F17" s="5">
        <v>17</v>
      </c>
      <c r="G17" s="6">
        <v>65960</v>
      </c>
    </row>
    <row r="18" spans="1:7" x14ac:dyDescent="0.3">
      <c r="A18" s="2" t="s">
        <v>2</v>
      </c>
      <c r="B18" s="2" t="s">
        <v>81</v>
      </c>
      <c r="C18" s="7" t="s">
        <v>11</v>
      </c>
      <c r="D18" s="2" t="s">
        <v>136</v>
      </c>
      <c r="E18" s="4">
        <v>45800</v>
      </c>
      <c r="F18" s="5">
        <v>23</v>
      </c>
      <c r="G18" s="6">
        <v>152950</v>
      </c>
    </row>
    <row r="19" spans="1:7" x14ac:dyDescent="0.3">
      <c r="A19" s="2" t="s">
        <v>2</v>
      </c>
      <c r="B19" s="2" t="s">
        <v>4</v>
      </c>
      <c r="C19" s="2" t="s">
        <v>112</v>
      </c>
      <c r="D19" s="2" t="s">
        <v>136</v>
      </c>
      <c r="E19" s="4">
        <v>45800</v>
      </c>
      <c r="F19" s="5">
        <v>13</v>
      </c>
      <c r="G19" s="6">
        <v>87360</v>
      </c>
    </row>
    <row r="20" spans="1:7" x14ac:dyDescent="0.3">
      <c r="A20" s="2" t="s">
        <v>3</v>
      </c>
      <c r="B20" s="2" t="s">
        <v>4</v>
      </c>
      <c r="C20" s="7" t="s">
        <v>114</v>
      </c>
      <c r="D20" s="2" t="s">
        <v>137</v>
      </c>
      <c r="E20" s="4">
        <v>45804</v>
      </c>
      <c r="F20" s="5">
        <v>14</v>
      </c>
      <c r="G20" s="6">
        <v>41160</v>
      </c>
    </row>
    <row r="21" spans="1:7" x14ac:dyDescent="0.3">
      <c r="A21" s="2" t="s">
        <v>2</v>
      </c>
      <c r="B21" s="2" t="s">
        <v>4</v>
      </c>
      <c r="C21" s="2" t="s">
        <v>5</v>
      </c>
      <c r="D21" s="2" t="s">
        <v>134</v>
      </c>
      <c r="E21" s="4">
        <v>45784</v>
      </c>
      <c r="F21" s="5">
        <v>7</v>
      </c>
      <c r="G21" s="6">
        <v>69300</v>
      </c>
    </row>
    <row r="22" spans="1:7" x14ac:dyDescent="0.3">
      <c r="A22" s="2" t="s">
        <v>2</v>
      </c>
      <c r="B22" s="2" t="s">
        <v>81</v>
      </c>
      <c r="C22" s="2" t="s">
        <v>12</v>
      </c>
      <c r="D22" s="2" t="s">
        <v>133</v>
      </c>
      <c r="E22" s="4">
        <v>45797</v>
      </c>
      <c r="F22" s="5">
        <v>22</v>
      </c>
      <c r="G22" s="6">
        <v>64020</v>
      </c>
    </row>
    <row r="23" spans="1:7" x14ac:dyDescent="0.3">
      <c r="A23" s="2" t="s">
        <v>2</v>
      </c>
      <c r="B23" s="2" t="s">
        <v>81</v>
      </c>
      <c r="C23" s="2" t="s">
        <v>122</v>
      </c>
      <c r="D23" s="2" t="s">
        <v>131</v>
      </c>
      <c r="E23" s="4">
        <v>45789</v>
      </c>
      <c r="F23" s="5">
        <v>31</v>
      </c>
      <c r="G23" s="6">
        <v>150350</v>
      </c>
    </row>
    <row r="24" spans="1:7" x14ac:dyDescent="0.3">
      <c r="A24" s="2" t="s">
        <v>3</v>
      </c>
      <c r="B24" s="2" t="s">
        <v>7</v>
      </c>
      <c r="C24" s="7" t="s">
        <v>8</v>
      </c>
      <c r="D24" s="2" t="s">
        <v>137</v>
      </c>
      <c r="E24" s="4">
        <v>45806</v>
      </c>
      <c r="F24" s="5">
        <v>16</v>
      </c>
      <c r="G24" s="6">
        <v>232800</v>
      </c>
    </row>
    <row r="25" spans="1:7" x14ac:dyDescent="0.3">
      <c r="A25" s="2" t="s">
        <v>3</v>
      </c>
      <c r="B25" s="2" t="s">
        <v>81</v>
      </c>
      <c r="C25" s="7" t="s">
        <v>13</v>
      </c>
      <c r="D25" s="2" t="s">
        <v>135</v>
      </c>
      <c r="E25" s="4">
        <v>45789</v>
      </c>
      <c r="F25" s="5">
        <v>27</v>
      </c>
      <c r="G25" s="6">
        <v>130950</v>
      </c>
    </row>
    <row r="26" spans="1:7" x14ac:dyDescent="0.3">
      <c r="A26" s="2" t="s">
        <v>2</v>
      </c>
      <c r="B26" s="2" t="s">
        <v>4</v>
      </c>
      <c r="C26" s="2" t="s">
        <v>120</v>
      </c>
      <c r="D26" s="2" t="s">
        <v>136</v>
      </c>
      <c r="E26" s="4">
        <v>45803</v>
      </c>
      <c r="F26" s="5">
        <v>23</v>
      </c>
      <c r="G26" s="6">
        <v>111550</v>
      </c>
    </row>
    <row r="27" spans="1:7" x14ac:dyDescent="0.3">
      <c r="A27" s="2" t="s">
        <v>3</v>
      </c>
      <c r="B27" s="2" t="s">
        <v>81</v>
      </c>
      <c r="C27" s="2" t="s">
        <v>10</v>
      </c>
      <c r="D27" s="2" t="s">
        <v>137</v>
      </c>
      <c r="E27" s="4">
        <v>45800</v>
      </c>
      <c r="F27" s="5">
        <v>16</v>
      </c>
      <c r="G27" s="6">
        <v>107520</v>
      </c>
    </row>
    <row r="28" spans="1:7" x14ac:dyDescent="0.3">
      <c r="A28" s="2" t="s">
        <v>2</v>
      </c>
      <c r="B28" s="2" t="s">
        <v>4</v>
      </c>
      <c r="C28" s="7" t="s">
        <v>118</v>
      </c>
      <c r="D28" s="2" t="s">
        <v>134</v>
      </c>
      <c r="E28" s="4">
        <v>45779</v>
      </c>
      <c r="F28" s="5">
        <v>29</v>
      </c>
      <c r="G28" s="6">
        <v>192850</v>
      </c>
    </row>
    <row r="29" spans="1:7" x14ac:dyDescent="0.3">
      <c r="A29" s="2" t="s">
        <v>2</v>
      </c>
      <c r="B29" s="2" t="s">
        <v>4</v>
      </c>
      <c r="C29" s="7" t="s">
        <v>116</v>
      </c>
      <c r="D29" s="2" t="s">
        <v>131</v>
      </c>
      <c r="E29" s="4">
        <v>45790</v>
      </c>
      <c r="F29" s="5">
        <v>28</v>
      </c>
      <c r="G29" s="6">
        <v>81480</v>
      </c>
    </row>
    <row r="30" spans="1:7" x14ac:dyDescent="0.3">
      <c r="A30" s="2" t="s">
        <v>3</v>
      </c>
      <c r="B30" s="2" t="s">
        <v>81</v>
      </c>
      <c r="C30" s="2" t="s">
        <v>138</v>
      </c>
      <c r="D30" s="2" t="s">
        <v>135</v>
      </c>
      <c r="E30" s="4">
        <v>45789</v>
      </c>
      <c r="F30" s="5">
        <v>23</v>
      </c>
      <c r="G30" s="6">
        <v>111550</v>
      </c>
    </row>
    <row r="33" spans="1:7" x14ac:dyDescent="0.3">
      <c r="A33" s="30" t="s">
        <v>215</v>
      </c>
    </row>
    <row r="34" spans="1:7" x14ac:dyDescent="0.3">
      <c r="A34" t="b">
        <f>AND(RIGHT(D3,2)="1주",F3&gt;=AVERAGE($F$3:$F$30))</f>
        <v>1</v>
      </c>
    </row>
    <row r="36" spans="1:7" x14ac:dyDescent="0.3">
      <c r="A36" s="2" t="s">
        <v>0</v>
      </c>
      <c r="B36" s="2" t="s">
        <v>125</v>
      </c>
      <c r="C36" s="3" t="s">
        <v>1</v>
      </c>
      <c r="D36" s="2" t="s">
        <v>126</v>
      </c>
      <c r="E36" s="2" t="s">
        <v>127</v>
      </c>
      <c r="F36" s="2" t="s">
        <v>128</v>
      </c>
      <c r="G36" s="2" t="s">
        <v>129</v>
      </c>
    </row>
    <row r="37" spans="1:7" x14ac:dyDescent="0.3">
      <c r="A37" s="2" t="s">
        <v>3</v>
      </c>
      <c r="B37" s="2" t="s">
        <v>6</v>
      </c>
      <c r="C37" s="2" t="s">
        <v>86</v>
      </c>
      <c r="D37" s="2" t="s">
        <v>130</v>
      </c>
      <c r="E37" s="4">
        <v>45780</v>
      </c>
      <c r="F37" s="5">
        <v>18</v>
      </c>
      <c r="G37" s="6">
        <v>69840</v>
      </c>
    </row>
    <row r="38" spans="1:7" x14ac:dyDescent="0.3">
      <c r="A38" s="2" t="s">
        <v>3</v>
      </c>
      <c r="B38" s="2" t="s">
        <v>81</v>
      </c>
      <c r="C38" s="7" t="s">
        <v>90</v>
      </c>
      <c r="D38" s="2" t="s">
        <v>130</v>
      </c>
      <c r="E38" s="4">
        <v>45782</v>
      </c>
      <c r="F38" s="5">
        <v>22</v>
      </c>
      <c r="G38" s="6">
        <v>106700</v>
      </c>
    </row>
    <row r="39" spans="1:7" x14ac:dyDescent="0.3">
      <c r="A39" s="2" t="s">
        <v>3</v>
      </c>
      <c r="B39" s="2" t="s">
        <v>81</v>
      </c>
      <c r="C39" s="2" t="s">
        <v>96</v>
      </c>
      <c r="D39" s="2" t="s">
        <v>130</v>
      </c>
      <c r="E39" s="4">
        <v>45782</v>
      </c>
      <c r="F39" s="5">
        <v>18</v>
      </c>
      <c r="G39" s="6">
        <v>88200</v>
      </c>
    </row>
    <row r="40" spans="1:7" x14ac:dyDescent="0.3">
      <c r="A40" s="2" t="s">
        <v>2</v>
      </c>
      <c r="B40" s="2" t="s">
        <v>4</v>
      </c>
      <c r="C40" s="7" t="s">
        <v>118</v>
      </c>
      <c r="D40" s="2" t="s">
        <v>134</v>
      </c>
      <c r="E40" s="4">
        <v>45779</v>
      </c>
      <c r="F40" s="5">
        <v>29</v>
      </c>
      <c r="G40" s="6">
        <v>192850</v>
      </c>
    </row>
  </sheetData>
  <phoneticPr fontId="1" type="noConversion"/>
  <conditionalFormatting sqref="A3:G30">
    <cfRule type="expression" dxfId="2" priority="1">
      <formula>OR($G3&gt;LARGE($G$3:$G$30,5),$G3&lt;SMALL($G$3:$G$30,5))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0"/>
  <sheetViews>
    <sheetView tabSelected="1" topLeftCell="A28" workbookViewId="0">
      <selection activeCell="A37" sqref="A37"/>
    </sheetView>
  </sheetViews>
  <sheetFormatPr defaultRowHeight="16.5" x14ac:dyDescent="0.3"/>
  <cols>
    <col min="4" max="4" width="10.375" bestFit="1" customWidth="1"/>
    <col min="5" max="5" width="21.875" bestFit="1" customWidth="1"/>
  </cols>
  <sheetData>
    <row r="1" spans="1:7" x14ac:dyDescent="0.3">
      <c r="A1" t="s">
        <v>51</v>
      </c>
      <c r="G1" s="1"/>
    </row>
    <row r="2" spans="1:7" x14ac:dyDescent="0.3">
      <c r="A2" s="26" t="s">
        <v>0</v>
      </c>
      <c r="B2" s="26" t="s">
        <v>125</v>
      </c>
      <c r="C2" s="27" t="s">
        <v>1</v>
      </c>
      <c r="D2" s="26" t="s">
        <v>126</v>
      </c>
      <c r="E2" s="26" t="s">
        <v>127</v>
      </c>
      <c r="F2" s="26" t="s">
        <v>128</v>
      </c>
      <c r="G2" s="26" t="s">
        <v>129</v>
      </c>
    </row>
    <row r="3" spans="1:7" x14ac:dyDescent="0.3">
      <c r="A3" s="2" t="s">
        <v>2</v>
      </c>
      <c r="B3" s="2" t="s">
        <v>81</v>
      </c>
      <c r="C3" s="7" t="s">
        <v>94</v>
      </c>
      <c r="D3" s="2" t="s">
        <v>131</v>
      </c>
      <c r="E3" s="4">
        <v>45790</v>
      </c>
      <c r="F3" s="5">
        <v>15</v>
      </c>
      <c r="G3" s="6">
        <v>44100</v>
      </c>
    </row>
    <row r="4" spans="1:7" x14ac:dyDescent="0.3">
      <c r="A4" s="2" t="s">
        <v>2</v>
      </c>
      <c r="B4" s="2" t="s">
        <v>81</v>
      </c>
      <c r="C4" s="7" t="s">
        <v>100</v>
      </c>
      <c r="D4" s="2" t="s">
        <v>134</v>
      </c>
      <c r="E4" s="4">
        <v>45785</v>
      </c>
      <c r="F4" s="5">
        <v>10</v>
      </c>
      <c r="G4" s="6">
        <v>147000</v>
      </c>
    </row>
    <row r="5" spans="1:7" x14ac:dyDescent="0.3">
      <c r="A5" s="2" t="s">
        <v>2</v>
      </c>
      <c r="B5" s="2" t="s">
        <v>81</v>
      </c>
      <c r="C5" s="7" t="s">
        <v>11</v>
      </c>
      <c r="D5" s="2" t="s">
        <v>136</v>
      </c>
      <c r="E5" s="4">
        <v>45800</v>
      </c>
      <c r="F5" s="5">
        <v>23</v>
      </c>
      <c r="G5" s="6">
        <v>152950</v>
      </c>
    </row>
    <row r="6" spans="1:7" x14ac:dyDescent="0.3">
      <c r="A6" s="2" t="s">
        <v>2</v>
      </c>
      <c r="B6" s="2" t="s">
        <v>81</v>
      </c>
      <c r="C6" s="2" t="s">
        <v>12</v>
      </c>
      <c r="D6" s="2" t="s">
        <v>133</v>
      </c>
      <c r="E6" s="4">
        <v>45797</v>
      </c>
      <c r="F6" s="5">
        <v>22</v>
      </c>
      <c r="G6" s="6">
        <v>64020</v>
      </c>
    </row>
    <row r="7" spans="1:7" x14ac:dyDescent="0.3">
      <c r="A7" s="2" t="s">
        <v>2</v>
      </c>
      <c r="B7" s="2" t="s">
        <v>81</v>
      </c>
      <c r="C7" s="2" t="s">
        <v>122</v>
      </c>
      <c r="D7" s="2" t="s">
        <v>131</v>
      </c>
      <c r="E7" s="4">
        <v>45789</v>
      </c>
      <c r="F7" s="5">
        <v>31</v>
      </c>
      <c r="G7" s="6">
        <v>150350</v>
      </c>
    </row>
    <row r="8" spans="1:7" x14ac:dyDescent="0.3">
      <c r="A8" s="2" t="s">
        <v>189</v>
      </c>
      <c r="B8" s="2" t="s">
        <v>199</v>
      </c>
      <c r="C8" s="2" t="s">
        <v>144</v>
      </c>
      <c r="D8" s="2" t="s">
        <v>136</v>
      </c>
      <c r="E8" s="4">
        <v>45805</v>
      </c>
      <c r="F8" s="5">
        <v>15</v>
      </c>
      <c r="G8" s="6">
        <v>147000</v>
      </c>
    </row>
    <row r="9" spans="1:7" x14ac:dyDescent="0.3">
      <c r="A9" s="2" t="s">
        <v>194</v>
      </c>
      <c r="B9" s="2" t="s">
        <v>204</v>
      </c>
      <c r="C9" s="2" t="s">
        <v>155</v>
      </c>
      <c r="D9" s="2" t="s">
        <v>133</v>
      </c>
      <c r="E9" s="4">
        <v>45793</v>
      </c>
      <c r="F9" s="5">
        <v>16</v>
      </c>
      <c r="G9" s="6">
        <v>107520</v>
      </c>
    </row>
    <row r="10" spans="1:7" x14ac:dyDescent="0.3">
      <c r="A10" s="2" t="s">
        <v>189</v>
      </c>
      <c r="B10" s="2" t="s">
        <v>206</v>
      </c>
      <c r="C10" s="2" t="s">
        <v>156</v>
      </c>
      <c r="D10" s="2" t="s">
        <v>133</v>
      </c>
      <c r="E10" s="4">
        <v>45796</v>
      </c>
      <c r="F10" s="5">
        <v>14</v>
      </c>
      <c r="G10" s="6">
        <v>68600</v>
      </c>
    </row>
    <row r="11" spans="1:7" x14ac:dyDescent="0.3">
      <c r="A11" s="2" t="s">
        <v>189</v>
      </c>
      <c r="B11" s="2" t="s">
        <v>197</v>
      </c>
      <c r="C11" s="2" t="s">
        <v>157</v>
      </c>
      <c r="D11" s="2" t="s">
        <v>136</v>
      </c>
      <c r="E11" s="4">
        <v>45800</v>
      </c>
      <c r="F11" s="5">
        <v>11</v>
      </c>
      <c r="G11" s="6">
        <v>73920</v>
      </c>
    </row>
    <row r="12" spans="1:7" x14ac:dyDescent="0.3">
      <c r="A12" s="2" t="s">
        <v>194</v>
      </c>
      <c r="B12" s="2" t="s">
        <v>196</v>
      </c>
      <c r="C12" s="2" t="s">
        <v>158</v>
      </c>
      <c r="D12" s="2" t="s">
        <v>136</v>
      </c>
      <c r="E12" s="4">
        <v>45805</v>
      </c>
      <c r="F12" s="5">
        <v>33</v>
      </c>
      <c r="G12" s="6">
        <v>320100</v>
      </c>
    </row>
    <row r="13" spans="1:7" x14ac:dyDescent="0.3">
      <c r="A13" s="2" t="s">
        <v>3</v>
      </c>
      <c r="B13" s="2" t="s">
        <v>81</v>
      </c>
      <c r="C13" s="7" t="s">
        <v>90</v>
      </c>
      <c r="D13" s="2" t="s">
        <v>130</v>
      </c>
      <c r="E13" s="4">
        <v>45782</v>
      </c>
      <c r="F13" s="5">
        <v>22</v>
      </c>
      <c r="G13" s="6">
        <v>106700</v>
      </c>
    </row>
    <row r="14" spans="1:7" x14ac:dyDescent="0.3">
      <c r="A14" s="2" t="s">
        <v>3</v>
      </c>
      <c r="B14" s="2" t="s">
        <v>81</v>
      </c>
      <c r="C14" s="2" t="s">
        <v>92</v>
      </c>
      <c r="D14" s="2" t="s">
        <v>132</v>
      </c>
      <c r="E14" s="4">
        <v>45798</v>
      </c>
      <c r="F14" s="5">
        <v>9</v>
      </c>
      <c r="G14" s="6">
        <v>89100</v>
      </c>
    </row>
    <row r="15" spans="1:7" x14ac:dyDescent="0.3">
      <c r="A15" s="2" t="s">
        <v>3</v>
      </c>
      <c r="B15" s="2" t="s">
        <v>81</v>
      </c>
      <c r="C15" s="2" t="s">
        <v>96</v>
      </c>
      <c r="D15" s="2" t="s">
        <v>130</v>
      </c>
      <c r="E15" s="4">
        <v>45782</v>
      </c>
      <c r="F15" s="5">
        <v>18</v>
      </c>
      <c r="G15" s="6">
        <v>88200</v>
      </c>
    </row>
    <row r="16" spans="1:7" x14ac:dyDescent="0.3">
      <c r="A16" s="2" t="s">
        <v>3</v>
      </c>
      <c r="B16" s="2" t="s">
        <v>81</v>
      </c>
      <c r="C16" s="2" t="s">
        <v>102</v>
      </c>
      <c r="D16" s="2" t="s">
        <v>135</v>
      </c>
      <c r="E16" s="4">
        <v>45792</v>
      </c>
      <c r="F16" s="5">
        <v>9</v>
      </c>
      <c r="G16" s="6">
        <v>132300</v>
      </c>
    </row>
    <row r="17" spans="1:7" x14ac:dyDescent="0.3">
      <c r="A17" s="2" t="s">
        <v>3</v>
      </c>
      <c r="B17" s="2" t="s">
        <v>81</v>
      </c>
      <c r="C17" s="7" t="s">
        <v>110</v>
      </c>
      <c r="D17" s="2" t="s">
        <v>135</v>
      </c>
      <c r="E17" s="4">
        <v>45787</v>
      </c>
      <c r="F17" s="5">
        <v>17</v>
      </c>
      <c r="G17" s="6">
        <v>65960</v>
      </c>
    </row>
    <row r="18" spans="1:7" x14ac:dyDescent="0.3">
      <c r="A18" s="2" t="s">
        <v>3</v>
      </c>
      <c r="B18" s="2" t="s">
        <v>81</v>
      </c>
      <c r="C18" s="7" t="s">
        <v>13</v>
      </c>
      <c r="D18" s="2" t="s">
        <v>135</v>
      </c>
      <c r="E18" s="4">
        <v>45789</v>
      </c>
      <c r="F18" s="5">
        <v>27</v>
      </c>
      <c r="G18" s="6">
        <v>130950</v>
      </c>
    </row>
    <row r="19" spans="1:7" x14ac:dyDescent="0.3">
      <c r="A19" s="2" t="s">
        <v>3</v>
      </c>
      <c r="B19" s="2" t="s">
        <v>81</v>
      </c>
      <c r="C19" s="2" t="s">
        <v>10</v>
      </c>
      <c r="D19" s="2" t="s">
        <v>137</v>
      </c>
      <c r="E19" s="4">
        <v>45800</v>
      </c>
      <c r="F19" s="5">
        <v>16</v>
      </c>
      <c r="G19" s="6">
        <v>107520</v>
      </c>
    </row>
    <row r="20" spans="1:7" x14ac:dyDescent="0.3">
      <c r="A20" s="2" t="s">
        <v>3</v>
      </c>
      <c r="B20" s="2" t="s">
        <v>81</v>
      </c>
      <c r="C20" s="2" t="s">
        <v>139</v>
      </c>
      <c r="D20" s="2" t="s">
        <v>135</v>
      </c>
      <c r="E20" s="4">
        <v>45789</v>
      </c>
      <c r="F20" s="5">
        <v>23</v>
      </c>
      <c r="G20" s="6">
        <v>111550</v>
      </c>
    </row>
    <row r="21" spans="1:7" x14ac:dyDescent="0.3">
      <c r="A21" s="2" t="s">
        <v>186</v>
      </c>
      <c r="B21" s="2" t="s">
        <v>196</v>
      </c>
      <c r="C21" s="2" t="s">
        <v>141</v>
      </c>
      <c r="D21" s="2" t="s">
        <v>130</v>
      </c>
      <c r="E21" s="4">
        <v>45785</v>
      </c>
      <c r="F21" s="5">
        <v>25</v>
      </c>
      <c r="G21" s="6">
        <v>356250</v>
      </c>
    </row>
    <row r="22" spans="1:7" x14ac:dyDescent="0.3">
      <c r="A22" s="2" t="s">
        <v>187</v>
      </c>
      <c r="B22" s="2" t="s">
        <v>197</v>
      </c>
      <c r="C22" s="2" t="s">
        <v>142</v>
      </c>
      <c r="D22" s="2" t="s">
        <v>135</v>
      </c>
      <c r="E22" s="4">
        <v>45792</v>
      </c>
      <c r="F22" s="5">
        <v>24</v>
      </c>
      <c r="G22" s="6">
        <v>342000</v>
      </c>
    </row>
    <row r="23" spans="1:7" x14ac:dyDescent="0.3">
      <c r="A23" s="2" t="s">
        <v>192</v>
      </c>
      <c r="B23" s="2" t="s">
        <v>203</v>
      </c>
      <c r="C23" s="2" t="s">
        <v>150</v>
      </c>
      <c r="D23" s="2" t="s">
        <v>135</v>
      </c>
      <c r="E23" s="4">
        <v>45786</v>
      </c>
      <c r="F23" s="5">
        <v>7</v>
      </c>
      <c r="G23" s="6">
        <v>47530</v>
      </c>
    </row>
    <row r="24" spans="1:7" x14ac:dyDescent="0.3">
      <c r="A24" s="2" t="s">
        <v>193</v>
      </c>
      <c r="B24" s="2" t="s">
        <v>204</v>
      </c>
      <c r="C24" s="2" t="s">
        <v>151</v>
      </c>
      <c r="D24" s="2" t="s">
        <v>135</v>
      </c>
      <c r="E24" s="4">
        <v>45787</v>
      </c>
      <c r="F24" s="5">
        <v>30</v>
      </c>
      <c r="G24" s="6">
        <v>114000</v>
      </c>
    </row>
    <row r="25" spans="1:7" x14ac:dyDescent="0.3">
      <c r="A25" s="2" t="s">
        <v>188</v>
      </c>
      <c r="B25" s="2" t="s">
        <v>204</v>
      </c>
      <c r="C25" s="2" t="s">
        <v>152</v>
      </c>
      <c r="D25" s="2" t="s">
        <v>132</v>
      </c>
      <c r="E25" s="4">
        <v>45794</v>
      </c>
      <c r="F25" s="5">
        <v>15</v>
      </c>
      <c r="G25" s="6">
        <v>58200</v>
      </c>
    </row>
    <row r="26" spans="1:7" x14ac:dyDescent="0.3">
      <c r="A26" s="2" t="s">
        <v>2</v>
      </c>
      <c r="B26" s="2" t="s">
        <v>6</v>
      </c>
      <c r="C26" s="7" t="s">
        <v>106</v>
      </c>
      <c r="D26" s="2" t="s">
        <v>134</v>
      </c>
      <c r="E26" s="4">
        <v>45785</v>
      </c>
      <c r="F26" s="5">
        <v>12</v>
      </c>
      <c r="G26" s="6">
        <v>174600</v>
      </c>
    </row>
    <row r="27" spans="1:7" x14ac:dyDescent="0.3">
      <c r="A27" s="2" t="s">
        <v>190</v>
      </c>
      <c r="B27" s="2" t="s">
        <v>201</v>
      </c>
      <c r="C27" s="2" t="s">
        <v>146</v>
      </c>
      <c r="D27" s="2" t="s">
        <v>131</v>
      </c>
      <c r="E27" s="4">
        <v>45791</v>
      </c>
      <c r="F27" s="5">
        <v>35</v>
      </c>
      <c r="G27" s="6">
        <v>339500</v>
      </c>
    </row>
    <row r="28" spans="1:7" x14ac:dyDescent="0.3">
      <c r="A28" s="2" t="s">
        <v>3</v>
      </c>
      <c r="B28" s="2" t="s">
        <v>6</v>
      </c>
      <c r="C28" s="2" t="s">
        <v>86</v>
      </c>
      <c r="D28" s="2" t="s">
        <v>130</v>
      </c>
      <c r="E28" s="4">
        <v>45780</v>
      </c>
      <c r="F28" s="5">
        <v>18</v>
      </c>
      <c r="G28" s="6">
        <v>69840</v>
      </c>
    </row>
    <row r="29" spans="1:7" x14ac:dyDescent="0.3">
      <c r="A29" s="2" t="s">
        <v>191</v>
      </c>
      <c r="B29" s="2" t="s">
        <v>201</v>
      </c>
      <c r="C29" s="2" t="s">
        <v>147</v>
      </c>
      <c r="D29" s="2" t="s">
        <v>132</v>
      </c>
      <c r="E29" s="4">
        <v>45794</v>
      </c>
      <c r="F29" s="5">
        <v>17</v>
      </c>
      <c r="G29" s="6">
        <v>65960</v>
      </c>
    </row>
    <row r="30" spans="1:7" x14ac:dyDescent="0.3">
      <c r="A30" s="2" t="s">
        <v>188</v>
      </c>
      <c r="B30" s="2" t="s">
        <v>207</v>
      </c>
      <c r="C30" s="2" t="s">
        <v>159</v>
      </c>
      <c r="D30" s="2" t="s">
        <v>132</v>
      </c>
      <c r="E30" s="4">
        <v>45797</v>
      </c>
      <c r="F30" s="5">
        <v>8</v>
      </c>
      <c r="G30" s="6">
        <v>23760</v>
      </c>
    </row>
    <row r="31" spans="1:7" x14ac:dyDescent="0.3">
      <c r="A31" s="2" t="s">
        <v>2</v>
      </c>
      <c r="B31" s="2" t="s">
        <v>7</v>
      </c>
      <c r="C31" s="2" t="s">
        <v>14</v>
      </c>
      <c r="D31" s="2" t="s">
        <v>133</v>
      </c>
      <c r="E31" s="4">
        <v>45799</v>
      </c>
      <c r="F31" s="5">
        <v>10</v>
      </c>
      <c r="G31" s="6">
        <v>147000</v>
      </c>
    </row>
    <row r="32" spans="1:7" x14ac:dyDescent="0.3">
      <c r="A32" s="2" t="s">
        <v>185</v>
      </c>
      <c r="B32" s="2" t="s">
        <v>195</v>
      </c>
      <c r="C32" s="2" t="s">
        <v>140</v>
      </c>
      <c r="D32" s="2" t="s">
        <v>134</v>
      </c>
      <c r="E32" s="4">
        <v>45780</v>
      </c>
      <c r="F32" s="5">
        <v>31</v>
      </c>
      <c r="G32" s="6">
        <v>117800</v>
      </c>
    </row>
    <row r="33" spans="1:7" x14ac:dyDescent="0.3">
      <c r="A33" s="2" t="s">
        <v>189</v>
      </c>
      <c r="B33" s="2" t="s">
        <v>200</v>
      </c>
      <c r="C33" s="2" t="s">
        <v>145</v>
      </c>
      <c r="D33" s="2" t="s">
        <v>134</v>
      </c>
      <c r="E33" s="4">
        <v>45780</v>
      </c>
      <c r="F33" s="5">
        <v>19</v>
      </c>
      <c r="G33" s="6">
        <v>73720</v>
      </c>
    </row>
    <row r="34" spans="1:7" x14ac:dyDescent="0.3">
      <c r="A34" s="2" t="s">
        <v>189</v>
      </c>
      <c r="B34" s="2" t="s">
        <v>195</v>
      </c>
      <c r="C34" s="2" t="s">
        <v>148</v>
      </c>
      <c r="D34" s="2" t="s">
        <v>134</v>
      </c>
      <c r="E34" s="4">
        <v>45783</v>
      </c>
      <c r="F34" s="5">
        <v>24</v>
      </c>
      <c r="G34" s="6">
        <v>69840</v>
      </c>
    </row>
    <row r="35" spans="1:7" x14ac:dyDescent="0.3">
      <c r="A35" s="2" t="s">
        <v>3</v>
      </c>
      <c r="B35" s="2" t="s">
        <v>7</v>
      </c>
      <c r="C35" s="7" t="s">
        <v>8</v>
      </c>
      <c r="D35" s="2" t="s">
        <v>137</v>
      </c>
      <c r="E35" s="4">
        <v>45806</v>
      </c>
      <c r="F35" s="5">
        <v>16</v>
      </c>
      <c r="G35" s="6">
        <v>232800</v>
      </c>
    </row>
    <row r="36" spans="1:7" x14ac:dyDescent="0.3">
      <c r="A36" s="2" t="s">
        <v>193</v>
      </c>
      <c r="B36" s="2" t="s">
        <v>205</v>
      </c>
      <c r="C36" s="2" t="s">
        <v>153</v>
      </c>
      <c r="D36" s="2" t="s">
        <v>132</v>
      </c>
      <c r="E36" s="4">
        <v>45798</v>
      </c>
      <c r="F36" s="5">
        <v>27</v>
      </c>
      <c r="G36" s="6">
        <v>261900</v>
      </c>
    </row>
    <row r="37" spans="1:7" x14ac:dyDescent="0.3">
      <c r="A37" s="2" t="s">
        <v>2</v>
      </c>
      <c r="B37" s="2" t="s">
        <v>4</v>
      </c>
      <c r="C37" s="2" t="s">
        <v>88</v>
      </c>
      <c r="D37" s="2" t="s">
        <v>131</v>
      </c>
      <c r="E37" s="4">
        <v>45791</v>
      </c>
      <c r="F37" s="5">
        <v>5</v>
      </c>
      <c r="G37" s="6">
        <v>50000</v>
      </c>
    </row>
    <row r="38" spans="1:7" x14ac:dyDescent="0.3">
      <c r="A38" s="2" t="s">
        <v>2</v>
      </c>
      <c r="B38" s="2" t="s">
        <v>4</v>
      </c>
      <c r="C38" s="2" t="s">
        <v>98</v>
      </c>
      <c r="D38" s="2" t="s">
        <v>133</v>
      </c>
      <c r="E38" s="4">
        <v>45797</v>
      </c>
      <c r="F38" s="5">
        <v>13</v>
      </c>
      <c r="G38" s="6">
        <v>38220</v>
      </c>
    </row>
    <row r="39" spans="1:7" x14ac:dyDescent="0.3">
      <c r="A39" s="2" t="s">
        <v>2</v>
      </c>
      <c r="B39" s="2" t="s">
        <v>4</v>
      </c>
      <c r="C39" s="2" t="s">
        <v>108</v>
      </c>
      <c r="D39" s="2" t="s">
        <v>134</v>
      </c>
      <c r="E39" s="4">
        <v>45783</v>
      </c>
      <c r="F39" s="5">
        <v>11</v>
      </c>
      <c r="G39" s="6">
        <v>32340</v>
      </c>
    </row>
    <row r="40" spans="1:7" x14ac:dyDescent="0.3">
      <c r="A40" s="2" t="s">
        <v>2</v>
      </c>
      <c r="B40" s="2" t="s">
        <v>4</v>
      </c>
      <c r="C40" s="2" t="s">
        <v>9</v>
      </c>
      <c r="D40" s="2" t="s">
        <v>134</v>
      </c>
      <c r="E40" s="4">
        <v>45783</v>
      </c>
      <c r="F40" s="5">
        <v>8</v>
      </c>
      <c r="G40" s="6">
        <v>23760</v>
      </c>
    </row>
    <row r="41" spans="1:7" x14ac:dyDescent="0.3">
      <c r="A41" s="2" t="s">
        <v>2</v>
      </c>
      <c r="B41" s="2" t="s">
        <v>4</v>
      </c>
      <c r="C41" s="2" t="s">
        <v>104</v>
      </c>
      <c r="D41" s="2" t="s">
        <v>133</v>
      </c>
      <c r="E41" s="4">
        <v>45793</v>
      </c>
      <c r="F41" s="5">
        <v>25</v>
      </c>
      <c r="G41" s="6">
        <v>166250</v>
      </c>
    </row>
    <row r="42" spans="1:7" x14ac:dyDescent="0.3">
      <c r="A42" s="2" t="s">
        <v>2</v>
      </c>
      <c r="B42" s="2" t="s">
        <v>4</v>
      </c>
      <c r="C42" s="2" t="s">
        <v>112</v>
      </c>
      <c r="D42" s="2" t="s">
        <v>136</v>
      </c>
      <c r="E42" s="4">
        <v>45800</v>
      </c>
      <c r="F42" s="5">
        <v>13</v>
      </c>
      <c r="G42" s="6">
        <v>87360</v>
      </c>
    </row>
    <row r="43" spans="1:7" x14ac:dyDescent="0.3">
      <c r="A43" s="2" t="s">
        <v>2</v>
      </c>
      <c r="B43" s="2" t="s">
        <v>4</v>
      </c>
      <c r="C43" s="2" t="s">
        <v>5</v>
      </c>
      <c r="D43" s="2" t="s">
        <v>134</v>
      </c>
      <c r="E43" s="4">
        <v>45784</v>
      </c>
      <c r="F43" s="5">
        <v>7</v>
      </c>
      <c r="G43" s="6">
        <v>69300</v>
      </c>
    </row>
    <row r="44" spans="1:7" x14ac:dyDescent="0.3">
      <c r="A44" s="2" t="s">
        <v>2</v>
      </c>
      <c r="B44" s="2" t="s">
        <v>4</v>
      </c>
      <c r="C44" s="2" t="s">
        <v>120</v>
      </c>
      <c r="D44" s="2" t="s">
        <v>136</v>
      </c>
      <c r="E44" s="4">
        <v>45803</v>
      </c>
      <c r="F44" s="5">
        <v>23</v>
      </c>
      <c r="G44" s="6">
        <v>111550</v>
      </c>
    </row>
    <row r="45" spans="1:7" x14ac:dyDescent="0.3">
      <c r="A45" s="2" t="s">
        <v>2</v>
      </c>
      <c r="B45" s="2" t="s">
        <v>4</v>
      </c>
      <c r="C45" s="7" t="s">
        <v>118</v>
      </c>
      <c r="D45" s="2" t="s">
        <v>134</v>
      </c>
      <c r="E45" s="4">
        <v>45779</v>
      </c>
      <c r="F45" s="5">
        <v>29</v>
      </c>
      <c r="G45" s="6">
        <v>192850</v>
      </c>
    </row>
    <row r="46" spans="1:7" x14ac:dyDescent="0.3">
      <c r="A46" s="2" t="s">
        <v>2</v>
      </c>
      <c r="B46" s="2" t="s">
        <v>4</v>
      </c>
      <c r="C46" s="7" t="s">
        <v>116</v>
      </c>
      <c r="D46" s="2" t="s">
        <v>131</v>
      </c>
      <c r="E46" s="4">
        <v>45790</v>
      </c>
      <c r="F46" s="5">
        <v>28</v>
      </c>
      <c r="G46" s="6">
        <v>81480</v>
      </c>
    </row>
    <row r="47" spans="1:7" x14ac:dyDescent="0.3">
      <c r="A47" s="2" t="s">
        <v>185</v>
      </c>
      <c r="B47" s="2" t="s">
        <v>202</v>
      </c>
      <c r="C47" s="2" t="s">
        <v>149</v>
      </c>
      <c r="D47" s="2" t="s">
        <v>131</v>
      </c>
      <c r="E47" s="4">
        <v>45789</v>
      </c>
      <c r="F47" s="5">
        <v>26</v>
      </c>
      <c r="G47" s="6">
        <v>126100</v>
      </c>
    </row>
    <row r="48" spans="1:7" x14ac:dyDescent="0.3">
      <c r="A48" s="2" t="s">
        <v>3</v>
      </c>
      <c r="B48" s="2" t="s">
        <v>4</v>
      </c>
      <c r="C48" s="7" t="s">
        <v>114</v>
      </c>
      <c r="D48" s="2" t="s">
        <v>137</v>
      </c>
      <c r="E48" s="4">
        <v>45804</v>
      </c>
      <c r="F48" s="5">
        <v>14</v>
      </c>
      <c r="G48" s="6">
        <v>41160</v>
      </c>
    </row>
    <row r="49" spans="1:7" x14ac:dyDescent="0.3">
      <c r="A49" s="2" t="s">
        <v>188</v>
      </c>
      <c r="B49" s="2" t="s">
        <v>198</v>
      </c>
      <c r="C49" s="2" t="s">
        <v>143</v>
      </c>
      <c r="D49" s="2" t="s">
        <v>137</v>
      </c>
      <c r="E49" s="4">
        <v>45801</v>
      </c>
      <c r="F49" s="5">
        <v>8</v>
      </c>
      <c r="G49" s="6">
        <v>31360</v>
      </c>
    </row>
    <row r="50" spans="1:7" x14ac:dyDescent="0.3">
      <c r="A50" s="2" t="s">
        <v>192</v>
      </c>
      <c r="B50" s="2" t="s">
        <v>202</v>
      </c>
      <c r="C50" s="2" t="s">
        <v>154</v>
      </c>
      <c r="D50" s="2" t="s">
        <v>137</v>
      </c>
      <c r="E50" s="4">
        <v>45801</v>
      </c>
      <c r="F50" s="5">
        <v>23</v>
      </c>
      <c r="G50" s="6">
        <v>87400</v>
      </c>
    </row>
  </sheetData>
  <sortState xmlns:xlrd2="http://schemas.microsoft.com/office/spreadsheetml/2017/richdata2" ref="A3:G50">
    <sortCondition ref="B3:B50"/>
    <sortCondition descending="1" ref="A3:A50"/>
  </sortState>
  <phoneticPr fontId="1" type="noConversion"/>
  <printOptions horizontalCentered="1"/>
  <pageMargins left="0.23622047244094491" right="0.23622047244094491" top="1.1811023622047245" bottom="0.74803149606299213" header="0.78740157480314965" footer="0.31496062992125984"/>
  <pageSetup paperSize="9" orientation="landscape" r:id="rId1"/>
  <headerFooter differentFirst="1">
    <oddHeader>&amp;R&amp;D</oddHeader>
    <firstHeader>&amp;C특강 신청 현황</firstHeader>
  </headerFooter>
  <rowBreaks count="4" manualBreakCount="4">
    <brk id="12" max="6" man="1"/>
    <brk id="25" max="6" man="1"/>
    <brk id="30" max="6" man="1"/>
    <brk id="36" max="6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2"/>
  <sheetViews>
    <sheetView workbookViewId="0">
      <selection activeCell="L22" sqref="L22:L25"/>
    </sheetView>
  </sheetViews>
  <sheetFormatPr defaultRowHeight="16.5" x14ac:dyDescent="0.3"/>
  <cols>
    <col min="4" max="4" width="12.375" bestFit="1" customWidth="1"/>
    <col min="5" max="5" width="11.125" bestFit="1" customWidth="1"/>
    <col min="7" max="7" width="9.375" bestFit="1" customWidth="1"/>
    <col min="8" max="8" width="11.125" bestFit="1" customWidth="1"/>
    <col min="9" max="9" width="1.625" customWidth="1"/>
    <col min="10" max="10" width="11.75" customWidth="1"/>
    <col min="11" max="11" width="10.75" bestFit="1" customWidth="1"/>
  </cols>
  <sheetData>
    <row r="1" spans="1:16" x14ac:dyDescent="0.3">
      <c r="A1" t="s">
        <v>15</v>
      </c>
      <c r="G1" s="1" t="s">
        <v>16</v>
      </c>
      <c r="H1" s="8">
        <v>45777</v>
      </c>
      <c r="J1" t="s">
        <v>17</v>
      </c>
    </row>
    <row r="2" spans="1:16" x14ac:dyDescent="0.3">
      <c r="A2" s="9" t="s">
        <v>18</v>
      </c>
      <c r="B2" s="9" t="s">
        <v>71</v>
      </c>
      <c r="C2" s="3" t="s">
        <v>1</v>
      </c>
      <c r="D2" s="10" t="s">
        <v>65</v>
      </c>
      <c r="E2" s="9" t="s">
        <v>58</v>
      </c>
      <c r="F2" s="9" t="s">
        <v>72</v>
      </c>
      <c r="G2" s="10" t="s">
        <v>73</v>
      </c>
      <c r="H2" s="10" t="s">
        <v>19</v>
      </c>
      <c r="J2" s="44" t="s">
        <v>20</v>
      </c>
      <c r="K2" s="44" t="s">
        <v>59</v>
      </c>
      <c r="L2" s="44" t="s">
        <v>21</v>
      </c>
      <c r="M2" s="12">
        <v>1</v>
      </c>
      <c r="N2" s="12">
        <v>6</v>
      </c>
      <c r="O2" s="12">
        <v>11</v>
      </c>
      <c r="P2" s="12">
        <v>21</v>
      </c>
    </row>
    <row r="3" spans="1:16" x14ac:dyDescent="0.3">
      <c r="A3" s="11" t="s">
        <v>36</v>
      </c>
      <c r="B3" s="9" t="s">
        <v>23</v>
      </c>
      <c r="C3" s="7" t="s">
        <v>87</v>
      </c>
      <c r="D3" s="13" t="str">
        <f>_xlfn.CONCAT(A3,"-",WEEKNUM(E3,2)-WEEKNUM($H$1,2),"주")</f>
        <v>비회원-1주</v>
      </c>
      <c r="E3" s="23">
        <v>45786</v>
      </c>
      <c r="F3" s="13">
        <v>18</v>
      </c>
      <c r="G3" s="14" cm="1">
        <f t="array" ref="G3">F3*INDEX($L$4:$L$10,WEEKDAY(E3,2))*(1-INDEX($M$4:$P$10,WEEKDAY(E3,2),MATCH(F3,$M$2:$P$2,1)))</f>
        <v>52920</v>
      </c>
      <c r="H3" s="9" t="str" cm="1">
        <f t="array" ref="H3">fn비고(B3,F3)</f>
        <v/>
      </c>
      <c r="J3" s="44"/>
      <c r="K3" s="44"/>
      <c r="L3" s="44"/>
      <c r="M3" s="15">
        <v>5</v>
      </c>
      <c r="N3" s="15">
        <v>10</v>
      </c>
      <c r="O3" s="15">
        <v>20</v>
      </c>
      <c r="P3" s="9"/>
    </row>
    <row r="4" spans="1:16" x14ac:dyDescent="0.3">
      <c r="A4" s="11" t="s">
        <v>40</v>
      </c>
      <c r="B4" s="9" t="s">
        <v>25</v>
      </c>
      <c r="C4" s="7" t="s">
        <v>89</v>
      </c>
      <c r="D4" s="13" t="str">
        <f t="shared" ref="D4:D32" si="0">_xlfn.CONCAT(A4,"-",WEEKNUM(E4,2)-WEEKNUM($H$1,2),"주")</f>
        <v>회원-2주</v>
      </c>
      <c r="E4" s="23">
        <v>45791</v>
      </c>
      <c r="F4" s="13">
        <v>5</v>
      </c>
      <c r="G4" s="14" cm="1">
        <f t="array" ref="G4">F4*INDEX($L$4:$L$10,WEEKDAY(E4,2))*(1-INDEX($M$4:$P$10,WEEKDAY(E4,2),MATCH(F4,$M$2:$P$2,1)))</f>
        <v>0</v>
      </c>
      <c r="H4" s="39" t="str" cm="1">
        <f t="array" ref="H4">fn비고(B4,F4)</f>
        <v/>
      </c>
      <c r="J4" s="9" t="s">
        <v>26</v>
      </c>
      <c r="K4" s="9" t="s">
        <v>63</v>
      </c>
      <c r="L4" s="16">
        <v>7000</v>
      </c>
      <c r="M4" s="17">
        <v>0</v>
      </c>
      <c r="N4" s="17">
        <v>0.03</v>
      </c>
      <c r="O4" s="17">
        <v>0.04</v>
      </c>
      <c r="P4" s="17">
        <v>0.05</v>
      </c>
    </row>
    <row r="5" spans="1:16" x14ac:dyDescent="0.3">
      <c r="A5" s="11" t="s">
        <v>36</v>
      </c>
      <c r="B5" s="9" t="s">
        <v>23</v>
      </c>
      <c r="C5" s="7" t="s">
        <v>91</v>
      </c>
      <c r="D5" s="13" t="str">
        <f t="shared" si="0"/>
        <v>비회원-1주</v>
      </c>
      <c r="E5" s="23">
        <v>45782</v>
      </c>
      <c r="F5" s="13">
        <v>22</v>
      </c>
      <c r="G5" s="14" cm="1">
        <f t="array" ref="G5">F5*INDEX($L$4:$L$10,WEEKDAY(E5,2))*(1-INDEX($M$4:$P$10,WEEKDAY(E5,2),MATCH(F5,$M$2:$P$2,1)))</f>
        <v>146300</v>
      </c>
      <c r="H5" s="39" t="str" cm="1">
        <f t="array" ref="H5">fn비고(B5,F5)</f>
        <v/>
      </c>
      <c r="J5" s="9" t="s">
        <v>28</v>
      </c>
      <c r="K5" s="9" t="s">
        <v>64</v>
      </c>
      <c r="L5" s="16">
        <v>4000</v>
      </c>
      <c r="M5" s="17">
        <v>0</v>
      </c>
      <c r="N5" s="17">
        <v>0.02</v>
      </c>
      <c r="O5" s="17">
        <v>0.03</v>
      </c>
      <c r="P5" s="17">
        <v>0.05</v>
      </c>
    </row>
    <row r="6" spans="1:16" x14ac:dyDescent="0.3">
      <c r="A6" s="11" t="s">
        <v>27</v>
      </c>
      <c r="B6" s="9" t="s">
        <v>69</v>
      </c>
      <c r="C6" s="7" t="s">
        <v>93</v>
      </c>
      <c r="D6" s="13" t="str">
        <f t="shared" si="0"/>
        <v>비회원-3주</v>
      </c>
      <c r="E6" s="23">
        <v>45798</v>
      </c>
      <c r="F6" s="13">
        <v>9</v>
      </c>
      <c r="G6" s="14" cm="1">
        <f t="array" ref="G6">F6*INDEX($L$4:$L$10,WEEKDAY(E6,2))*(1-INDEX($M$4:$P$10,WEEKDAY(E6,2),MATCH(F6,$M$2:$P$2,1)))</f>
        <v>0</v>
      </c>
      <c r="H6" s="39" t="str" cm="1">
        <f t="array" ref="H6">fn비고(B6,F6)</f>
        <v/>
      </c>
      <c r="J6" s="9" t="s">
        <v>29</v>
      </c>
      <c r="K6" s="9" t="s">
        <v>67</v>
      </c>
      <c r="L6" s="16">
        <v>0</v>
      </c>
      <c r="M6" s="17">
        <v>0</v>
      </c>
      <c r="N6" s="17">
        <v>0</v>
      </c>
      <c r="O6" s="17">
        <v>0</v>
      </c>
      <c r="P6" s="17">
        <v>0</v>
      </c>
    </row>
    <row r="7" spans="1:16" x14ac:dyDescent="0.3">
      <c r="A7" s="11" t="s">
        <v>22</v>
      </c>
      <c r="B7" s="9" t="s">
        <v>75</v>
      </c>
      <c r="C7" s="7" t="s">
        <v>95</v>
      </c>
      <c r="D7" s="13" t="str">
        <f t="shared" si="0"/>
        <v>회원-2주</v>
      </c>
      <c r="E7" s="23">
        <v>45790</v>
      </c>
      <c r="F7" s="13">
        <v>15</v>
      </c>
      <c r="G7" s="14" cm="1">
        <f t="array" ref="G7">F7*INDEX($L$4:$L$10,WEEKDAY(E7,2))*(1-INDEX($M$4:$P$10,WEEKDAY(E7,2),MATCH(F7,$M$2:$P$2,1)))</f>
        <v>58200</v>
      </c>
      <c r="H7" s="39" t="str" cm="1">
        <f t="array" ref="H7">fn비고(B7,F7)</f>
        <v/>
      </c>
      <c r="J7" s="9" t="s">
        <v>30</v>
      </c>
      <c r="K7" s="9" t="s">
        <v>61</v>
      </c>
      <c r="L7" s="16">
        <v>5000</v>
      </c>
      <c r="M7" s="17">
        <v>0</v>
      </c>
      <c r="N7" s="17">
        <v>0.01</v>
      </c>
      <c r="O7" s="17">
        <v>0.02</v>
      </c>
      <c r="P7" s="17">
        <v>0.03</v>
      </c>
    </row>
    <row r="8" spans="1:16" x14ac:dyDescent="0.3">
      <c r="A8" s="11" t="s">
        <v>27</v>
      </c>
      <c r="B8" s="9" t="s">
        <v>74</v>
      </c>
      <c r="C8" s="7" t="s">
        <v>97</v>
      </c>
      <c r="D8" s="13" t="str">
        <f t="shared" si="0"/>
        <v>비회원-1주</v>
      </c>
      <c r="E8" s="23">
        <v>45782</v>
      </c>
      <c r="F8" s="13">
        <v>18</v>
      </c>
      <c r="G8" s="14" cm="1">
        <f t="array" ref="G8">F8*INDEX($L$4:$L$10,WEEKDAY(E8,2))*(1-INDEX($M$4:$P$10,WEEKDAY(E8,2),MATCH(F8,$M$2:$P$2,1)))</f>
        <v>120960</v>
      </c>
      <c r="H8" s="39" t="str" cm="1">
        <f t="array" ref="H8">fn비고(B8,F8)</f>
        <v/>
      </c>
      <c r="J8" s="9" t="s">
        <v>31</v>
      </c>
      <c r="K8" s="9" t="s">
        <v>62</v>
      </c>
      <c r="L8" s="16">
        <v>3000</v>
      </c>
      <c r="M8" s="17">
        <v>0</v>
      </c>
      <c r="N8" s="17">
        <v>0.01</v>
      </c>
      <c r="O8" s="17">
        <v>0.02</v>
      </c>
      <c r="P8" s="17">
        <v>0.03</v>
      </c>
    </row>
    <row r="9" spans="1:16" x14ac:dyDescent="0.3">
      <c r="A9" s="11" t="s">
        <v>22</v>
      </c>
      <c r="B9" s="9" t="s">
        <v>79</v>
      </c>
      <c r="C9" s="7" t="s">
        <v>99</v>
      </c>
      <c r="D9" s="13" t="str">
        <f t="shared" si="0"/>
        <v>회원-3주</v>
      </c>
      <c r="E9" s="23">
        <v>45797</v>
      </c>
      <c r="F9" s="13">
        <v>13</v>
      </c>
      <c r="G9" s="14" cm="1">
        <f t="array" ref="G9">F9*INDEX($L$4:$L$10,WEEKDAY(E9,2))*(1-INDEX($M$4:$P$10,WEEKDAY(E9,2),MATCH(F9,$M$2:$P$2,1)))</f>
        <v>50440</v>
      </c>
      <c r="H9" s="39" t="str" cm="1">
        <f t="array" ref="H9">fn비고(B9,F9)</f>
        <v/>
      </c>
      <c r="J9" s="9" t="s">
        <v>32</v>
      </c>
      <c r="K9" s="9" t="s">
        <v>60</v>
      </c>
      <c r="L9" s="16">
        <v>10000</v>
      </c>
      <c r="M9" s="17">
        <v>0</v>
      </c>
      <c r="N9" s="17">
        <v>0.01</v>
      </c>
      <c r="O9" s="17">
        <v>0.02</v>
      </c>
      <c r="P9" s="17">
        <v>0.03</v>
      </c>
    </row>
    <row r="10" spans="1:16" x14ac:dyDescent="0.3">
      <c r="A10" s="11" t="s">
        <v>22</v>
      </c>
      <c r="B10" s="9" t="s">
        <v>33</v>
      </c>
      <c r="C10" s="7" t="s">
        <v>14</v>
      </c>
      <c r="D10" s="13" t="str">
        <f t="shared" si="0"/>
        <v>회원-3주</v>
      </c>
      <c r="E10" s="23">
        <v>45799</v>
      </c>
      <c r="F10" s="13">
        <v>10</v>
      </c>
      <c r="G10" s="14" cm="1">
        <f t="array" ref="G10">F10*INDEX($L$4:$L$10,WEEKDAY(E10,2))*(1-INDEX($M$4:$P$10,WEEKDAY(E10,2),MATCH(F10,$M$2:$P$2,1)))</f>
        <v>49500</v>
      </c>
      <c r="H10" s="39" t="str" cm="1">
        <f t="array" ref="H10">fn비고(B10,F10)</f>
        <v/>
      </c>
      <c r="J10" s="9" t="s">
        <v>34</v>
      </c>
      <c r="K10" s="9" t="s">
        <v>66</v>
      </c>
      <c r="L10" s="16">
        <v>15000</v>
      </c>
      <c r="M10" s="17">
        <v>0</v>
      </c>
      <c r="N10" s="17">
        <v>0.02</v>
      </c>
      <c r="O10" s="17">
        <v>0.03</v>
      </c>
      <c r="P10" s="17">
        <v>0.05</v>
      </c>
    </row>
    <row r="11" spans="1:16" x14ac:dyDescent="0.3">
      <c r="A11" s="11" t="s">
        <v>22</v>
      </c>
      <c r="B11" s="9" t="s">
        <v>80</v>
      </c>
      <c r="C11" s="7" t="s">
        <v>109</v>
      </c>
      <c r="D11" s="13" t="str">
        <f t="shared" si="0"/>
        <v>회원-1주</v>
      </c>
      <c r="E11" s="23">
        <v>45783</v>
      </c>
      <c r="F11" s="13">
        <v>11</v>
      </c>
      <c r="G11" s="14" cm="1">
        <f t="array" ref="G11">F11*INDEX($L$4:$L$10,WEEKDAY(E11,2))*(1-INDEX($M$4:$P$10,WEEKDAY(E11,2),MATCH(F11,$M$2:$P$2,1)))</f>
        <v>42680</v>
      </c>
      <c r="H11" s="39" t="str" cm="1">
        <f t="array" ref="H11">fn비고(B11,F11)</f>
        <v/>
      </c>
      <c r="J11" s="18"/>
      <c r="K11" s="18"/>
      <c r="L11" s="19"/>
      <c r="M11" s="20"/>
      <c r="N11" s="20"/>
      <c r="O11" s="20"/>
      <c r="P11" s="20"/>
    </row>
    <row r="12" spans="1:16" x14ac:dyDescent="0.3">
      <c r="A12" s="11" t="s">
        <v>22</v>
      </c>
      <c r="B12" s="9" t="s">
        <v>76</v>
      </c>
      <c r="C12" s="7" t="s">
        <v>101</v>
      </c>
      <c r="D12" s="13" t="str">
        <f t="shared" si="0"/>
        <v>회원-1주</v>
      </c>
      <c r="E12" s="23">
        <v>45785</v>
      </c>
      <c r="F12" s="13">
        <v>10</v>
      </c>
      <c r="G12" s="14" cm="1">
        <f t="array" ref="G12">F12*INDEX($L$4:$L$10,WEEKDAY(E12,2))*(1-INDEX($M$4:$P$10,WEEKDAY(E12,2),MATCH(F12,$M$2:$P$2,1)))</f>
        <v>49500</v>
      </c>
      <c r="H12" s="39" t="str" cm="1">
        <f t="array" ref="H12">fn비고(B12,F12)</f>
        <v/>
      </c>
      <c r="J12" s="21" t="s">
        <v>35</v>
      </c>
    </row>
    <row r="13" spans="1:16" x14ac:dyDescent="0.3">
      <c r="A13" s="11" t="s">
        <v>22</v>
      </c>
      <c r="B13" s="9" t="s">
        <v>25</v>
      </c>
      <c r="C13" s="7" t="s">
        <v>9</v>
      </c>
      <c r="D13" s="13" t="str">
        <f t="shared" si="0"/>
        <v>회원-1주</v>
      </c>
      <c r="E13" s="23">
        <v>45783</v>
      </c>
      <c r="F13" s="13">
        <v>8</v>
      </c>
      <c r="G13" s="14" cm="1">
        <f t="array" ref="G13">F13*INDEX($L$4:$L$10,WEEKDAY(E13,2))*(1-INDEX($M$4:$P$10,WEEKDAY(E13,2),MATCH(F13,$M$2:$P$2,1)))</f>
        <v>31360</v>
      </c>
      <c r="H13" s="39" t="str" cm="1">
        <f t="array" ref="H13">fn비고(B13,F13)</f>
        <v/>
      </c>
      <c r="J13" s="42" t="s">
        <v>174</v>
      </c>
      <c r="K13" s="43" t="s">
        <v>225</v>
      </c>
      <c r="L13" s="10" t="s">
        <v>226</v>
      </c>
      <c r="M13" s="10" t="s">
        <v>227</v>
      </c>
      <c r="N13" s="10" t="s">
        <v>228</v>
      </c>
      <c r="O13" s="10" t="s">
        <v>229</v>
      </c>
    </row>
    <row r="14" spans="1:16" x14ac:dyDescent="0.3">
      <c r="A14" s="11" t="s">
        <v>27</v>
      </c>
      <c r="B14" s="9" t="s">
        <v>77</v>
      </c>
      <c r="C14" s="7" t="s">
        <v>103</v>
      </c>
      <c r="D14" s="13" t="str">
        <f t="shared" si="0"/>
        <v>비회원-2주</v>
      </c>
      <c r="E14" s="23">
        <v>45792</v>
      </c>
      <c r="F14" s="13">
        <v>9</v>
      </c>
      <c r="G14" s="14" cm="1">
        <f t="array" ref="G14">F14*INDEX($L$4:$L$10,WEEKDAY(E14,2))*(1-INDEX($M$4:$P$10,WEEKDAY(E14,2),MATCH(F14,$M$2:$P$2,1)))</f>
        <v>44550</v>
      </c>
      <c r="H14" s="39" t="str" cm="1">
        <f t="array" ref="H14">fn비고(B14,F14)</f>
        <v/>
      </c>
      <c r="J14" s="42" t="s">
        <v>68</v>
      </c>
      <c r="K14" s="13">
        <f t="array" ref="K14">SUM(($B$3:$B$32=$J14)*(CHOOSE(WEEKDAY($E$3:$E$32,2),"월","화","수","목","금")=K$13))</f>
        <v>1</v>
      </c>
      <c r="L14" s="13">
        <f t="array" ref="L14">SUM(($B$3:$B$32=$J14)*(CHOOSE(WEEKDAY($E$3:$E$32,2),"월","화","수","목","금")=L$13))</f>
        <v>0</v>
      </c>
      <c r="M14" s="13">
        <f t="array" ref="M14">SUM(($B$3:$B$32=$J14)*(CHOOSE(WEEKDAY($E$3:$E$32,2),"월","화","수","목","금")=M$13))</f>
        <v>0</v>
      </c>
      <c r="N14" s="13">
        <f t="array" ref="N14">SUM(($B$3:$B$32=$J14)*(CHOOSE(WEEKDAY($E$3:$E$32,2),"월","화","수","목","금")=N$13))</f>
        <v>1</v>
      </c>
      <c r="O14" s="13">
        <f t="array" ref="O14">SUM(($B$3:$B$32=$J14)*(CHOOSE(WEEKDAY($E$3:$E$32,2),"월","화","수","목","금")=O$13))</f>
        <v>1</v>
      </c>
    </row>
    <row r="15" spans="1:16" x14ac:dyDescent="0.3">
      <c r="A15" s="11" t="s">
        <v>22</v>
      </c>
      <c r="B15" s="9" t="s">
        <v>25</v>
      </c>
      <c r="C15" s="7" t="s">
        <v>105</v>
      </c>
      <c r="D15" s="13" t="str">
        <f t="shared" si="0"/>
        <v>회원-2주</v>
      </c>
      <c r="E15" s="23">
        <v>45793</v>
      </c>
      <c r="F15" s="13">
        <v>25</v>
      </c>
      <c r="G15" s="14" cm="1">
        <f t="array" ref="G15">F15*INDEX($L$4:$L$10,WEEKDAY(E15,2))*(1-INDEX($M$4:$P$10,WEEKDAY(E15,2),MATCH(F15,$M$2:$P$2,1)))</f>
        <v>72750</v>
      </c>
      <c r="H15" s="39" t="str" cm="1">
        <f t="array" ref="H15">fn비고(B15,F15)</f>
        <v>※</v>
      </c>
      <c r="J15" s="42" t="s">
        <v>69</v>
      </c>
      <c r="K15" s="13">
        <f t="array" ref="K15">SUM(($B$3:$B$32=$J15)*(CHOOSE(WEEKDAY($E$3:$E$32,2),"월","화","수","목","금")=K$13))</f>
        <v>4</v>
      </c>
      <c r="L15" s="13">
        <f t="array" ref="L15">SUM(($B$3:$B$32=$J15)*(CHOOSE(WEEKDAY($E$3:$E$32,2),"월","화","수","목","금")=L$13))</f>
        <v>3</v>
      </c>
      <c r="M15" s="13">
        <f t="array" ref="M15">SUM(($B$3:$B$32=$J15)*(CHOOSE(WEEKDAY($E$3:$E$32,2),"월","화","수","목","금")=M$13))</f>
        <v>1</v>
      </c>
      <c r="N15" s="13">
        <f t="array" ref="N15">SUM(($B$3:$B$32=$J15)*(CHOOSE(WEEKDAY($E$3:$E$32,2),"월","화","수","목","금")=N$13))</f>
        <v>2</v>
      </c>
      <c r="O15" s="13">
        <f t="array" ref="O15">SUM(($B$3:$B$32=$J15)*(CHOOSE(WEEKDAY($E$3:$E$32,2),"월","화","수","목","금")=O$13))</f>
        <v>3</v>
      </c>
    </row>
    <row r="16" spans="1:16" x14ac:dyDescent="0.3">
      <c r="A16" s="11" t="s">
        <v>22</v>
      </c>
      <c r="B16" s="9" t="s">
        <v>38</v>
      </c>
      <c r="C16" s="9" t="s">
        <v>107</v>
      </c>
      <c r="D16" s="13" t="str">
        <f t="shared" si="0"/>
        <v>회원-1주</v>
      </c>
      <c r="E16" s="23">
        <v>45785</v>
      </c>
      <c r="F16" s="13">
        <v>12</v>
      </c>
      <c r="G16" s="14" cm="1">
        <f t="array" ref="G16">F16*INDEX($L$4:$L$10,WEEKDAY(E16,2))*(1-INDEX($M$4:$P$10,WEEKDAY(E16,2),MATCH(F16,$M$2:$P$2,1)))</f>
        <v>58800</v>
      </c>
      <c r="H16" s="39" t="str" cm="1">
        <f t="array" ref="H16">fn비고(B16,F16)</f>
        <v/>
      </c>
      <c r="J16" s="42" t="s">
        <v>70</v>
      </c>
      <c r="K16" s="13">
        <f t="array" ref="K16">SUM(($B$3:$B$32=$J16)*(CHOOSE(WEEKDAY($E$3:$E$32,2),"월","화","수","목","금")=K$13))</f>
        <v>1</v>
      </c>
      <c r="L16" s="13">
        <f t="array" ref="L16">SUM(($B$3:$B$32=$J16)*(CHOOSE(WEEKDAY($E$3:$E$32,2),"월","화","수","목","금")=L$13))</f>
        <v>5</v>
      </c>
      <c r="M16" s="13">
        <f t="array" ref="M16">SUM(($B$3:$B$32=$J16)*(CHOOSE(WEEKDAY($E$3:$E$32,2),"월","화","수","목","금")=M$13))</f>
        <v>2</v>
      </c>
      <c r="N16" s="13">
        <f t="array" ref="N16">SUM(($B$3:$B$32=$J16)*(CHOOSE(WEEKDAY($E$3:$E$32,2),"월","화","수","목","금")=N$13))</f>
        <v>0</v>
      </c>
      <c r="O16" s="13">
        <f t="array" ref="O16">SUM(($B$3:$B$32=$J16)*(CHOOSE(WEEKDAY($E$3:$E$32,2),"월","화","수","목","금")=O$13))</f>
        <v>3</v>
      </c>
    </row>
    <row r="17" spans="1:15" x14ac:dyDescent="0.3">
      <c r="A17" s="9" t="s">
        <v>27</v>
      </c>
      <c r="B17" s="9" t="s">
        <v>69</v>
      </c>
      <c r="C17" s="9" t="s">
        <v>111</v>
      </c>
      <c r="D17" s="13" t="str">
        <f t="shared" si="0"/>
        <v>비회원-1주</v>
      </c>
      <c r="E17" s="23">
        <v>45783</v>
      </c>
      <c r="F17" s="13">
        <v>17</v>
      </c>
      <c r="G17" s="14" cm="1">
        <f t="array" ref="G17">F17*INDEX($L$4:$L$10,WEEKDAY(E17,2))*(1-INDEX($M$4:$P$10,WEEKDAY(E17,2),MATCH(F17,$M$2:$P$2,1)))</f>
        <v>65960</v>
      </c>
      <c r="H17" s="39" t="str" cm="1">
        <f t="array" ref="H17">fn비고(B17,F17)</f>
        <v/>
      </c>
      <c r="J17" s="42" t="s">
        <v>37</v>
      </c>
      <c r="K17" s="13">
        <f t="array" ref="K17">SUM(($B$3:$B$32=$J17)*(CHOOSE(WEEKDAY($E$3:$E$32,2),"월","화","수","목","금")=K$13))</f>
        <v>1</v>
      </c>
      <c r="L17" s="13">
        <f t="array" ref="L17">SUM(($B$3:$B$32=$J17)*(CHOOSE(WEEKDAY($E$3:$E$32,2),"월","화","수","목","금")=L$13))</f>
        <v>0</v>
      </c>
      <c r="M17" s="13">
        <f t="array" ref="M17">SUM(($B$3:$B$32=$J17)*(CHOOSE(WEEKDAY($E$3:$E$32,2),"월","화","수","목","금")=M$13))</f>
        <v>0</v>
      </c>
      <c r="N17" s="13">
        <f t="array" ref="N17">SUM(($B$3:$B$32=$J17)*(CHOOSE(WEEKDAY($E$3:$E$32,2),"월","화","수","목","금")=N$13))</f>
        <v>2</v>
      </c>
      <c r="O17" s="13">
        <f t="array" ref="O17">SUM(($B$3:$B$32=$J17)*(CHOOSE(WEEKDAY($E$3:$E$32,2),"월","화","수","목","금")=O$13))</f>
        <v>0</v>
      </c>
    </row>
    <row r="18" spans="1:15" x14ac:dyDescent="0.3">
      <c r="A18" s="11" t="s">
        <v>22</v>
      </c>
      <c r="B18" s="9" t="s">
        <v>74</v>
      </c>
      <c r="C18" s="9" t="s">
        <v>39</v>
      </c>
      <c r="D18" s="13" t="str">
        <f t="shared" si="0"/>
        <v>회원-3주</v>
      </c>
      <c r="E18" s="23">
        <v>45800</v>
      </c>
      <c r="F18" s="13">
        <v>23</v>
      </c>
      <c r="G18" s="14" cm="1">
        <f t="array" ref="G18">F18*INDEX($L$4:$L$10,WEEKDAY(E18,2))*(1-INDEX($M$4:$P$10,WEEKDAY(E18,2),MATCH(F18,$M$2:$P$2,1)))</f>
        <v>66930</v>
      </c>
      <c r="H18" s="39" t="str" cm="1">
        <f t="array" ref="H18">fn비고(B18,F18)</f>
        <v>※</v>
      </c>
    </row>
    <row r="19" spans="1:15" x14ac:dyDescent="0.3">
      <c r="A19" s="11" t="s">
        <v>22</v>
      </c>
      <c r="B19" s="9" t="s">
        <v>25</v>
      </c>
      <c r="C19" s="9" t="s">
        <v>113</v>
      </c>
      <c r="D19" s="13" t="str">
        <f t="shared" si="0"/>
        <v>회원-3주</v>
      </c>
      <c r="E19" s="23">
        <v>45800</v>
      </c>
      <c r="F19" s="13">
        <v>13</v>
      </c>
      <c r="G19" s="14" cm="1">
        <f t="array" ref="G19">F19*INDEX($L$4:$L$10,WEEKDAY(E19,2))*(1-INDEX($M$4:$P$10,WEEKDAY(E19,2),MATCH(F19,$M$2:$P$2,1)))</f>
        <v>38220</v>
      </c>
      <c r="H19" s="39" t="str" cm="1">
        <f t="array" ref="H19">fn비고(B19,F19)</f>
        <v/>
      </c>
      <c r="J19" s="18"/>
      <c r="K19" s="22"/>
      <c r="L19" s="22"/>
    </row>
    <row r="20" spans="1:15" x14ac:dyDescent="0.3">
      <c r="A20" s="11" t="s">
        <v>27</v>
      </c>
      <c r="B20" s="9" t="s">
        <v>82</v>
      </c>
      <c r="C20" s="9" t="s">
        <v>115</v>
      </c>
      <c r="D20" s="13" t="str">
        <f t="shared" si="0"/>
        <v>비회원-4주</v>
      </c>
      <c r="E20" s="23">
        <v>45804</v>
      </c>
      <c r="F20" s="13">
        <v>14</v>
      </c>
      <c r="G20" s="14" cm="1">
        <f t="array" ref="G20">F20*INDEX($L$4:$L$10,WEEKDAY(E20,2))*(1-INDEX($M$4:$P$10,WEEKDAY(E20,2),MATCH(F20,$M$2:$P$2,1)))</f>
        <v>54320</v>
      </c>
      <c r="H20" s="39" t="str" cm="1">
        <f t="array" ref="H20">fn비고(B20,F20)</f>
        <v/>
      </c>
      <c r="J20" s="21" t="s">
        <v>41</v>
      </c>
    </row>
    <row r="21" spans="1:15" x14ac:dyDescent="0.3">
      <c r="A21" s="11" t="s">
        <v>22</v>
      </c>
      <c r="B21" s="9" t="s">
        <v>25</v>
      </c>
      <c r="C21" s="9" t="s">
        <v>42</v>
      </c>
      <c r="D21" s="13" t="str">
        <f t="shared" si="0"/>
        <v>회원-1주</v>
      </c>
      <c r="E21" s="23">
        <v>45784</v>
      </c>
      <c r="F21" s="13">
        <v>7</v>
      </c>
      <c r="G21" s="14" cm="1">
        <f t="array" ref="G21">F21*INDEX($L$4:$L$10,WEEKDAY(E21,2))*(1-INDEX($M$4:$P$10,WEEKDAY(E21,2),MATCH(F21,$M$2:$P$2,1)))</f>
        <v>0</v>
      </c>
      <c r="H21" s="39" t="str" cm="1">
        <f t="array" ref="H21">fn비고(B21,F21)</f>
        <v/>
      </c>
      <c r="J21" s="44" t="s">
        <v>43</v>
      </c>
      <c r="K21" s="44"/>
      <c r="L21" s="10" t="s">
        <v>44</v>
      </c>
    </row>
    <row r="22" spans="1:15" x14ac:dyDescent="0.3">
      <c r="A22" s="11" t="s">
        <v>22</v>
      </c>
      <c r="B22" s="9" t="s">
        <v>74</v>
      </c>
      <c r="C22" s="9" t="s">
        <v>45</v>
      </c>
      <c r="D22" s="13" t="str">
        <f t="shared" si="0"/>
        <v>회원-3주</v>
      </c>
      <c r="E22" s="23">
        <v>45797</v>
      </c>
      <c r="F22" s="13">
        <v>22</v>
      </c>
      <c r="G22" s="14" cm="1">
        <f t="array" ref="G22">F22*INDEX($L$4:$L$10,WEEKDAY(E22,2))*(1-INDEX($M$4:$P$10,WEEKDAY(E22,2),MATCH(F22,$M$2:$P$2,1)))</f>
        <v>83600</v>
      </c>
      <c r="H22" s="39" t="str" cm="1">
        <f t="array" ref="H22">fn비고(B22,F22)</f>
        <v>※</v>
      </c>
      <c r="J22" s="23">
        <v>45778</v>
      </c>
      <c r="K22" s="23">
        <v>45786</v>
      </c>
      <c r="L22" s="24" t="str">
        <f t="array" ref="L22:L25">TEXT(FREQUENCY(E3:E32,K22:K25)/COUNT(E3:E32),"0.0%")</f>
        <v>40.0%</v>
      </c>
    </row>
    <row r="23" spans="1:15" x14ac:dyDescent="0.3">
      <c r="A23" s="11" t="s">
        <v>22</v>
      </c>
      <c r="B23" s="9" t="s">
        <v>33</v>
      </c>
      <c r="C23" s="9" t="s">
        <v>123</v>
      </c>
      <c r="D23" s="13" t="str">
        <f t="shared" si="0"/>
        <v>회원-2주</v>
      </c>
      <c r="E23" s="23">
        <v>45789</v>
      </c>
      <c r="F23" s="13">
        <v>31</v>
      </c>
      <c r="G23" s="14" cm="1">
        <f t="array" ref="G23">F23*INDEX($L$4:$L$10,WEEKDAY(E23,2))*(1-INDEX($M$4:$P$10,WEEKDAY(E23,2),MATCH(F23,$M$2:$P$2,1)))</f>
        <v>206150</v>
      </c>
      <c r="H23" s="39" t="str" cm="1">
        <f t="array" ref="H23">fn비고(B23,F23)</f>
        <v>※</v>
      </c>
      <c r="J23" s="23">
        <v>45787</v>
      </c>
      <c r="K23" s="23">
        <v>45793</v>
      </c>
      <c r="L23" s="24" t="str">
        <v>26.7%</v>
      </c>
    </row>
    <row r="24" spans="1:15" x14ac:dyDescent="0.3">
      <c r="A24" s="11" t="s">
        <v>83</v>
      </c>
      <c r="B24" s="9" t="s">
        <v>37</v>
      </c>
      <c r="C24" s="9" t="s">
        <v>46</v>
      </c>
      <c r="D24" s="13" t="str">
        <f t="shared" si="0"/>
        <v>비회원-4주</v>
      </c>
      <c r="E24" s="23">
        <v>45806</v>
      </c>
      <c r="F24" s="13">
        <v>16</v>
      </c>
      <c r="G24" s="14" cm="1">
        <f t="array" ref="G24">F24*INDEX($L$4:$L$10,WEEKDAY(E24,2))*(1-INDEX($M$4:$P$10,WEEKDAY(E24,2),MATCH(F24,$M$2:$P$2,1)))</f>
        <v>78400</v>
      </c>
      <c r="H24" s="39" t="str" cm="1">
        <f t="array" ref="H24">fn비고(B24,F24)</f>
        <v/>
      </c>
      <c r="J24" s="23">
        <v>45794</v>
      </c>
      <c r="K24" s="23">
        <v>45800</v>
      </c>
      <c r="L24" s="24" t="str">
        <v>23.3%</v>
      </c>
    </row>
    <row r="25" spans="1:15" x14ac:dyDescent="0.3">
      <c r="A25" s="11" t="s">
        <v>27</v>
      </c>
      <c r="B25" s="9" t="s">
        <v>69</v>
      </c>
      <c r="C25" s="9" t="s">
        <v>47</v>
      </c>
      <c r="D25" s="13" t="str">
        <f t="shared" si="0"/>
        <v>비회원-2주</v>
      </c>
      <c r="E25" s="23">
        <v>45789</v>
      </c>
      <c r="F25" s="13">
        <v>27</v>
      </c>
      <c r="G25" s="14" cm="1">
        <f t="array" ref="G25">F25*INDEX($L$4:$L$10,WEEKDAY(E25,2))*(1-INDEX($M$4:$P$10,WEEKDAY(E25,2),MATCH(F25,$M$2:$P$2,1)))</f>
        <v>179550</v>
      </c>
      <c r="H25" s="39" t="str" cm="1">
        <f t="array" ref="H25">fn비고(B25,F25)</f>
        <v>※</v>
      </c>
      <c r="J25" s="23">
        <v>45801</v>
      </c>
      <c r="K25" s="23">
        <v>45807</v>
      </c>
      <c r="L25" s="24" t="str">
        <v>10.0%</v>
      </c>
    </row>
    <row r="26" spans="1:15" x14ac:dyDescent="0.3">
      <c r="A26" s="11" t="s">
        <v>22</v>
      </c>
      <c r="B26" s="9" t="s">
        <v>25</v>
      </c>
      <c r="C26" s="9" t="s">
        <v>121</v>
      </c>
      <c r="D26" s="13" t="str">
        <f t="shared" si="0"/>
        <v>회원-4주</v>
      </c>
      <c r="E26" s="23">
        <v>45803</v>
      </c>
      <c r="F26" s="13">
        <v>23</v>
      </c>
      <c r="G26" s="14" cm="1">
        <f t="array" ref="G26">F26*INDEX($L$4:$L$10,WEEKDAY(E26,2))*(1-INDEX($M$4:$P$10,WEEKDAY(E26,2),MATCH(F26,$M$2:$P$2,1)))</f>
        <v>152950</v>
      </c>
      <c r="H26" s="39" t="str" cm="1">
        <f t="array" ref="H26">fn비고(B26,F26)</f>
        <v>※</v>
      </c>
    </row>
    <row r="27" spans="1:15" x14ac:dyDescent="0.3">
      <c r="A27" s="11" t="s">
        <v>27</v>
      </c>
      <c r="B27" s="9" t="s">
        <v>74</v>
      </c>
      <c r="C27" s="9" t="s">
        <v>48</v>
      </c>
      <c r="D27" s="13" t="str">
        <f t="shared" si="0"/>
        <v>비회원-3주</v>
      </c>
      <c r="E27" s="23">
        <v>45800</v>
      </c>
      <c r="F27" s="13">
        <v>16</v>
      </c>
      <c r="G27" s="14" cm="1">
        <f t="array" ref="G27">F27*INDEX($L$4:$L$10,WEEKDAY(E27,2))*(1-INDEX($M$4:$P$10,WEEKDAY(E27,2),MATCH(F27,$M$2:$P$2,1)))</f>
        <v>47040</v>
      </c>
      <c r="H27" s="39" t="str" cm="1">
        <f t="array" ref="H27">fn비고(B27,F27)</f>
        <v/>
      </c>
    </row>
    <row r="28" spans="1:15" x14ac:dyDescent="0.3">
      <c r="A28" s="11" t="s">
        <v>22</v>
      </c>
      <c r="B28" s="9" t="s">
        <v>84</v>
      </c>
      <c r="C28" s="9" t="s">
        <v>119</v>
      </c>
      <c r="D28" s="13" t="str">
        <f t="shared" si="0"/>
        <v>회원-1주</v>
      </c>
      <c r="E28" s="23">
        <v>45786</v>
      </c>
      <c r="F28" s="13">
        <v>29</v>
      </c>
      <c r="G28" s="14" cm="1">
        <f t="array" ref="G28">F28*INDEX($L$4:$L$10,WEEKDAY(E28,2))*(1-INDEX($M$4:$P$10,WEEKDAY(E28,2),MATCH(F28,$M$2:$P$2,1)))</f>
        <v>84390</v>
      </c>
      <c r="H28" s="39" t="str" cm="1">
        <f t="array" ref="H28">fn비고(B28,F28)</f>
        <v>※</v>
      </c>
    </row>
    <row r="29" spans="1:15" x14ac:dyDescent="0.3">
      <c r="A29" s="11" t="s">
        <v>22</v>
      </c>
      <c r="B29" s="9" t="s">
        <v>82</v>
      </c>
      <c r="C29" s="9" t="s">
        <v>117</v>
      </c>
      <c r="D29" s="13" t="str">
        <f t="shared" si="0"/>
        <v>회원-2주</v>
      </c>
      <c r="E29" s="23">
        <v>45790</v>
      </c>
      <c r="F29" s="13">
        <v>28</v>
      </c>
      <c r="G29" s="14" cm="1">
        <f t="array" ref="G29">F29*INDEX($L$4:$L$10,WEEKDAY(E29,2))*(1-INDEX($M$4:$P$10,WEEKDAY(E29,2),MATCH(F29,$M$2:$P$2,1)))</f>
        <v>106400</v>
      </c>
      <c r="H29" s="39" t="str" cm="1">
        <f t="array" ref="H29">fn비고(B29,F29)</f>
        <v>※</v>
      </c>
    </row>
    <row r="30" spans="1:15" x14ac:dyDescent="0.3">
      <c r="A30" s="9" t="s">
        <v>27</v>
      </c>
      <c r="B30" s="9" t="s">
        <v>85</v>
      </c>
      <c r="C30" s="9" t="s">
        <v>49</v>
      </c>
      <c r="D30" s="13" t="str">
        <f t="shared" si="0"/>
        <v>비회원-2주</v>
      </c>
      <c r="E30" s="23">
        <v>45789</v>
      </c>
      <c r="F30" s="13">
        <v>23</v>
      </c>
      <c r="G30" s="14" cm="1">
        <f t="array" ref="G30">F30*INDEX($L$4:$L$10,WEEKDAY(E30,2))*(1-INDEX($M$4:$P$10,WEEKDAY(E30,2),MATCH(F30,$M$2:$P$2,1)))</f>
        <v>152950</v>
      </c>
      <c r="H30" s="39" t="str" cm="1">
        <f t="array" ref="H30">fn비고(B30,F30)</f>
        <v>※</v>
      </c>
    </row>
    <row r="31" spans="1:15" x14ac:dyDescent="0.3">
      <c r="A31" s="9" t="s">
        <v>24</v>
      </c>
      <c r="B31" s="9" t="s">
        <v>78</v>
      </c>
      <c r="C31" s="9" t="s">
        <v>124</v>
      </c>
      <c r="D31" s="13" t="str">
        <f t="shared" si="0"/>
        <v>회원-1주</v>
      </c>
      <c r="E31" s="23">
        <v>45786</v>
      </c>
      <c r="F31" s="13">
        <v>19</v>
      </c>
      <c r="G31" s="14" cm="1">
        <f t="array" ref="G31">F31*INDEX($L$4:$L$10,WEEKDAY(E31,2))*(1-INDEX($M$4:$P$10,WEEKDAY(E31,2),MATCH(F31,$M$2:$P$2,1)))</f>
        <v>55860</v>
      </c>
      <c r="H31" s="39" t="str" cm="1">
        <f t="array" ref="H31">fn비고(B31,F31)</f>
        <v/>
      </c>
    </row>
    <row r="32" spans="1:15" x14ac:dyDescent="0.3">
      <c r="A32" s="9" t="s">
        <v>24</v>
      </c>
      <c r="B32" s="9" t="s">
        <v>74</v>
      </c>
      <c r="C32" s="9" t="s">
        <v>50</v>
      </c>
      <c r="D32" s="13" t="str">
        <f t="shared" si="0"/>
        <v>회원-1주</v>
      </c>
      <c r="E32" s="23">
        <v>45782</v>
      </c>
      <c r="F32" s="13">
        <v>21</v>
      </c>
      <c r="G32" s="14" cm="1">
        <f t="array" ref="G32">F32*INDEX($L$4:$L$10,WEEKDAY(E32,2))*(1-INDEX($M$4:$P$10,WEEKDAY(E32,2),MATCH(F32,$M$2:$P$2,1)))</f>
        <v>139650</v>
      </c>
      <c r="H32" s="39" t="str" cm="1">
        <f t="array" ref="H32">fn비고(B32,F32)</f>
        <v>※</v>
      </c>
    </row>
  </sheetData>
  <mergeCells count="4">
    <mergeCell ref="J2:J3"/>
    <mergeCell ref="K2:K3"/>
    <mergeCell ref="L2:L3"/>
    <mergeCell ref="J21:K2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63F1-99BE-4E03-A3D7-2A30986EC40D}">
  <dimension ref="A1:G3"/>
  <sheetViews>
    <sheetView workbookViewId="0"/>
  </sheetViews>
  <sheetFormatPr defaultRowHeight="16.5" x14ac:dyDescent="0.3"/>
  <cols>
    <col min="2" max="2" width="10.25" customWidth="1"/>
    <col min="5" max="5" width="10.875" customWidth="1"/>
    <col min="6" max="6" width="10.25" customWidth="1"/>
  </cols>
  <sheetData>
    <row r="1" spans="1:7" x14ac:dyDescent="0.3">
      <c r="A1" t="s">
        <v>0</v>
      </c>
      <c r="B1" t="s">
        <v>125</v>
      </c>
      <c r="C1" t="s">
        <v>1</v>
      </c>
      <c r="D1" t="s">
        <v>126</v>
      </c>
      <c r="E1" t="s">
        <v>127</v>
      </c>
      <c r="F1" t="s">
        <v>128</v>
      </c>
      <c r="G1" t="s">
        <v>129</v>
      </c>
    </row>
    <row r="2" spans="1:7" x14ac:dyDescent="0.3">
      <c r="A2" t="s">
        <v>2</v>
      </c>
      <c r="B2" t="s">
        <v>6</v>
      </c>
      <c r="C2" t="s">
        <v>221</v>
      </c>
      <c r="D2" t="s">
        <v>131</v>
      </c>
      <c r="E2" s="34">
        <v>45791</v>
      </c>
      <c r="F2">
        <v>35</v>
      </c>
      <c r="G2">
        <v>339500</v>
      </c>
    </row>
    <row r="3" spans="1:7" x14ac:dyDescent="0.3">
      <c r="A3" t="s">
        <v>2</v>
      </c>
      <c r="B3" t="s">
        <v>6</v>
      </c>
      <c r="C3" t="s">
        <v>106</v>
      </c>
      <c r="D3" t="s">
        <v>134</v>
      </c>
      <c r="E3" s="34">
        <v>45785</v>
      </c>
      <c r="F3">
        <v>12</v>
      </c>
      <c r="G3">
        <v>174600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G11"/>
  <sheetViews>
    <sheetView workbookViewId="0">
      <selection activeCell="F7" sqref="F7"/>
    </sheetView>
  </sheetViews>
  <sheetFormatPr defaultRowHeight="16.5" x14ac:dyDescent="0.3"/>
  <cols>
    <col min="2" max="3" width="11.25" bestFit="1" customWidth="1"/>
    <col min="4" max="7" width="15.25" bestFit="1" customWidth="1"/>
    <col min="8" max="8" width="15.875" bestFit="1" customWidth="1"/>
    <col min="9" max="9" width="20.125" bestFit="1" customWidth="1"/>
  </cols>
  <sheetData>
    <row r="2" spans="2:7" x14ac:dyDescent="0.3">
      <c r="D2" s="31" t="s">
        <v>0</v>
      </c>
      <c r="E2" s="31" t="s">
        <v>217</v>
      </c>
    </row>
    <row r="3" spans="2:7" x14ac:dyDescent="0.3">
      <c r="D3" t="s">
        <v>3</v>
      </c>
      <c r="F3" t="s">
        <v>2</v>
      </c>
    </row>
    <row r="4" spans="2:7" x14ac:dyDescent="0.3">
      <c r="B4" s="31" t="s">
        <v>218</v>
      </c>
      <c r="C4" s="31" t="s">
        <v>125</v>
      </c>
      <c r="D4" t="s">
        <v>220</v>
      </c>
      <c r="E4" t="s">
        <v>219</v>
      </c>
      <c r="F4" t="s">
        <v>220</v>
      </c>
      <c r="G4" t="s">
        <v>219</v>
      </c>
    </row>
    <row r="5" spans="2:7" x14ac:dyDescent="0.3">
      <c r="B5" t="s">
        <v>223</v>
      </c>
      <c r="D5" s="32">
        <v>119363.75</v>
      </c>
      <c r="E5" s="33">
        <v>17.8125</v>
      </c>
      <c r="F5" s="32">
        <v>149138.33333333334</v>
      </c>
      <c r="G5" s="33">
        <v>19.75</v>
      </c>
    </row>
    <row r="6" spans="2:7" x14ac:dyDescent="0.3">
      <c r="C6" t="s">
        <v>81</v>
      </c>
      <c r="D6" s="32">
        <v>134635.38461538462</v>
      </c>
      <c r="E6" s="33">
        <v>18.615384615384617</v>
      </c>
      <c r="F6" s="32">
        <v>127556</v>
      </c>
      <c r="G6" s="33">
        <v>19</v>
      </c>
    </row>
    <row r="7" spans="2:7" x14ac:dyDescent="0.3">
      <c r="C7" t="s">
        <v>6</v>
      </c>
      <c r="D7" s="32">
        <v>53186.666666666664</v>
      </c>
      <c r="E7" s="33">
        <v>14.333333333333334</v>
      </c>
      <c r="F7" s="32">
        <v>257050</v>
      </c>
      <c r="G7" s="33">
        <v>23.5</v>
      </c>
    </row>
    <row r="8" spans="2:7" x14ac:dyDescent="0.3">
      <c r="B8" t="s">
        <v>224</v>
      </c>
      <c r="D8" s="32">
        <v>130924</v>
      </c>
      <c r="E8" s="33">
        <v>17.600000000000001</v>
      </c>
      <c r="F8" s="32">
        <v>92504.666666666672</v>
      </c>
      <c r="G8" s="33">
        <v>18.133333333333333</v>
      </c>
    </row>
    <row r="9" spans="2:7" x14ac:dyDescent="0.3">
      <c r="C9" t="s">
        <v>7</v>
      </c>
      <c r="D9" s="32">
        <v>247350</v>
      </c>
      <c r="E9" s="33">
        <v>21.5</v>
      </c>
      <c r="F9" s="32">
        <v>102090</v>
      </c>
      <c r="G9" s="33">
        <v>21</v>
      </c>
    </row>
    <row r="10" spans="2:7" x14ac:dyDescent="0.3">
      <c r="C10" t="s">
        <v>4</v>
      </c>
      <c r="D10" s="32">
        <v>53306.666666666664</v>
      </c>
      <c r="E10" s="33">
        <v>15</v>
      </c>
      <c r="F10" s="32">
        <v>89019.090909090912</v>
      </c>
      <c r="G10" s="33">
        <v>17.09090909090909</v>
      </c>
    </row>
    <row r="11" spans="2:7" x14ac:dyDescent="0.3">
      <c r="B11" t="s">
        <v>216</v>
      </c>
      <c r="D11" s="32">
        <v>122116.19047619047</v>
      </c>
      <c r="E11" s="33">
        <v>17.761904761904763</v>
      </c>
      <c r="F11" s="32">
        <v>117675.18518518518</v>
      </c>
      <c r="G11" s="33">
        <v>18.851851851851851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 filterMode="1"/>
  <dimension ref="B2:E10"/>
  <sheetViews>
    <sheetView workbookViewId="0">
      <selection activeCell="D3" sqref="D3"/>
    </sheetView>
  </sheetViews>
  <sheetFormatPr defaultRowHeight="16.5" x14ac:dyDescent="0.3"/>
  <cols>
    <col min="4" max="4" width="12.625" bestFit="1" customWidth="1"/>
    <col min="5" max="5" width="20.375" bestFit="1" customWidth="1"/>
  </cols>
  <sheetData>
    <row r="2" spans="2:5" x14ac:dyDescent="0.3">
      <c r="B2" t="s">
        <v>51</v>
      </c>
    </row>
    <row r="3" spans="2:5" x14ac:dyDescent="0.3">
      <c r="B3" s="11" t="s">
        <v>59</v>
      </c>
      <c r="C3" s="9" t="s">
        <v>52</v>
      </c>
      <c r="D3" s="9" t="s">
        <v>53</v>
      </c>
      <c r="E3" s="2" t="s">
        <v>55</v>
      </c>
    </row>
    <row r="4" spans="2:5" x14ac:dyDescent="0.3">
      <c r="B4" s="11" t="s">
        <v>63</v>
      </c>
      <c r="C4" s="9" t="s">
        <v>165</v>
      </c>
      <c r="D4" s="9" t="s">
        <v>160</v>
      </c>
      <c r="E4" s="29" t="s">
        <v>208</v>
      </c>
    </row>
    <row r="5" spans="2:5" x14ac:dyDescent="0.3">
      <c r="B5" s="11" t="s">
        <v>64</v>
      </c>
      <c r="C5" s="9" t="s">
        <v>166</v>
      </c>
      <c r="D5" s="9" t="s">
        <v>161</v>
      </c>
      <c r="E5" s="29" t="s">
        <v>209</v>
      </c>
    </row>
    <row r="6" spans="2:5" x14ac:dyDescent="0.3">
      <c r="B6" s="11" t="s">
        <v>61</v>
      </c>
      <c r="C6" s="9" t="s">
        <v>167</v>
      </c>
      <c r="D6" s="9" t="s">
        <v>162</v>
      </c>
      <c r="E6" s="29" t="s">
        <v>210</v>
      </c>
    </row>
    <row r="7" spans="2:5" hidden="1" x14ac:dyDescent="0.3">
      <c r="B7" s="11" t="s">
        <v>62</v>
      </c>
      <c r="C7" s="9" t="s">
        <v>168</v>
      </c>
      <c r="D7" s="9" t="s">
        <v>164</v>
      </c>
      <c r="E7" s="29" t="s">
        <v>211</v>
      </c>
    </row>
    <row r="8" spans="2:5" x14ac:dyDescent="0.3">
      <c r="B8" s="11" t="s">
        <v>60</v>
      </c>
      <c r="C8" s="9" t="s">
        <v>169</v>
      </c>
      <c r="D8" s="9" t="s">
        <v>54</v>
      </c>
      <c r="E8" s="29" t="s">
        <v>212</v>
      </c>
    </row>
    <row r="9" spans="2:5" x14ac:dyDescent="0.3">
      <c r="B9" s="11" t="s">
        <v>66</v>
      </c>
      <c r="C9" s="9" t="s">
        <v>170</v>
      </c>
      <c r="D9" s="9" t="s">
        <v>163</v>
      </c>
      <c r="E9" s="29" t="s">
        <v>213</v>
      </c>
    </row>
    <row r="10" spans="2:5" hidden="1" x14ac:dyDescent="0.3">
      <c r="B10" s="11" t="s">
        <v>173</v>
      </c>
      <c r="C10" s="11" t="s">
        <v>172</v>
      </c>
      <c r="D10" s="11" t="s">
        <v>171</v>
      </c>
      <c r="E10" s="29" t="s">
        <v>214</v>
      </c>
    </row>
  </sheetData>
  <autoFilter ref="B3:E10" xr:uid="{00000000-0009-0000-0000-000005000000}">
    <filterColumn colId="2">
      <customFilters>
        <customFilter val="031*"/>
      </customFilters>
    </filterColumn>
  </autoFilter>
  <phoneticPr fontId="1" type="noConversion"/>
  <dataValidations count="1">
    <dataValidation type="custom" imeMode="halfAlpha" allowBlank="1" showInputMessage="1" showErrorMessage="1" errorTitle="입력오류" error="입력을 다시 해 주세요." promptTitle="특강신청" prompt="이메일로 신청받습니다." sqref="E4:E10" xr:uid="{00000000-0002-0000-0500-000000000000}">
      <formula1>SEARCH("@",E4)&gt;=2</formula1>
    </dataValidation>
  </dataValidations>
  <hyperlinks>
    <hyperlink ref="E4" r:id="rId1" xr:uid="{00000000-0004-0000-0500-000000000000}"/>
    <hyperlink ref="E5" r:id="rId2" xr:uid="{00000000-0004-0000-0500-000001000000}"/>
    <hyperlink ref="E6" r:id="rId3" xr:uid="{00000000-0004-0000-0500-000002000000}"/>
    <hyperlink ref="E7" r:id="rId4" xr:uid="{00000000-0004-0000-0500-000003000000}"/>
    <hyperlink ref="E8" r:id="rId5" xr:uid="{00000000-0004-0000-0500-000004000000}"/>
    <hyperlink ref="E9" r:id="rId6" xr:uid="{00000000-0004-0000-0500-000005000000}"/>
    <hyperlink ref="E10" r:id="rId7" xr:uid="{00000000-0004-0000-0500-000006000000}"/>
  </hyperlinks>
  <pageMargins left="0.7" right="0.7" top="0.75" bottom="0.75" header="0.3" footer="0.3"/>
  <pageSetup paperSize="9" orientation="portrait"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D8"/>
  <sheetViews>
    <sheetView workbookViewId="0"/>
  </sheetViews>
  <sheetFormatPr defaultRowHeight="16.5" x14ac:dyDescent="0.3"/>
  <sheetData>
    <row r="2" spans="2:4" x14ac:dyDescent="0.3">
      <c r="B2" t="s">
        <v>178</v>
      </c>
    </row>
    <row r="3" spans="2:4" x14ac:dyDescent="0.3">
      <c r="B3" s="28" t="s">
        <v>174</v>
      </c>
      <c r="C3" s="28" t="s">
        <v>175</v>
      </c>
      <c r="D3" s="28" t="s">
        <v>73</v>
      </c>
    </row>
    <row r="4" spans="2:4" x14ac:dyDescent="0.3">
      <c r="B4" s="11" t="s">
        <v>23</v>
      </c>
      <c r="C4" s="14">
        <v>15</v>
      </c>
      <c r="D4" s="14">
        <v>139780</v>
      </c>
    </row>
    <row r="5" spans="2:4" x14ac:dyDescent="0.3">
      <c r="B5" s="11" t="s">
        <v>176</v>
      </c>
      <c r="C5" s="14">
        <v>20</v>
      </c>
      <c r="D5" s="14">
        <v>291500</v>
      </c>
    </row>
    <row r="6" spans="2:4" x14ac:dyDescent="0.3">
      <c r="B6" s="11" t="s">
        <v>177</v>
      </c>
      <c r="C6" s="14">
        <v>45</v>
      </c>
      <c r="D6" s="14">
        <v>325000</v>
      </c>
    </row>
    <row r="7" spans="2:4" x14ac:dyDescent="0.3">
      <c r="B7" s="11" t="s">
        <v>25</v>
      </c>
      <c r="C7" s="14">
        <v>18</v>
      </c>
      <c r="D7" s="14">
        <v>178540</v>
      </c>
    </row>
    <row r="8" spans="2:4" x14ac:dyDescent="0.3">
      <c r="B8" s="11" t="s">
        <v>37</v>
      </c>
      <c r="C8" s="14">
        <v>31</v>
      </c>
      <c r="D8" s="14">
        <v>213700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G24"/>
  <sheetViews>
    <sheetView workbookViewId="0"/>
  </sheetViews>
  <sheetFormatPr defaultRowHeight="16.5" x14ac:dyDescent="0.3"/>
  <cols>
    <col min="5" max="5" width="12.375" bestFit="1" customWidth="1"/>
    <col min="6" max="6" width="10.75" bestFit="1" customWidth="1"/>
  </cols>
  <sheetData>
    <row r="2" spans="2:7" x14ac:dyDescent="0.3">
      <c r="B2" t="s">
        <v>51</v>
      </c>
    </row>
    <row r="3" spans="2:7" x14ac:dyDescent="0.3">
      <c r="B3" s="2" t="s">
        <v>0</v>
      </c>
      <c r="C3" s="2" t="s">
        <v>125</v>
      </c>
      <c r="D3" s="3" t="s">
        <v>1</v>
      </c>
      <c r="E3" s="2" t="s">
        <v>126</v>
      </c>
      <c r="F3" s="2" t="s">
        <v>184</v>
      </c>
      <c r="G3" s="2" t="s">
        <v>128</v>
      </c>
    </row>
    <row r="4" spans="2:7" x14ac:dyDescent="0.3">
      <c r="B4" s="2" t="s">
        <v>3</v>
      </c>
      <c r="C4" s="2" t="s">
        <v>6</v>
      </c>
      <c r="D4" s="2" t="s">
        <v>86</v>
      </c>
      <c r="E4" s="2" t="s">
        <v>130</v>
      </c>
      <c r="F4" s="23">
        <v>45780</v>
      </c>
      <c r="G4" s="35">
        <v>18</v>
      </c>
    </row>
    <row r="5" spans="2:7" x14ac:dyDescent="0.3">
      <c r="B5" s="2" t="s">
        <v>2</v>
      </c>
      <c r="C5" s="2" t="s">
        <v>4</v>
      </c>
      <c r="D5" s="2" t="s">
        <v>88</v>
      </c>
      <c r="E5" s="2" t="s">
        <v>131</v>
      </c>
      <c r="F5" s="23">
        <v>45791</v>
      </c>
      <c r="G5" s="35">
        <v>5</v>
      </c>
    </row>
    <row r="6" spans="2:7" x14ac:dyDescent="0.3">
      <c r="B6" s="2" t="s">
        <v>3</v>
      </c>
      <c r="C6" s="2" t="s">
        <v>81</v>
      </c>
      <c r="D6" s="7" t="s">
        <v>90</v>
      </c>
      <c r="E6" s="2" t="s">
        <v>130</v>
      </c>
      <c r="F6" s="23">
        <v>45782</v>
      </c>
      <c r="G6" s="35">
        <v>22</v>
      </c>
    </row>
    <row r="7" spans="2:7" x14ac:dyDescent="0.3">
      <c r="B7" s="2" t="s">
        <v>3</v>
      </c>
      <c r="C7" s="2" t="s">
        <v>81</v>
      </c>
      <c r="D7" s="2" t="s">
        <v>92</v>
      </c>
      <c r="E7" s="2" t="s">
        <v>132</v>
      </c>
      <c r="F7" s="23">
        <v>45798</v>
      </c>
      <c r="G7" s="35">
        <v>9</v>
      </c>
    </row>
    <row r="8" spans="2:7" x14ac:dyDescent="0.3">
      <c r="B8" s="2" t="s">
        <v>2</v>
      </c>
      <c r="C8" s="2" t="s">
        <v>81</v>
      </c>
      <c r="D8" s="7" t="s">
        <v>94</v>
      </c>
      <c r="E8" s="2" t="s">
        <v>131</v>
      </c>
      <c r="F8" s="23">
        <v>45790</v>
      </c>
      <c r="G8" s="35">
        <v>15</v>
      </c>
    </row>
    <row r="9" spans="2:7" x14ac:dyDescent="0.3">
      <c r="B9" s="2" t="s">
        <v>3</v>
      </c>
      <c r="C9" s="2" t="s">
        <v>81</v>
      </c>
      <c r="D9" s="2" t="s">
        <v>96</v>
      </c>
      <c r="E9" s="2" t="s">
        <v>130</v>
      </c>
      <c r="F9" s="23">
        <v>45782</v>
      </c>
      <c r="G9" s="35">
        <v>1</v>
      </c>
    </row>
    <row r="10" spans="2:7" x14ac:dyDescent="0.3">
      <c r="B10" s="2" t="s">
        <v>2</v>
      </c>
      <c r="C10" s="2" t="s">
        <v>4</v>
      </c>
      <c r="D10" s="2" t="s">
        <v>98</v>
      </c>
      <c r="E10" s="2" t="s">
        <v>133</v>
      </c>
      <c r="F10" s="23">
        <v>45797</v>
      </c>
      <c r="G10" s="35">
        <v>13</v>
      </c>
    </row>
    <row r="11" spans="2:7" x14ac:dyDescent="0.3">
      <c r="B11" s="2" t="s">
        <v>2</v>
      </c>
      <c r="C11" s="2" t="s">
        <v>7</v>
      </c>
      <c r="D11" s="2" t="s">
        <v>14</v>
      </c>
      <c r="E11" s="2" t="s">
        <v>133</v>
      </c>
      <c r="F11" s="23">
        <v>45799</v>
      </c>
      <c r="G11" s="35">
        <v>10</v>
      </c>
    </row>
    <row r="12" spans="2:7" x14ac:dyDescent="0.3">
      <c r="B12" s="2" t="s">
        <v>2</v>
      </c>
      <c r="C12" s="2" t="s">
        <v>4</v>
      </c>
      <c r="D12" s="2" t="s">
        <v>108</v>
      </c>
      <c r="E12" s="2" t="s">
        <v>134</v>
      </c>
      <c r="F12" s="23">
        <v>45783</v>
      </c>
      <c r="G12" s="35">
        <v>3</v>
      </c>
    </row>
    <row r="13" spans="2:7" x14ac:dyDescent="0.3">
      <c r="B13" s="2" t="s">
        <v>2</v>
      </c>
      <c r="C13" s="2" t="s">
        <v>81</v>
      </c>
      <c r="D13" s="7" t="s">
        <v>100</v>
      </c>
      <c r="E13" s="2" t="s">
        <v>134</v>
      </c>
      <c r="F13" s="23">
        <v>45785</v>
      </c>
      <c r="G13" s="35">
        <v>10</v>
      </c>
    </row>
    <row r="14" spans="2:7" x14ac:dyDescent="0.3">
      <c r="B14" s="2" t="s">
        <v>2</v>
      </c>
      <c r="C14" s="2" t="s">
        <v>4</v>
      </c>
      <c r="D14" s="2" t="s">
        <v>9</v>
      </c>
      <c r="E14" s="2" t="s">
        <v>134</v>
      </c>
      <c r="F14" s="23">
        <v>45783</v>
      </c>
      <c r="G14" s="35">
        <v>8</v>
      </c>
    </row>
    <row r="15" spans="2:7" x14ac:dyDescent="0.3">
      <c r="B15" s="2" t="s">
        <v>3</v>
      </c>
      <c r="C15" s="2" t="s">
        <v>81</v>
      </c>
      <c r="D15" s="2" t="s">
        <v>102</v>
      </c>
      <c r="E15" s="2" t="s">
        <v>135</v>
      </c>
      <c r="F15" s="23">
        <v>45792</v>
      </c>
      <c r="G15" s="35">
        <v>9</v>
      </c>
    </row>
    <row r="16" spans="2:7" x14ac:dyDescent="0.3">
      <c r="B16" s="2" t="s">
        <v>2</v>
      </c>
      <c r="C16" s="2" t="s">
        <v>4</v>
      </c>
      <c r="D16" s="2" t="s">
        <v>104</v>
      </c>
      <c r="E16" s="2" t="s">
        <v>133</v>
      </c>
      <c r="F16" s="23">
        <v>45793</v>
      </c>
      <c r="G16" s="35">
        <v>25</v>
      </c>
    </row>
    <row r="17" spans="2:7" x14ac:dyDescent="0.3">
      <c r="B17" s="2" t="s">
        <v>2</v>
      </c>
      <c r="C17" s="2" t="s">
        <v>6</v>
      </c>
      <c r="D17" s="7" t="s">
        <v>106</v>
      </c>
      <c r="E17" s="2" t="s">
        <v>134</v>
      </c>
      <c r="F17" s="23">
        <v>45785</v>
      </c>
      <c r="G17" s="35">
        <v>4</v>
      </c>
    </row>
    <row r="18" spans="2:7" x14ac:dyDescent="0.3">
      <c r="B18" s="2" t="s">
        <v>3</v>
      </c>
      <c r="C18" s="2" t="s">
        <v>81</v>
      </c>
      <c r="D18" s="7" t="s">
        <v>110</v>
      </c>
      <c r="E18" s="2" t="s">
        <v>135</v>
      </c>
      <c r="F18" s="23">
        <v>45787</v>
      </c>
      <c r="G18" s="35">
        <v>17</v>
      </c>
    </row>
    <row r="19" spans="2:7" x14ac:dyDescent="0.3">
      <c r="B19" s="2" t="s">
        <v>2</v>
      </c>
      <c r="C19" s="2" t="s">
        <v>81</v>
      </c>
      <c r="D19" s="7" t="s">
        <v>11</v>
      </c>
      <c r="E19" s="2" t="s">
        <v>136</v>
      </c>
      <c r="F19" s="23">
        <v>45800</v>
      </c>
      <c r="G19" s="35">
        <v>23</v>
      </c>
    </row>
    <row r="20" spans="2:7" x14ac:dyDescent="0.3">
      <c r="B20" s="2" t="s">
        <v>2</v>
      </c>
      <c r="C20" s="2" t="s">
        <v>4</v>
      </c>
      <c r="D20" s="2" t="s">
        <v>112</v>
      </c>
      <c r="E20" s="2" t="s">
        <v>136</v>
      </c>
      <c r="F20" s="23">
        <v>45800</v>
      </c>
      <c r="G20" s="35">
        <v>13</v>
      </c>
    </row>
    <row r="21" spans="2:7" x14ac:dyDescent="0.3">
      <c r="B21" s="2" t="s">
        <v>3</v>
      </c>
      <c r="C21" s="2" t="s">
        <v>4</v>
      </c>
      <c r="D21" s="7" t="s">
        <v>114</v>
      </c>
      <c r="E21" s="2" t="s">
        <v>137</v>
      </c>
      <c r="F21" s="23">
        <v>45804</v>
      </c>
      <c r="G21" s="35">
        <v>14</v>
      </c>
    </row>
    <row r="22" spans="2:7" x14ac:dyDescent="0.3">
      <c r="B22" s="2" t="s">
        <v>2</v>
      </c>
      <c r="C22" s="2" t="s">
        <v>4</v>
      </c>
      <c r="D22" s="2" t="s">
        <v>5</v>
      </c>
      <c r="E22" s="2" t="s">
        <v>134</v>
      </c>
      <c r="F22" s="23">
        <v>45784</v>
      </c>
      <c r="G22" s="35">
        <v>7</v>
      </c>
    </row>
    <row r="23" spans="2:7" x14ac:dyDescent="0.3">
      <c r="B23" s="2" t="s">
        <v>2</v>
      </c>
      <c r="C23" s="2" t="s">
        <v>81</v>
      </c>
      <c r="D23" s="2" t="s">
        <v>12</v>
      </c>
      <c r="E23" s="2" t="s">
        <v>133</v>
      </c>
      <c r="F23" s="23">
        <v>45797</v>
      </c>
      <c r="G23" s="35">
        <v>2</v>
      </c>
    </row>
    <row r="24" spans="2:7" x14ac:dyDescent="0.3">
      <c r="B24" s="2" t="s">
        <v>2</v>
      </c>
      <c r="C24" s="2" t="s">
        <v>81</v>
      </c>
      <c r="D24" s="2" t="s">
        <v>122</v>
      </c>
      <c r="E24" s="2" t="s">
        <v>131</v>
      </c>
      <c r="F24" s="23">
        <v>45789</v>
      </c>
      <c r="G24" s="35">
        <v>31</v>
      </c>
    </row>
  </sheetData>
  <phoneticPr fontId="1" type="noConversion"/>
  <conditionalFormatting sqref="F4:F24">
    <cfRule type="expression" dxfId="0" priority="1">
      <formula>WEKDAY($F4,2)&gt;=6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수업장소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진행여부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2:I21"/>
  <sheetViews>
    <sheetView workbookViewId="0"/>
  </sheetViews>
  <sheetFormatPr defaultRowHeight="16.5" x14ac:dyDescent="0.3"/>
  <cols>
    <col min="4" max="4" width="12.125" customWidth="1"/>
    <col min="5" max="5" width="12.125" style="37" customWidth="1"/>
    <col min="6" max="6" width="12.625" customWidth="1"/>
    <col min="7" max="7" width="2.625" customWidth="1"/>
  </cols>
  <sheetData>
    <row r="2" spans="1:9" x14ac:dyDescent="0.3">
      <c r="A2" t="s">
        <v>15</v>
      </c>
      <c r="H2" s="1"/>
    </row>
    <row r="3" spans="1:9" x14ac:dyDescent="0.3">
      <c r="A3" s="9" t="s">
        <v>181</v>
      </c>
      <c r="B3" s="9" t="s">
        <v>56</v>
      </c>
      <c r="C3" s="9" t="s">
        <v>174</v>
      </c>
      <c r="D3" s="9" t="s">
        <v>179</v>
      </c>
      <c r="E3" s="36" t="s">
        <v>222</v>
      </c>
      <c r="F3" s="9" t="s">
        <v>57</v>
      </c>
      <c r="H3" s="36" t="s">
        <v>174</v>
      </c>
      <c r="I3" s="36" t="s">
        <v>222</v>
      </c>
    </row>
    <row r="4" spans="1:9" x14ac:dyDescent="0.3">
      <c r="A4" s="41" t="s">
        <v>180</v>
      </c>
      <c r="B4" s="41" t="s">
        <v>2</v>
      </c>
      <c r="C4" s="41" t="s">
        <v>7</v>
      </c>
      <c r="D4" s="40">
        <v>45691</v>
      </c>
      <c r="E4" s="41">
        <v>10</v>
      </c>
      <c r="F4" s="41">
        <v>5</v>
      </c>
      <c r="H4" s="36" t="s">
        <v>37</v>
      </c>
      <c r="I4" s="36">
        <v>10</v>
      </c>
    </row>
    <row r="5" spans="1:9" x14ac:dyDescent="0.3">
      <c r="A5" s="13"/>
      <c r="B5" s="13"/>
      <c r="C5" s="13"/>
      <c r="D5" s="25"/>
      <c r="E5" s="38"/>
      <c r="F5" s="13"/>
      <c r="H5" s="36" t="s">
        <v>25</v>
      </c>
      <c r="I5" s="36">
        <v>15</v>
      </c>
    </row>
    <row r="6" spans="1:9" x14ac:dyDescent="0.3">
      <c r="A6" s="13"/>
      <c r="B6" s="13"/>
      <c r="C6" s="13"/>
      <c r="D6" s="25"/>
      <c r="E6" s="38"/>
      <c r="F6" s="13"/>
      <c r="H6" s="36" t="s">
        <v>182</v>
      </c>
      <c r="I6" s="36">
        <v>20</v>
      </c>
    </row>
    <row r="7" spans="1:9" x14ac:dyDescent="0.3">
      <c r="A7" s="13"/>
      <c r="B7" s="13"/>
      <c r="C7" s="13"/>
      <c r="D7" s="13"/>
      <c r="E7" s="38"/>
      <c r="F7" s="13"/>
      <c r="H7" s="36" t="s">
        <v>183</v>
      </c>
      <c r="I7" s="36">
        <v>10</v>
      </c>
    </row>
    <row r="8" spans="1:9" x14ac:dyDescent="0.3">
      <c r="A8" s="13"/>
      <c r="B8" s="13"/>
      <c r="C8" s="13"/>
      <c r="D8" s="13"/>
      <c r="E8" s="38"/>
      <c r="F8" s="13"/>
    </row>
    <row r="9" spans="1:9" x14ac:dyDescent="0.3">
      <c r="A9" s="13"/>
      <c r="B9" s="13"/>
      <c r="C9" s="13"/>
      <c r="D9" s="13"/>
      <c r="E9" s="38"/>
      <c r="F9" s="13"/>
    </row>
    <row r="10" spans="1:9" x14ac:dyDescent="0.3">
      <c r="A10" s="13"/>
      <c r="B10" s="13"/>
      <c r="C10" s="13"/>
      <c r="D10" s="13"/>
      <c r="E10" s="38"/>
      <c r="F10" s="13"/>
    </row>
    <row r="11" spans="1:9" x14ac:dyDescent="0.3">
      <c r="A11" s="13"/>
      <c r="B11" s="13"/>
      <c r="C11" s="13"/>
      <c r="D11" s="13"/>
      <c r="E11" s="38"/>
      <c r="F11" s="13"/>
    </row>
    <row r="12" spans="1:9" x14ac:dyDescent="0.3">
      <c r="A12" s="13"/>
      <c r="B12" s="13"/>
      <c r="C12" s="13"/>
      <c r="D12" s="13"/>
      <c r="E12" s="38"/>
      <c r="F12" s="13"/>
    </row>
    <row r="13" spans="1:9" x14ac:dyDescent="0.3">
      <c r="A13" s="13"/>
      <c r="B13" s="13"/>
      <c r="C13" s="13"/>
      <c r="D13" s="13"/>
      <c r="E13" s="38"/>
      <c r="F13" s="13"/>
    </row>
    <row r="14" spans="1:9" x14ac:dyDescent="0.3">
      <c r="A14" s="13"/>
      <c r="B14" s="13"/>
      <c r="C14" s="13"/>
      <c r="D14" s="13"/>
      <c r="E14" s="38"/>
      <c r="F14" s="13"/>
    </row>
    <row r="15" spans="1:9" x14ac:dyDescent="0.3">
      <c r="A15" s="13"/>
      <c r="B15" s="13"/>
      <c r="C15" s="13"/>
      <c r="D15" s="13"/>
      <c r="E15" s="38"/>
      <c r="F15" s="13"/>
    </row>
    <row r="16" spans="1:9" x14ac:dyDescent="0.3">
      <c r="A16" s="13"/>
      <c r="B16" s="13"/>
      <c r="C16" s="13"/>
      <c r="D16" s="13"/>
      <c r="E16" s="38"/>
      <c r="F16" s="13"/>
    </row>
    <row r="17" spans="1:6" x14ac:dyDescent="0.3">
      <c r="A17" s="13"/>
      <c r="B17" s="13"/>
      <c r="C17" s="13"/>
      <c r="D17" s="13"/>
      <c r="E17" s="38"/>
      <c r="F17" s="13"/>
    </row>
    <row r="18" spans="1:6" x14ac:dyDescent="0.3">
      <c r="A18" s="13"/>
      <c r="B18" s="13"/>
      <c r="C18" s="13"/>
      <c r="D18" s="13"/>
      <c r="E18" s="38"/>
      <c r="F18" s="13"/>
    </row>
    <row r="19" spans="1:6" x14ac:dyDescent="0.3">
      <c r="A19" s="13"/>
      <c r="B19" s="13"/>
      <c r="C19" s="13"/>
      <c r="D19" s="13"/>
      <c r="E19" s="38"/>
      <c r="F19" s="13"/>
    </row>
    <row r="20" spans="1:6" x14ac:dyDescent="0.3">
      <c r="A20" s="13"/>
      <c r="B20" s="13"/>
      <c r="C20" s="13"/>
      <c r="D20" s="13"/>
      <c r="E20" s="38"/>
      <c r="F20" s="13"/>
    </row>
    <row r="21" spans="1:6" x14ac:dyDescent="0.3">
      <c r="A21" s="13"/>
      <c r="B21" s="13"/>
      <c r="C21" s="13"/>
      <c r="D21" s="13"/>
      <c r="E21" s="38"/>
      <c r="F21" s="1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신청">
          <controlPr defaultSize="0" autoLine="0" r:id="rId4">
            <anchor moveWithCells="1">
              <from>
                <xdr:col>5</xdr:col>
                <xdr:colOff>57150</xdr:colOff>
                <xdr:row>0</xdr:row>
                <xdr:rowOff>66675</xdr:rowOff>
              </from>
              <to>
                <xdr:col>5</xdr:col>
                <xdr:colOff>885825</xdr:colOff>
                <xdr:row>1</xdr:row>
                <xdr:rowOff>161925</xdr:rowOff>
              </to>
            </anchor>
          </controlPr>
        </control>
      </mc:Choice>
      <mc:Fallback>
        <control shapeId="1025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계산작업</vt:lpstr>
      <vt:lpstr>회원어르신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2024-06-14T11:07:29Z</cp:lastPrinted>
  <dcterms:created xsi:type="dcterms:W3CDTF">2021-03-11T05:14:31Z</dcterms:created>
  <dcterms:modified xsi:type="dcterms:W3CDTF">2024-06-14T11:09:25Z</dcterms:modified>
</cp:coreProperties>
</file>