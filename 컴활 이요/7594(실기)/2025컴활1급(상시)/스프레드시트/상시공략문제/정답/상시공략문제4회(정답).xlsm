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정답\"/>
    </mc:Choice>
  </mc:AlternateContent>
  <xr:revisionPtr revIDLastSave="0" documentId="13_ncr:1_{2E05347A-9508-4EC6-8195-71554FE1A4BA}" xr6:coauthVersionLast="47" xr6:coauthVersionMax="47" xr10:uidLastSave="{00000000-0000-0000-0000-000000000000}"/>
  <bookViews>
    <workbookView xWindow="18030" yWindow="540" windowWidth="20115" windowHeight="14355" tabRatio="781" xr2:uid="{00000000-000D-0000-FFFF-FFFF00000000}"/>
  </bookViews>
  <sheets>
    <sheet name="기본작업-1" sheetId="8" r:id="rId1"/>
    <sheet name="기본작업-2" sheetId="2" r:id="rId2"/>
    <sheet name="계산작업" sheetId="14" r:id="rId3"/>
    <sheet name="분석작업-1" sheetId="4" r:id="rId4"/>
    <sheet name="시나리오 요약" sheetId="13" r:id="rId5"/>
    <sheet name="분석작업-2" sheetId="11" r:id="rId6"/>
    <sheet name="기타작업-1" sheetId="12" r:id="rId7"/>
    <sheet name="기타작업-2" sheetId="7" r:id="rId8"/>
    <sheet name="기타작업-3" sheetId="1" r:id="rId9"/>
  </sheets>
  <functionGroups builtInGroupCount="19"/>
  <definedNames>
    <definedName name="_xlnm._FilterDatabase" localSheetId="0" hidden="1">'기본작업-1'!$A$2:$H$17</definedName>
    <definedName name="_xlnm.Criteria" localSheetId="0">'기본작업-1'!$A$19:$A$20</definedName>
    <definedName name="_xlnm.Extract" localSheetId="0">'기본작업-1'!$A$23</definedName>
    <definedName name="_xlnm.Print_Area" localSheetId="1">'기본작업-2'!$A$2:$H$17,'기본작업-2'!$A$19:$H$32</definedName>
    <definedName name="할인금액합계">'분석작업-2'!$G$19</definedName>
    <definedName name="할인율">'분석작업-2'!$B$21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14" l="1" a="1"/>
  <c r="J17" i="14" s="1"/>
  <c r="K17" i="14" a="1"/>
  <c r="K17" i="14" s="1"/>
  <c r="J18" i="14" a="1"/>
  <c r="J18" i="14" s="1"/>
  <c r="K18" i="14" a="1"/>
  <c r="K18" i="14" s="1"/>
  <c r="J19" i="14" a="1"/>
  <c r="J19" i="14"/>
  <c r="K19" i="14" a="1"/>
  <c r="K19" i="14" s="1"/>
  <c r="I18" i="14" a="1"/>
  <c r="I18" i="14" s="1"/>
  <c r="I19" i="14" a="1"/>
  <c r="I19" i="14"/>
  <c r="I17" i="14" a="1"/>
  <c r="I17" i="14" s="1"/>
  <c r="F4" i="14" l="1" a="1"/>
  <c r="F4" i="14" s="1"/>
  <c r="F5" i="14" a="1"/>
  <c r="F5" i="14" s="1"/>
  <c r="F6" i="14" a="1"/>
  <c r="F6" i="14"/>
  <c r="F7" i="14" a="1"/>
  <c r="F7" i="14" s="1"/>
  <c r="F8" i="14" a="1"/>
  <c r="F8" i="14" s="1"/>
  <c r="F9" i="14" a="1"/>
  <c r="F9" i="14" s="1"/>
  <c r="F10" i="14" a="1"/>
  <c r="F10" i="14" s="1"/>
  <c r="F11" i="14" a="1"/>
  <c r="F11" i="14" s="1"/>
  <c r="F12" i="14" a="1"/>
  <c r="F12" i="14" s="1"/>
  <c r="F3" i="14" a="1"/>
  <c r="F3" i="14" s="1"/>
  <c r="J9" i="14" a="1"/>
  <c r="J9" i="14" s="1"/>
  <c r="F18" i="14" a="1"/>
  <c r="F19" i="14" a="1"/>
  <c r="F20" i="14" a="1"/>
  <c r="F21" i="14" a="1"/>
  <c r="F22" i="14" a="1"/>
  <c r="F23" i="14" a="1"/>
  <c r="F24" i="14" a="1"/>
  <c r="F25" i="14" a="1"/>
  <c r="F26" i="14" a="1"/>
  <c r="F17" i="14" a="1"/>
  <c r="F27" i="14" a="1"/>
  <c r="F16" i="14" a="1"/>
  <c r="F27" i="14" l="1"/>
  <c r="F17" i="14"/>
  <c r="F26" i="14"/>
  <c r="F25" i="14"/>
  <c r="F24" i="14"/>
  <c r="F23" i="14"/>
  <c r="F22" i="14"/>
  <c r="F21" i="14"/>
  <c r="F20" i="14"/>
  <c r="F19" i="14"/>
  <c r="F18" i="14"/>
  <c r="F16" i="14"/>
  <c r="E4" i="14"/>
  <c r="E5" i="14"/>
  <c r="E6" i="14"/>
  <c r="E7" i="14"/>
  <c r="E8" i="14"/>
  <c r="E9" i="14"/>
  <c r="E10" i="14"/>
  <c r="E11" i="14"/>
  <c r="E12" i="14"/>
  <c r="E3" i="14"/>
  <c r="G21" i="2" l="1"/>
  <c r="G22" i="2"/>
  <c r="G23" i="2"/>
  <c r="G24" i="2"/>
  <c r="G25" i="2"/>
  <c r="G26" i="2"/>
  <c r="G27" i="2"/>
  <c r="G28" i="2"/>
  <c r="G29" i="2"/>
  <c r="G30" i="2"/>
  <c r="G31" i="2"/>
  <c r="G32" i="2"/>
  <c r="G20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G6" i="11" l="1"/>
  <c r="G4" i="11"/>
  <c r="G8" i="11"/>
  <c r="G12" i="11"/>
  <c r="G9" i="11"/>
  <c r="G14" i="11"/>
  <c r="G17" i="11"/>
  <c r="G5" i="11"/>
  <c r="G15" i="11"/>
  <c r="G16" i="11"/>
  <c r="G11" i="11"/>
  <c r="G7" i="11"/>
  <c r="G13" i="11"/>
  <c r="G10" i="11"/>
  <c r="G3" i="11"/>
  <c r="G18" i="11"/>
  <c r="G19" i="11" l="1"/>
  <c r="A20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2년)\기출예상문제집\1급\엑셀\예상1회\판매.accdb;DefaultDir=E:\영진(2022년)\기출예상문제집\1급\엑셀\예상1회;DriverId=25;FIL=MS Access;MaxBufferSize=2048;PageTimeout=5;" command="SELECT 국산제품.구분, 국산제품.브랜드명, 국산제품.제조일, 국산제품.판매가, 국산제품.판매량_x000d__x000a_FROM `E:\영진(2022년)\기출예상문제집\1급\엑셀\예상1회\판매.accdb`.국산제품 국산제품"/>
  </connection>
  <connection id="2" xr16:uid="{00000000-0015-0000-FFFF-FFFF01000000}" name="MS Access Database_Query1" type="1" refreshedVersion="6">
    <dbPr connection="DSN=MS Access Database;DBQ=E:\영진(2022년)\기출예상문제집\1급\엑셀\예상1회\판매.accdb;DefaultDir=E:\영진(2022년)\기출예상문제집\1급\엑셀\예상1회;DriverId=25;FIL=MS Access;MaxBufferSize=2048;PageTimeout=5;" command="SELECT 국산제품.구분, 국산제품.브랜드명, 국산제품.제조일, 국산제품.판매가, 국산제품.판매량_x000d__x000a_FROM `E:\영진(2022년)\기출예상문제집\1급\엑셀\예상1회\판매.accdb`.국산제품 국산제품"/>
  </connection>
  <connection id="3" xr16:uid="{414FDBCD-EE8A-424A-AD14-7A6F3D71F599}" name="MS Access Database_Query2" type="1" refreshedVersion="7" background="1">
    <dbPr connection="DSN=MS Access Database;DBQ=E:\영진(2024년)\1급\상시공략집\2024컴활1급(상시)\스프레드시트\상시공략문제\판매.accdb;DefaultDir=E:\영진(2024년)\1급\상시공략집\2024컴활1급(상시)\스프레드시트\상시공략문제;DriverId=25;FIL=MS Access;MaxBufferSize=2048;PageTimeout=5;" command="SELECT 국산제품.구분, 국산제품.브랜드명, 국산제품.제조일, 국산제품.판매가, 국산제품.판매량_x000d__x000a_FROM 국산제품 국산제품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<sst xmlns="http://schemas.openxmlformats.org/spreadsheetml/2006/main" count="570" uniqueCount="265">
  <si>
    <t>이름</t>
    <phoneticPr fontId="1" type="noConversion"/>
  </si>
  <si>
    <t>전화</t>
    <phoneticPr fontId="1" type="noConversion"/>
  </si>
  <si>
    <t>종류</t>
    <phoneticPr fontId="1" type="noConversion"/>
  </si>
  <si>
    <t>번호</t>
    <phoneticPr fontId="1" type="noConversion"/>
  </si>
  <si>
    <t>관계</t>
    <phoneticPr fontId="1" type="noConversion"/>
  </si>
  <si>
    <t>나이</t>
    <phoneticPr fontId="1" type="noConversion"/>
  </si>
  <si>
    <t>집</t>
    <phoneticPr fontId="1" type="noConversion"/>
  </si>
  <si>
    <t>사무실</t>
    <phoneticPr fontId="1" type="noConversion"/>
  </si>
  <si>
    <t>휴대폰</t>
    <phoneticPr fontId="1" type="noConversion"/>
  </si>
  <si>
    <t>종류</t>
    <phoneticPr fontId="1" type="noConversion"/>
  </si>
  <si>
    <t>이름</t>
  </si>
  <si>
    <t>구분</t>
  </si>
  <si>
    <t>[표1]</t>
    <phoneticPr fontId="1" type="noConversion"/>
  </si>
  <si>
    <t>관리코드</t>
    <phoneticPr fontId="1" type="noConversion"/>
  </si>
  <si>
    <t>어린이집명</t>
    <phoneticPr fontId="1" type="noConversion"/>
  </si>
  <si>
    <t>지역</t>
    <phoneticPr fontId="1" type="noConversion"/>
  </si>
  <si>
    <t>분류</t>
    <phoneticPr fontId="1" type="noConversion"/>
  </si>
  <si>
    <t>등록일</t>
    <phoneticPr fontId="1" type="noConversion"/>
  </si>
  <si>
    <t>등록률(%)</t>
    <phoneticPr fontId="1" type="noConversion"/>
  </si>
  <si>
    <t>정원</t>
    <phoneticPr fontId="1" type="noConversion"/>
  </si>
  <si>
    <t>현원</t>
    <phoneticPr fontId="1" type="noConversion"/>
  </si>
  <si>
    <t>SA1003</t>
    <phoneticPr fontId="1" type="noConversion"/>
  </si>
  <si>
    <t>경희궁초록</t>
    <phoneticPr fontId="1" type="noConversion"/>
  </si>
  <si>
    <t>서울</t>
    <phoneticPr fontId="1" type="noConversion"/>
  </si>
  <si>
    <t>국공립</t>
    <phoneticPr fontId="1" type="noConversion"/>
  </si>
  <si>
    <t>BB9002</t>
    <phoneticPr fontId="1" type="noConversion"/>
  </si>
  <si>
    <t>EQ랜드</t>
    <phoneticPr fontId="1" type="noConversion"/>
  </si>
  <si>
    <t>부산</t>
  </si>
  <si>
    <t>가정</t>
    <phoneticPr fontId="1" type="noConversion"/>
  </si>
  <si>
    <t>DN6007</t>
    <phoneticPr fontId="1" type="noConversion"/>
  </si>
  <si>
    <t>구립마더베어</t>
    <phoneticPr fontId="1" type="noConversion"/>
  </si>
  <si>
    <t>대구</t>
    <phoneticPr fontId="1" type="noConversion"/>
  </si>
  <si>
    <t>GA3014</t>
    <phoneticPr fontId="1" type="noConversion"/>
  </si>
  <si>
    <t>꼬마숲</t>
    <phoneticPr fontId="1" type="noConversion"/>
  </si>
  <si>
    <t>강원</t>
    <phoneticPr fontId="1" type="noConversion"/>
  </si>
  <si>
    <t>민간</t>
    <phoneticPr fontId="1" type="noConversion"/>
  </si>
  <si>
    <t>GB6015</t>
    <phoneticPr fontId="1" type="noConversion"/>
  </si>
  <si>
    <t>라온</t>
    <phoneticPr fontId="1" type="noConversion"/>
  </si>
  <si>
    <t>SA6036</t>
    <phoneticPr fontId="1" type="noConversion"/>
  </si>
  <si>
    <t>밝은</t>
    <phoneticPr fontId="1" type="noConversion"/>
  </si>
  <si>
    <t>DD4023</t>
    <phoneticPr fontId="1" type="noConversion"/>
  </si>
  <si>
    <t>샛별어린이집</t>
    <phoneticPr fontId="1" type="noConversion"/>
  </si>
  <si>
    <t>SN8163</t>
    <phoneticPr fontId="1" type="noConversion"/>
  </si>
  <si>
    <t>어린이집</t>
    <phoneticPr fontId="1" type="noConversion"/>
  </si>
  <si>
    <t>SA2005</t>
    <phoneticPr fontId="1" type="noConversion"/>
  </si>
  <si>
    <t>사랑빛</t>
    <phoneticPr fontId="1" type="noConversion"/>
  </si>
  <si>
    <t>DD3012</t>
    <phoneticPr fontId="1" type="noConversion"/>
  </si>
  <si>
    <t>하늘숲</t>
    <phoneticPr fontId="1" type="noConversion"/>
  </si>
  <si>
    <t>BS2052</t>
    <phoneticPr fontId="1" type="noConversion"/>
  </si>
  <si>
    <t>단비</t>
    <phoneticPr fontId="1" type="noConversion"/>
  </si>
  <si>
    <t>부산</t>
    <phoneticPr fontId="1" type="noConversion"/>
  </si>
  <si>
    <t>GC2061</t>
    <phoneticPr fontId="1" type="noConversion"/>
  </si>
  <si>
    <t>꿈이 자라는</t>
    <phoneticPr fontId="1" type="noConversion"/>
  </si>
  <si>
    <t>SB2096</t>
    <phoneticPr fontId="1" type="noConversion"/>
  </si>
  <si>
    <t>햇살 가득</t>
    <phoneticPr fontId="1" type="noConversion"/>
  </si>
  <si>
    <t>SA2985</t>
    <phoneticPr fontId="1" type="noConversion"/>
  </si>
  <si>
    <t>아이잼</t>
    <phoneticPr fontId="1" type="noConversion"/>
  </si>
  <si>
    <t>BT1057</t>
    <phoneticPr fontId="1" type="noConversion"/>
  </si>
  <si>
    <t>풀잎</t>
    <phoneticPr fontId="1" type="noConversion"/>
  </si>
  <si>
    <t>조건</t>
    <phoneticPr fontId="1" type="noConversion"/>
  </si>
  <si>
    <t>브랜드명</t>
  </si>
  <si>
    <t>(모두)</t>
  </si>
  <si>
    <t>기능성</t>
  </si>
  <si>
    <t>농축액</t>
  </si>
  <si>
    <t>총합계</t>
  </si>
  <si>
    <t>합계 : 판매가</t>
  </si>
  <si>
    <t>값</t>
  </si>
  <si>
    <t>제조일</t>
  </si>
  <si>
    <t>합계 : 판매금액</t>
  </si>
  <si>
    <t>*</t>
  </si>
  <si>
    <t>상품번호</t>
    <phoneticPr fontId="1" type="noConversion"/>
  </si>
  <si>
    <t>여행지</t>
    <phoneticPr fontId="1" type="noConversion"/>
  </si>
  <si>
    <t>항공편</t>
    <phoneticPr fontId="1" type="noConversion"/>
  </si>
  <si>
    <t>여행기간</t>
    <phoneticPr fontId="1" type="noConversion"/>
  </si>
  <si>
    <t>ARP-101</t>
  </si>
  <si>
    <t>앙코르왓</t>
    <phoneticPr fontId="1" type="noConversion"/>
  </si>
  <si>
    <t>5일</t>
    <phoneticPr fontId="1" type="noConversion"/>
  </si>
  <si>
    <t>KJS-201</t>
  </si>
  <si>
    <t>제주도</t>
    <phoneticPr fontId="1" type="noConversion"/>
  </si>
  <si>
    <t>대한항공</t>
    <phoneticPr fontId="1" type="noConversion"/>
  </si>
  <si>
    <t>3일</t>
    <phoneticPr fontId="1" type="noConversion"/>
  </si>
  <si>
    <t>EAQ-301</t>
  </si>
  <si>
    <t>미국동부</t>
    <phoneticPr fontId="1" type="noConversion"/>
  </si>
  <si>
    <t>10일</t>
    <phoneticPr fontId="1" type="noConversion"/>
  </si>
  <si>
    <t>OSI-202</t>
  </si>
  <si>
    <t>호주</t>
    <phoneticPr fontId="1" type="noConversion"/>
  </si>
  <si>
    <t>대한항공</t>
    <phoneticPr fontId="1" type="noConversion"/>
  </si>
  <si>
    <t>7일</t>
    <phoneticPr fontId="1" type="noConversion"/>
  </si>
  <si>
    <t>AJO-103</t>
  </si>
  <si>
    <t>일본 오사카</t>
    <phoneticPr fontId="1" type="noConversion"/>
  </si>
  <si>
    <t>진에어</t>
    <phoneticPr fontId="1" type="noConversion"/>
  </si>
  <si>
    <t>4일</t>
    <phoneticPr fontId="1" type="noConversion"/>
  </si>
  <si>
    <t>HKM-205</t>
  </si>
  <si>
    <t>홍콩/마카오</t>
    <phoneticPr fontId="1" type="noConversion"/>
  </si>
  <si>
    <t>4일</t>
    <phoneticPr fontId="1" type="noConversion"/>
  </si>
  <si>
    <t>APP-102</t>
  </si>
  <si>
    <t>필리핀</t>
    <phoneticPr fontId="1" type="noConversion"/>
  </si>
  <si>
    <t>진에어</t>
    <phoneticPr fontId="1" type="noConversion"/>
  </si>
  <si>
    <t>SPA-206</t>
  </si>
  <si>
    <t>싱가폴</t>
    <phoneticPr fontId="1" type="noConversion"/>
  </si>
  <si>
    <t>5일</t>
    <phoneticPr fontId="1" type="noConversion"/>
  </si>
  <si>
    <t>담당자</t>
    <phoneticPr fontId="1" type="noConversion"/>
  </si>
  <si>
    <t>담당자 이메일</t>
    <phoneticPr fontId="1" type="noConversion"/>
  </si>
  <si>
    <t>상품금액</t>
    <phoneticPr fontId="1" type="noConversion"/>
  </si>
  <si>
    <t>할인금액</t>
    <phoneticPr fontId="1" type="noConversion"/>
  </si>
  <si>
    <t>할인율</t>
    <phoneticPr fontId="1" type="noConversion"/>
  </si>
  <si>
    <t>모집인원</t>
    <phoneticPr fontId="1" type="noConversion"/>
  </si>
  <si>
    <t>베트남</t>
    <phoneticPr fontId="1" type="noConversion"/>
  </si>
  <si>
    <t>라오스</t>
    <phoneticPr fontId="1" type="noConversion"/>
  </si>
  <si>
    <t>말레이시아</t>
    <phoneticPr fontId="1" type="noConversion"/>
  </si>
  <si>
    <t>일본 동경</t>
    <phoneticPr fontId="1" type="noConversion"/>
  </si>
  <si>
    <t>중국 상하이</t>
    <phoneticPr fontId="1" type="noConversion"/>
  </si>
  <si>
    <t>중국 하이난</t>
    <phoneticPr fontId="1" type="noConversion"/>
  </si>
  <si>
    <t>일본 규슈</t>
    <phoneticPr fontId="1" type="noConversion"/>
  </si>
  <si>
    <t>뉴질랜드</t>
    <phoneticPr fontId="1" type="noConversion"/>
  </si>
  <si>
    <t>대한항공</t>
    <phoneticPr fontId="1" type="noConversion"/>
  </si>
  <si>
    <t>진에어</t>
    <phoneticPr fontId="1" type="noConversion"/>
  </si>
  <si>
    <t>진에어</t>
    <phoneticPr fontId="1" type="noConversion"/>
  </si>
  <si>
    <t>에어아시아</t>
    <phoneticPr fontId="1" type="noConversion"/>
  </si>
  <si>
    <t>에어아시아</t>
    <phoneticPr fontId="1" type="noConversion"/>
  </si>
  <si>
    <t>진에어</t>
    <phoneticPr fontId="1" type="noConversion"/>
  </si>
  <si>
    <t>에어아시아</t>
    <phoneticPr fontId="1" type="noConversion"/>
  </si>
  <si>
    <t>대한항공</t>
    <phoneticPr fontId="1" type="noConversion"/>
  </si>
  <si>
    <t>5일</t>
    <phoneticPr fontId="1" type="noConversion"/>
  </si>
  <si>
    <t>4일</t>
    <phoneticPr fontId="1" type="noConversion"/>
  </si>
  <si>
    <t>3일</t>
    <phoneticPr fontId="1" type="noConversion"/>
  </si>
  <si>
    <t>3일</t>
    <phoneticPr fontId="1" type="noConversion"/>
  </si>
  <si>
    <t>7일</t>
    <phoneticPr fontId="1" type="noConversion"/>
  </si>
  <si>
    <t>KBN-854</t>
    <phoneticPr fontId="1" type="noConversion"/>
  </si>
  <si>
    <t>ALA-578</t>
    <phoneticPr fontId="1" type="noConversion"/>
  </si>
  <si>
    <t>AME-288</t>
    <phoneticPr fontId="1" type="noConversion"/>
  </si>
  <si>
    <t>JJT-690</t>
    <phoneticPr fontId="1" type="noConversion"/>
  </si>
  <si>
    <t>KSE-954</t>
    <phoneticPr fontId="1" type="noConversion"/>
  </si>
  <si>
    <t>JHE-487</t>
    <phoneticPr fontId="1" type="noConversion"/>
  </si>
  <si>
    <t>JJK-871</t>
    <phoneticPr fontId="1" type="noConversion"/>
  </si>
  <si>
    <t>KNT-123</t>
    <phoneticPr fontId="1" type="noConversion"/>
  </si>
  <si>
    <t>총합계</t>
    <phoneticPr fontId="1" type="noConversion"/>
  </si>
  <si>
    <t>정혜인</t>
    <phoneticPr fontId="1" type="noConversion"/>
  </si>
  <si>
    <t>양수진</t>
    <phoneticPr fontId="1" type="noConversion"/>
  </si>
  <si>
    <t>김지영</t>
    <phoneticPr fontId="1" type="noConversion"/>
  </si>
  <si>
    <t>최선호</t>
    <phoneticPr fontId="1" type="noConversion"/>
  </si>
  <si>
    <t>김혜진</t>
    <phoneticPr fontId="1" type="noConversion"/>
  </si>
  <si>
    <t>변호성</t>
    <phoneticPr fontId="1" type="noConversion"/>
  </si>
  <si>
    <t>정명일</t>
    <phoneticPr fontId="1" type="noConversion"/>
  </si>
  <si>
    <t>손지성</t>
    <phoneticPr fontId="1" type="noConversion"/>
  </si>
  <si>
    <t>이상훈</t>
    <phoneticPr fontId="1" type="noConversion"/>
  </si>
  <si>
    <t>오안주</t>
    <phoneticPr fontId="1" type="noConversion"/>
  </si>
  <si>
    <t>김민규</t>
    <phoneticPr fontId="1" type="noConversion"/>
  </si>
  <si>
    <t>최선영</t>
    <phoneticPr fontId="1" type="noConversion"/>
  </si>
  <si>
    <t>박효준</t>
    <phoneticPr fontId="1" type="noConversion"/>
  </si>
  <si>
    <t>이도훈</t>
    <phoneticPr fontId="1" type="noConversion"/>
  </si>
  <si>
    <t>황규호</t>
    <phoneticPr fontId="1" type="noConversion"/>
  </si>
  <si>
    <t>이찬희</t>
    <phoneticPr fontId="1" type="noConversion"/>
  </si>
  <si>
    <t>jhi@naver.com</t>
    <phoneticPr fontId="1" type="noConversion"/>
  </si>
  <si>
    <t>heiq12@naver.com</t>
    <phoneticPr fontId="1" type="noConversion"/>
  </si>
  <si>
    <t>keiq36@naver.com</t>
    <phoneticPr fontId="1" type="noConversion"/>
  </si>
  <si>
    <t>pqitp5@naver.com</t>
    <phoneticPr fontId="1" type="noConversion"/>
  </si>
  <si>
    <t>kiedm12@naver.com</t>
    <phoneticPr fontId="1" type="noConversion"/>
  </si>
  <si>
    <t>jie@naver.com</t>
    <phoneticPr fontId="1" type="noConversion"/>
  </si>
  <si>
    <t>htoe2@naver.com</t>
    <phoneticPr fontId="1" type="noConversion"/>
  </si>
  <si>
    <t>ss1010@nave.com</t>
    <phoneticPr fontId="1" type="noConversion"/>
  </si>
  <si>
    <t>tq891@naver.com</t>
    <phoneticPr fontId="1" type="noConversion"/>
  </si>
  <si>
    <t>jotq32@naver.com</t>
    <phoneticPr fontId="1" type="noConversion"/>
  </si>
  <si>
    <t>po00@naver.om</t>
    <phoneticPr fontId="1" type="noConversion"/>
  </si>
  <si>
    <t>oei@naver.com</t>
    <phoneticPr fontId="1" type="noConversion"/>
  </si>
  <si>
    <t>nji12@naver.com</t>
    <phoneticPr fontId="1" type="noConversion"/>
  </si>
  <si>
    <t>zsey6@naver.com</t>
    <phoneticPr fontId="1" type="noConversion"/>
  </si>
  <si>
    <t>uyt65@naver.com</t>
    <phoneticPr fontId="1" type="noConversion"/>
  </si>
  <si>
    <t>ijn67@naver.com</t>
    <phoneticPr fontId="1" type="noConversion"/>
  </si>
  <si>
    <t>에어아시아</t>
    <phoneticPr fontId="1" type="noConversion"/>
  </si>
  <si>
    <t>대한항공</t>
    <phoneticPr fontId="1" type="noConversion"/>
  </si>
  <si>
    <t>모집중</t>
    <phoneticPr fontId="1" type="noConversion"/>
  </si>
  <si>
    <t>모집중</t>
    <phoneticPr fontId="1" type="noConversion"/>
  </si>
  <si>
    <t>뉴질랜드</t>
    <phoneticPr fontId="1" type="noConversion"/>
  </si>
  <si>
    <t>스웨덴</t>
    <phoneticPr fontId="1" type="noConversion"/>
  </si>
  <si>
    <t>경비</t>
    <phoneticPr fontId="1" type="noConversion"/>
  </si>
  <si>
    <t>할인율</t>
  </si>
  <si>
    <t>할인금액합계</t>
  </si>
  <si>
    <t>할인율 인하</t>
  </si>
  <si>
    <t>할인율 인상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</si>
  <si>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</si>
  <si>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</si>
  <si>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</si>
  <si>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</si>
  <si>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</si>
  <si>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</si>
  <si>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</si>
  <si>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홍길동</t>
  </si>
  <si>
    <t>집</t>
  </si>
  <si>
    <t>02-555-1234</t>
  </si>
  <si>
    <t>친구</t>
  </si>
  <si>
    <t>판매코드</t>
    <phoneticPr fontId="1" type="noConversion"/>
  </si>
  <si>
    <t>금액</t>
    <phoneticPr fontId="1" type="noConversion"/>
  </si>
  <si>
    <t>할부기간</t>
    <phoneticPr fontId="1" type="noConversion"/>
  </si>
  <si>
    <t>결제카드</t>
    <phoneticPr fontId="1" type="noConversion"/>
  </si>
  <si>
    <t>카드수수료</t>
    <phoneticPr fontId="1" type="noConversion"/>
  </si>
  <si>
    <t>누적판매건수</t>
    <phoneticPr fontId="1" type="noConversion"/>
  </si>
  <si>
    <t>AV-001</t>
    <phoneticPr fontId="1" type="noConversion"/>
  </si>
  <si>
    <t>SI-001</t>
    <phoneticPr fontId="1" type="noConversion"/>
  </si>
  <si>
    <t>할부기간별 카드수수료율</t>
    <phoneticPr fontId="1" type="noConversion"/>
  </si>
  <si>
    <t>ME-001</t>
    <phoneticPr fontId="1" type="noConversion"/>
  </si>
  <si>
    <t>할부기간구분</t>
    <phoneticPr fontId="1" type="noConversion"/>
  </si>
  <si>
    <t>SI-002</t>
    <phoneticPr fontId="1" type="noConversion"/>
  </si>
  <si>
    <t>MC-001</t>
    <phoneticPr fontId="1" type="noConversion"/>
  </si>
  <si>
    <t>ME-002</t>
    <phoneticPr fontId="1" type="noConversion"/>
  </si>
  <si>
    <t>AV-002</t>
    <phoneticPr fontId="1" type="noConversion"/>
  </si>
  <si>
    <t>SE-001</t>
    <phoneticPr fontId="1" type="noConversion"/>
  </si>
  <si>
    <t>AV-003</t>
    <phoneticPr fontId="1" type="noConversion"/>
  </si>
  <si>
    <t>ME-003</t>
    <phoneticPr fontId="1" type="noConversion"/>
  </si>
  <si>
    <t>[표1]</t>
    <phoneticPr fontId="1" type="noConversion"/>
  </si>
  <si>
    <t>[표2]</t>
    <phoneticPr fontId="1" type="noConversion"/>
  </si>
  <si>
    <t>기타카드</t>
    <phoneticPr fontId="1" type="noConversion"/>
  </si>
  <si>
    <t>대한카드</t>
  </si>
  <si>
    <t>나라카드</t>
    <phoneticPr fontId="1" type="noConversion"/>
  </si>
  <si>
    <t>나라카드</t>
    <phoneticPr fontId="1" type="noConversion"/>
  </si>
  <si>
    <t>한국카드</t>
    <phoneticPr fontId="1" type="noConversion"/>
  </si>
  <si>
    <t>한국카드</t>
    <phoneticPr fontId="1" type="noConversion"/>
  </si>
  <si>
    <t>한국카드</t>
    <phoneticPr fontId="1" type="noConversion"/>
  </si>
  <si>
    <t>나라카드</t>
    <phoneticPr fontId="1" type="noConversion"/>
  </si>
  <si>
    <t>대한카드</t>
    <phoneticPr fontId="1" type="noConversion"/>
  </si>
  <si>
    <t>장규원</t>
    <phoneticPr fontId="1" type="noConversion"/>
  </si>
  <si>
    <t>이기정</t>
    <phoneticPr fontId="1" type="noConversion"/>
  </si>
  <si>
    <t>장경원</t>
    <phoneticPr fontId="1" type="noConversion"/>
  </si>
  <si>
    <t>김민수</t>
    <phoneticPr fontId="1" type="noConversion"/>
  </si>
  <si>
    <t>서원희</t>
    <phoneticPr fontId="1" type="noConversion"/>
  </si>
  <si>
    <t>김이슬</t>
    <phoneticPr fontId="1" type="noConversion"/>
  </si>
  <si>
    <t>정은혜</t>
    <phoneticPr fontId="1" type="noConversion"/>
  </si>
  <si>
    <t>홍승헌</t>
    <phoneticPr fontId="1" type="noConversion"/>
  </si>
  <si>
    <t>한지선</t>
    <phoneticPr fontId="1" type="noConversion"/>
  </si>
  <si>
    <t>최현진</t>
    <phoneticPr fontId="1" type="noConversion"/>
  </si>
  <si>
    <t>현희태</t>
    <phoneticPr fontId="13" type="noConversion"/>
  </si>
  <si>
    <t>최혁주</t>
    <phoneticPr fontId="13" type="noConversion"/>
  </si>
  <si>
    <t>[표3]</t>
    <phoneticPr fontId="1" type="noConversion"/>
  </si>
  <si>
    <t>상위 5개 금액 평균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</si>
  <si>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</si>
  <si>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</si>
  <si>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</si>
  <si>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시험과목-난이도</t>
    <phoneticPr fontId="13" type="noConversion"/>
  </si>
  <si>
    <t>[표4]</t>
    <phoneticPr fontId="1" type="noConversion"/>
  </si>
  <si>
    <t xml:space="preserve">[표5] </t>
    <phoneticPr fontId="1" type="noConversion"/>
  </si>
  <si>
    <t>시험과목별 난이도 건수</t>
  </si>
  <si>
    <t>환산점</t>
    <phoneticPr fontId="1" type="noConversion"/>
  </si>
  <si>
    <t>과목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</si>
  <si>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</si>
  <si>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</si>
  <si>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</si>
  <si>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국어-상</t>
    <phoneticPr fontId="1" type="noConversion"/>
  </si>
  <si>
    <t>수학-중</t>
    <phoneticPr fontId="1" type="noConversion"/>
  </si>
  <si>
    <t>영어-하</t>
    <phoneticPr fontId="1" type="noConversion"/>
  </si>
  <si>
    <t>국어-중</t>
    <phoneticPr fontId="1" type="noConversion"/>
  </si>
  <si>
    <t>수학-하</t>
    <phoneticPr fontId="1" type="noConversion"/>
  </si>
  <si>
    <t>영어-상</t>
    <phoneticPr fontId="1" type="noConversion"/>
  </si>
  <si>
    <t>영어-중</t>
    <phoneticPr fontId="1" type="noConversion"/>
  </si>
  <si>
    <t>국어-상</t>
    <phoneticPr fontId="1" type="noConversion"/>
  </si>
  <si>
    <t>수학-중</t>
    <phoneticPr fontId="1" type="noConversion"/>
  </si>
  <si>
    <t>수학-상</t>
    <phoneticPr fontId="1" type="noConversion"/>
  </si>
  <si>
    <t>국어-하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</si>
  <si>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</si>
  <si>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</si>
  <si>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</si>
  <si>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t>2025-01-03 - 2025-03-03</t>
  </si>
  <si>
    <t>2025-03-04 - 2025-05-02</t>
  </si>
  <si>
    <t>2025-07-02 - 2025-08-30</t>
  </si>
  <si>
    <t>2025-08-31 - 2025-10-29</t>
  </si>
  <si>
    <t>2025-10-30 - 2025-12-26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</si>
</sst>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_);[Red]\(0\)"/>
    <numFmt numFmtId="178" formatCode="[Blue][&lt;7]0* &quot;단기&quot;;[Red][&gt;=7]0* &quot;장기&quot;"/>
    <numFmt numFmtId="179" formatCode="#,##0;[Red]&quot;▣&quot;\ #,##0;[Black]&quot;★&quot;;&quot;○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4" fillId="0" borderId="0"/>
  </cellStyleXfs>
  <cellXfs count="7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Alignment="1">
      <alignment horizontal="center" vertical="center"/>
    </xf>
    <xf numFmtId="9" fontId="4" fillId="0" borderId="1" xfId="3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0" fillId="0" borderId="1" xfId="1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pivotButton="1" applyAlignment="1">
      <alignment horizontal="center" vertical="center"/>
    </xf>
    <xf numFmtId="41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177" fontId="4" fillId="0" borderId="1" xfId="1" applyNumberFormat="1" applyFont="1" applyFill="1" applyBorder="1" applyAlignment="1">
      <alignment horizontal="right" vertical="center"/>
    </xf>
    <xf numFmtId="177" fontId="0" fillId="0" borderId="1" xfId="0" applyNumberFormat="1" applyBorder="1">
      <alignment vertical="center"/>
    </xf>
    <xf numFmtId="178" fontId="4" fillId="0" borderId="1" xfId="1" applyNumberFormat="1" applyFont="1" applyFill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179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6" xfId="0" applyNumberFormat="1" applyFill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7" fillId="3" borderId="0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left" vertical="center"/>
    </xf>
    <xf numFmtId="0" fontId="9" fillId="3" borderId="3" xfId="0" applyFont="1" applyFill="1" applyBorder="1" applyAlignment="1">
      <alignment horizontal="left" vertical="center"/>
    </xf>
    <xf numFmtId="0" fontId="7" fillId="3" borderId="6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right" vertical="center"/>
    </xf>
    <xf numFmtId="0" fontId="5" fillId="2" borderId="7" xfId="0" applyFont="1" applyFill="1" applyBorder="1" applyAlignment="1">
      <alignment horizontal="right" vertical="center"/>
    </xf>
    <xf numFmtId="9" fontId="0" fillId="4" borderId="0" xfId="0" applyNumberFormat="1" applyFill="1" applyBorder="1" applyAlignment="1">
      <alignment vertical="center"/>
    </xf>
    <xf numFmtId="0" fontId="10" fillId="0" borderId="0" xfId="0" applyFont="1" applyFill="1" applyBorder="1" applyAlignment="1">
      <alignment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2" fillId="0" borderId="1" xfId="4" applyFont="1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41" fontId="0" fillId="0" borderId="0" xfId="1" applyFont="1">
      <alignment vertical="center"/>
    </xf>
    <xf numFmtId="0" fontId="0" fillId="0" borderId="1" xfId="0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0" fontId="12" fillId="0" borderId="0" xfId="4" applyFont="1" applyFill="1" applyBorder="1" applyAlignment="1">
      <alignment horizontal="left" vertical="center"/>
    </xf>
    <xf numFmtId="0" fontId="15" fillId="0" borderId="1" xfId="5" applyFont="1" applyFill="1" applyBorder="1" applyAlignment="1">
      <alignment horizontal="center" vertical="center"/>
    </xf>
    <xf numFmtId="0" fontId="15" fillId="0" borderId="1" xfId="5" applyFont="1" applyFill="1" applyBorder="1" applyAlignment="1">
      <alignment horizontal="center" vertical="center" wrapText="1"/>
    </xf>
    <xf numFmtId="41" fontId="15" fillId="0" borderId="1" xfId="1" applyFont="1" applyFill="1" applyBorder="1" applyAlignment="1">
      <alignment horizontal="right" vertical="center"/>
    </xf>
    <xf numFmtId="176" fontId="15" fillId="0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6">
    <cellStyle name="백분율" xfId="3" builtinId="5"/>
    <cellStyle name="쉼표 [0]" xfId="1" builtinId="6"/>
    <cellStyle name="표준" xfId="0" builtinId="0"/>
    <cellStyle name="표준 2" xfId="2" xr:uid="{00000000-0005-0000-0000-000003000000}"/>
    <cellStyle name="표준_직위" xfId="5" xr:uid="{00000000-0005-0000-0000-000004000000}"/>
    <cellStyle name="표준_컴활1급A형" xfId="4" xr:uid="{00000000-0005-0000-0000-000005000000}"/>
  </cellStyles>
  <dxfs count="2">
    <dxf>
      <font>
        <b/>
        <i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여행지별 모집인원</a:t>
            </a:r>
          </a:p>
        </c:rich>
      </c:tx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모집인원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4-4B57-42A5-B428-C06A4EE793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B3-4DD9-887C-8E6A66396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B3-4DD9-887C-8E6A66396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1B3-4DD9-887C-8E6A66396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B3-4DD9-887C-8E6A66396F8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1B3-4DD9-887C-8E6A66396F8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1B3-4DD9-887C-8E6A66396F8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1B3-4DD9-887C-8E6A66396F8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1B3-4DD9-887C-8E6A66396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'기타작업-1'!$B$3:$B$10</c:f>
              <c:strCache>
                <c:ptCount val="8"/>
                <c:pt idx="0">
                  <c:v>앙코르왓</c:v>
                </c:pt>
                <c:pt idx="1">
                  <c:v>미국동부</c:v>
                </c:pt>
                <c:pt idx="2">
                  <c:v>호주</c:v>
                </c:pt>
                <c:pt idx="3">
                  <c:v>필리핀</c:v>
                </c:pt>
                <c:pt idx="4">
                  <c:v>싱가폴</c:v>
                </c:pt>
                <c:pt idx="5">
                  <c:v>베트남</c:v>
                </c:pt>
                <c:pt idx="6">
                  <c:v>라오스</c:v>
                </c:pt>
                <c:pt idx="7">
                  <c:v>뉴질랜드</c:v>
                </c:pt>
              </c:strCache>
            </c:strRef>
          </c:cat>
          <c:val>
            <c:numRef>
              <c:f>'기타작업-1'!$D$3:$D$10</c:f>
              <c:numCache>
                <c:formatCode>0_);[Red]\(0\)</c:formatCode>
                <c:ptCount val="8"/>
                <c:pt idx="0">
                  <c:v>35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25</c:v>
                </c:pt>
                <c:pt idx="5">
                  <c:v>30</c:v>
                </c:pt>
                <c:pt idx="6">
                  <c:v>25</c:v>
                </c:pt>
                <c:pt idx="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57-42A5-B428-C06A4EE79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90"/>
        <c:secondPieSize val="8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 b="1">
          <a:solidFill>
            <a:schemeClr val="tx1"/>
          </a:solidFill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기간비교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19050</xdr:colOff>
          <xdr:row>3</xdr:row>
          <xdr:rowOff>28575</xdr:rowOff>
        </xdr:to>
        <xdr:sp macro="" textlink="">
          <xdr:nvSpPr>
            <xdr:cNvPr id="1025" name="cmd연락처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211.372720717591" backgroundQuery="1" createdVersion="7" refreshedVersion="7" minRefreshableVersion="3" recordCount="22" xr:uid="{1ACF1122-9466-4754-9F7B-495CFAE9D6AA}">
  <cacheSource type="external" connectionId="3"/>
  <cacheFields count="6">
    <cacheField name="구분" numFmtId="0" sqlType="-9">
      <sharedItems count="4">
        <s v="농축액"/>
        <s v="기능성"/>
        <s v="기호식품"/>
        <s v="키즈/청소년"/>
      </sharedItems>
    </cacheField>
    <cacheField name="브랜드명" numFmtId="0" sqlType="-9">
      <sharedItems count="4">
        <s v="고려홍삼"/>
        <s v="홍삼나라"/>
        <s v="전라홍삼"/>
        <s v="홍삼세계"/>
      </sharedItems>
    </cacheField>
    <cacheField name="제조일" numFmtId="0" sqlType="11">
      <sharedItems containsSemiMixedTypes="0" containsNonDate="0" containsDate="1" containsString="0" minDate="2025-01-03T00:00:00" maxDate="2025-12-26T00:00:00" count="20">
        <d v="2025-04-01T00:00:00"/>
        <d v="2025-04-25T00:00:00"/>
        <d v="2025-01-30T00:00:00"/>
        <d v="2025-02-10T00:00:00"/>
        <d v="2025-01-03T00:00:00"/>
        <d v="2025-04-19T00:00:00"/>
        <d v="2025-12-09T00:00:00"/>
        <d v="2025-01-20T00:00:00"/>
        <d v="2025-12-25T00:00:00"/>
        <d v="2025-04-23T00:00:00"/>
        <d v="2025-08-09T00:00:00"/>
        <d v="2025-03-19T00:00:00"/>
        <d v="2025-02-20T00:00:00"/>
        <d v="2025-02-27T00:00:00"/>
        <d v="2025-01-09T00:00:00"/>
        <d v="2025-09-20T00:00:00"/>
        <d v="2025-10-23T00:00:00"/>
        <d v="2025-01-05T00:00:00"/>
        <d v="2025-12-05T00:00:00"/>
        <d v="2025-11-05T00:00:00"/>
      </sharedItems>
      <fieldGroup base="2">
        <rangePr groupBy="days" startDate="2025-01-03T00:00:00" endDate="2025-12-26T00:00:00" groupInterval="60"/>
        <groupItems count="8">
          <s v="&lt;2025-01-03"/>
          <s v="2025-01-03 - 2025-03-03"/>
          <s v="2025-03-04 - 2025-05-02"/>
          <s v="2025-05-03 - 2025-07-01"/>
          <s v="2025-07-02 - 2025-08-30"/>
          <s v="2025-08-31 - 2025-10-29"/>
          <s v="2025-10-30 - 2025-12-26"/>
          <s v="&gt;2025-12-26"/>
        </groupItems>
      </fieldGroup>
    </cacheField>
    <cacheField name="판매가" numFmtId="0" sqlType="8">
      <sharedItems containsSemiMixedTypes="0" containsString="0" containsNumber="1" containsInteger="1" minValue="20000" maxValue="290000" count="20">
        <n v="198000"/>
        <n v="126000"/>
        <n v="200000"/>
        <n v="35000"/>
        <n v="50000"/>
        <n v="30000"/>
        <n v="120000"/>
        <n v="100000"/>
        <n v="59000"/>
        <n v="51000"/>
        <n v="20000"/>
        <n v="99000"/>
        <n v="290000"/>
        <n v="84000"/>
        <n v="53000"/>
        <n v="27000"/>
        <n v="40000"/>
        <n v="165000"/>
        <n v="140000"/>
        <n v="70000"/>
      </sharedItems>
    </cacheField>
    <cacheField name="판매량" numFmtId="0" sqlType="8">
      <sharedItems containsSemiMixedTypes="0" containsString="0" containsNumber="1" containsInteger="1" minValue="4" maxValue="32" count="13">
        <n v="8"/>
        <n v="9"/>
        <n v="15"/>
        <n v="7"/>
        <n v="31"/>
        <n v="10"/>
        <n v="5"/>
        <n v="32"/>
        <n v="21"/>
        <n v="23"/>
        <n v="19"/>
        <n v="24"/>
        <n v="4"/>
      </sharedItems>
    </cacheField>
    <cacheField name="판매금액" numFmtId="0" formula="판매가*판매량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x v="0"/>
    <x v="0"/>
    <x v="0"/>
  </r>
  <r>
    <x v="1"/>
    <x v="1"/>
    <x v="1"/>
    <x v="1"/>
    <x v="1"/>
  </r>
  <r>
    <x v="1"/>
    <x v="2"/>
    <x v="2"/>
    <x v="2"/>
    <x v="1"/>
  </r>
  <r>
    <x v="2"/>
    <x v="3"/>
    <x v="3"/>
    <x v="3"/>
    <x v="2"/>
  </r>
  <r>
    <x v="1"/>
    <x v="0"/>
    <x v="4"/>
    <x v="3"/>
    <x v="1"/>
  </r>
  <r>
    <x v="1"/>
    <x v="0"/>
    <x v="5"/>
    <x v="4"/>
    <x v="3"/>
  </r>
  <r>
    <x v="0"/>
    <x v="2"/>
    <x v="6"/>
    <x v="5"/>
    <x v="4"/>
  </r>
  <r>
    <x v="0"/>
    <x v="0"/>
    <x v="1"/>
    <x v="6"/>
    <x v="5"/>
  </r>
  <r>
    <x v="3"/>
    <x v="1"/>
    <x v="7"/>
    <x v="7"/>
    <x v="6"/>
  </r>
  <r>
    <x v="2"/>
    <x v="1"/>
    <x v="8"/>
    <x v="8"/>
    <x v="7"/>
  </r>
  <r>
    <x v="0"/>
    <x v="1"/>
    <x v="9"/>
    <x v="9"/>
    <x v="8"/>
  </r>
  <r>
    <x v="1"/>
    <x v="2"/>
    <x v="10"/>
    <x v="10"/>
    <x v="9"/>
  </r>
  <r>
    <x v="3"/>
    <x v="2"/>
    <x v="11"/>
    <x v="11"/>
    <x v="6"/>
  </r>
  <r>
    <x v="0"/>
    <x v="1"/>
    <x v="12"/>
    <x v="12"/>
    <x v="3"/>
  </r>
  <r>
    <x v="0"/>
    <x v="3"/>
    <x v="13"/>
    <x v="13"/>
    <x v="6"/>
  </r>
  <r>
    <x v="3"/>
    <x v="3"/>
    <x v="14"/>
    <x v="14"/>
    <x v="8"/>
  </r>
  <r>
    <x v="2"/>
    <x v="1"/>
    <x v="15"/>
    <x v="15"/>
    <x v="10"/>
  </r>
  <r>
    <x v="0"/>
    <x v="2"/>
    <x v="16"/>
    <x v="3"/>
    <x v="11"/>
  </r>
  <r>
    <x v="2"/>
    <x v="2"/>
    <x v="17"/>
    <x v="16"/>
    <x v="12"/>
  </r>
  <r>
    <x v="0"/>
    <x v="3"/>
    <x v="18"/>
    <x v="17"/>
    <x v="3"/>
  </r>
  <r>
    <x v="3"/>
    <x v="1"/>
    <x v="19"/>
    <x v="18"/>
    <x v="3"/>
  </r>
  <r>
    <x v="0"/>
    <x v="3"/>
    <x v="19"/>
    <x v="19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E1B823-A030-4979-90DD-959762111AC5}" name="피벗 테이블1" cacheId="0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mergeItem="1" createdVersion="7" indent="0" compact="0" outline="1" outlineData="1" compactData="0" multipleFieldFilters="0" fieldListSortAscending="1">
  <location ref="A3:E11" firstHeaderRow="1" firstDataRow="3" firstDataCol="1" rowPageCount="1" colPageCount="1"/>
  <pivotFields count="6">
    <pivotField axis="axisCol" compact="0" showAll="0">
      <items count="5">
        <item x="1"/>
        <item h="1" x="2"/>
        <item x="0"/>
        <item h="1" x="3"/>
        <item t="default"/>
      </items>
    </pivotField>
    <pivotField axis="axisPage" compact="0" showAll="0">
      <items count="5">
        <item x="0"/>
        <item x="2"/>
        <item x="1"/>
        <item x="3"/>
        <item t="default"/>
      </items>
    </pivotField>
    <pivotField axis="axisRow"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compact="0" showAll="0"/>
    <pivotField compact="0" showAll="0"/>
    <pivotField dataField="1" compact="0" dragToRow="0" dragToCol="0" dragToPage="0" showAll="0" defaultSubtotal="0"/>
  </pivotFields>
  <rowFields count="1">
    <field x="2"/>
  </rowFields>
  <rowItems count="6">
    <i>
      <x v="1"/>
    </i>
    <i>
      <x v="2"/>
    </i>
    <i>
      <x v="4"/>
    </i>
    <i>
      <x v="5"/>
    </i>
    <i>
      <x v="6"/>
    </i>
    <i t="grand">
      <x/>
    </i>
  </rowItems>
  <colFields count="2">
    <field x="0"/>
    <field x="-2"/>
  </colFields>
  <colItems count="4">
    <i>
      <x/>
      <x/>
    </i>
    <i r="1" i="1">
      <x v="1"/>
    </i>
    <i>
      <x v="2"/>
      <x/>
    </i>
    <i r="1" i="1">
      <x v="1"/>
    </i>
  </colItems>
  <pageFields count="1">
    <pageField fld="1" hier="-1"/>
  </pageFields>
  <dataFields count="2">
    <dataField name="합계 : 판매가" fld="3" baseField="2" baseItem="1" numFmtId="41"/>
    <dataField name="합계 : 판매금액" fld="5" baseField="2" baseItem="1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H29"/>
  <sheetViews>
    <sheetView tabSelected="1" workbookViewId="0"/>
  </sheetViews>
  <sheetFormatPr defaultRowHeight="16.5"/>
  <cols>
    <col min="1" max="1" width="10.5" customWidth="1"/>
    <col min="2" max="2" width="12.375" bestFit="1" customWidth="1"/>
    <col min="5" max="5" width="11.375" bestFit="1" customWidth="1"/>
  </cols>
  <sheetData>
    <row r="1" spans="1:8">
      <c r="A1" s="4" t="s">
        <v>12</v>
      </c>
      <c r="B1" s="5"/>
      <c r="C1" s="5"/>
      <c r="D1" s="5"/>
    </row>
    <row r="2" spans="1:8">
      <c r="A2" s="6" t="s">
        <v>13</v>
      </c>
      <c r="B2" s="6" t="s">
        <v>14</v>
      </c>
      <c r="C2" s="6" t="s">
        <v>15</v>
      </c>
      <c r="D2" s="6" t="s">
        <v>16</v>
      </c>
      <c r="E2" s="6" t="s">
        <v>17</v>
      </c>
      <c r="F2" s="6" t="s">
        <v>18</v>
      </c>
      <c r="G2" s="7" t="s">
        <v>19</v>
      </c>
      <c r="H2" s="6" t="s">
        <v>20</v>
      </c>
    </row>
    <row r="3" spans="1:8">
      <c r="A3" s="6" t="s">
        <v>21</v>
      </c>
      <c r="B3" s="6" t="s">
        <v>22</v>
      </c>
      <c r="C3" s="6" t="s">
        <v>23</v>
      </c>
      <c r="D3" s="6" t="s">
        <v>24</v>
      </c>
      <c r="E3" s="8">
        <v>42009</v>
      </c>
      <c r="F3" s="9">
        <f>H3/G3</f>
        <v>0.98373983739837401</v>
      </c>
      <c r="G3" s="10">
        <v>123</v>
      </c>
      <c r="H3" s="10">
        <v>121</v>
      </c>
    </row>
    <row r="4" spans="1:8">
      <c r="A4" s="6" t="s">
        <v>25</v>
      </c>
      <c r="B4" s="6" t="s">
        <v>26</v>
      </c>
      <c r="C4" s="6" t="s">
        <v>27</v>
      </c>
      <c r="D4" s="6" t="s">
        <v>28</v>
      </c>
      <c r="E4" s="8">
        <v>38644</v>
      </c>
      <c r="F4" s="9">
        <f t="shared" ref="F4:F17" si="0">H4/G4</f>
        <v>0.8</v>
      </c>
      <c r="G4" s="10">
        <v>25</v>
      </c>
      <c r="H4" s="10">
        <v>20</v>
      </c>
    </row>
    <row r="5" spans="1:8">
      <c r="A5" s="6" t="s">
        <v>29</v>
      </c>
      <c r="B5" s="6" t="s">
        <v>30</v>
      </c>
      <c r="C5" s="6" t="s">
        <v>31</v>
      </c>
      <c r="D5" s="6" t="s">
        <v>24</v>
      </c>
      <c r="E5" s="8">
        <v>43895</v>
      </c>
      <c r="F5" s="9">
        <f t="shared" si="0"/>
        <v>0.97101449275362317</v>
      </c>
      <c r="G5" s="10">
        <v>138</v>
      </c>
      <c r="H5" s="10">
        <v>134</v>
      </c>
    </row>
    <row r="6" spans="1:8">
      <c r="A6" s="6" t="s">
        <v>32</v>
      </c>
      <c r="B6" s="6" t="s">
        <v>33</v>
      </c>
      <c r="C6" s="6" t="s">
        <v>34</v>
      </c>
      <c r="D6" s="6" t="s">
        <v>35</v>
      </c>
      <c r="E6" s="8">
        <v>43499</v>
      </c>
      <c r="F6" s="9">
        <f t="shared" si="0"/>
        <v>0.95862068965517244</v>
      </c>
      <c r="G6" s="10">
        <v>145</v>
      </c>
      <c r="H6" s="10">
        <v>139</v>
      </c>
    </row>
    <row r="7" spans="1:8">
      <c r="A7" s="6" t="s">
        <v>36</v>
      </c>
      <c r="B7" s="6" t="s">
        <v>37</v>
      </c>
      <c r="C7" s="6" t="s">
        <v>34</v>
      </c>
      <c r="D7" s="6" t="s">
        <v>24</v>
      </c>
      <c r="E7" s="8">
        <v>43347</v>
      </c>
      <c r="F7" s="9">
        <f t="shared" si="0"/>
        <v>0.83050847457627119</v>
      </c>
      <c r="G7" s="10">
        <v>118</v>
      </c>
      <c r="H7" s="10">
        <v>98</v>
      </c>
    </row>
    <row r="8" spans="1:8">
      <c r="A8" s="6" t="s">
        <v>38</v>
      </c>
      <c r="B8" s="6" t="s">
        <v>39</v>
      </c>
      <c r="C8" s="6" t="s">
        <v>23</v>
      </c>
      <c r="D8" s="6" t="s">
        <v>35</v>
      </c>
      <c r="E8" s="8">
        <v>42870</v>
      </c>
      <c r="F8" s="9">
        <f t="shared" si="0"/>
        <v>0.96402877697841727</v>
      </c>
      <c r="G8" s="10">
        <v>139</v>
      </c>
      <c r="H8" s="10">
        <v>134</v>
      </c>
    </row>
    <row r="9" spans="1:8">
      <c r="A9" s="6" t="s">
        <v>40</v>
      </c>
      <c r="B9" s="6" t="s">
        <v>41</v>
      </c>
      <c r="C9" s="6" t="s">
        <v>31</v>
      </c>
      <c r="D9" s="6" t="s">
        <v>28</v>
      </c>
      <c r="E9" s="8">
        <v>42592</v>
      </c>
      <c r="F9" s="9">
        <f t="shared" si="0"/>
        <v>0.73913043478260865</v>
      </c>
      <c r="G9" s="10">
        <v>23</v>
      </c>
      <c r="H9" s="10">
        <v>17</v>
      </c>
    </row>
    <row r="10" spans="1:8">
      <c r="A10" s="6" t="s">
        <v>42</v>
      </c>
      <c r="B10" s="6" t="s">
        <v>43</v>
      </c>
      <c r="C10" s="6" t="s">
        <v>23</v>
      </c>
      <c r="D10" s="6" t="s">
        <v>28</v>
      </c>
      <c r="E10" s="8">
        <v>40096</v>
      </c>
      <c r="F10" s="9">
        <f t="shared" si="0"/>
        <v>0.625</v>
      </c>
      <c r="G10" s="10">
        <v>32</v>
      </c>
      <c r="H10" s="10">
        <v>20</v>
      </c>
    </row>
    <row r="11" spans="1:8">
      <c r="A11" s="3" t="s">
        <v>44</v>
      </c>
      <c r="B11" s="3" t="s">
        <v>45</v>
      </c>
      <c r="C11" s="3" t="s">
        <v>23</v>
      </c>
      <c r="D11" s="3" t="s">
        <v>24</v>
      </c>
      <c r="E11" s="8">
        <v>40374</v>
      </c>
      <c r="F11" s="9">
        <f t="shared" si="0"/>
        <v>0.95833333333333337</v>
      </c>
      <c r="G11" s="11">
        <v>120</v>
      </c>
      <c r="H11" s="11">
        <v>115</v>
      </c>
    </row>
    <row r="12" spans="1:8">
      <c r="A12" s="3" t="s">
        <v>46</v>
      </c>
      <c r="B12" s="3" t="s">
        <v>47</v>
      </c>
      <c r="C12" s="3" t="s">
        <v>31</v>
      </c>
      <c r="D12" s="3" t="s">
        <v>28</v>
      </c>
      <c r="E12" s="8">
        <v>40873</v>
      </c>
      <c r="F12" s="9">
        <f t="shared" si="0"/>
        <v>0.72</v>
      </c>
      <c r="G12" s="11">
        <v>25</v>
      </c>
      <c r="H12" s="11">
        <v>18</v>
      </c>
    </row>
    <row r="13" spans="1:8">
      <c r="A13" s="3" t="s">
        <v>48</v>
      </c>
      <c r="B13" s="3" t="s">
        <v>49</v>
      </c>
      <c r="C13" s="3" t="s">
        <v>50</v>
      </c>
      <c r="D13" s="3" t="s">
        <v>35</v>
      </c>
      <c r="E13" s="8">
        <v>41263</v>
      </c>
      <c r="F13" s="9">
        <f t="shared" si="0"/>
        <v>0.91428571428571426</v>
      </c>
      <c r="G13" s="11">
        <v>140</v>
      </c>
      <c r="H13" s="11">
        <v>128</v>
      </c>
    </row>
    <row r="14" spans="1:8">
      <c r="A14" s="3" t="s">
        <v>51</v>
      </c>
      <c r="B14" s="3" t="s">
        <v>52</v>
      </c>
      <c r="C14" s="3" t="s">
        <v>34</v>
      </c>
      <c r="D14" s="3" t="s">
        <v>24</v>
      </c>
      <c r="E14" s="8">
        <v>41475</v>
      </c>
      <c r="F14" s="9">
        <f t="shared" si="0"/>
        <v>0.9</v>
      </c>
      <c r="G14" s="11">
        <v>150</v>
      </c>
      <c r="H14" s="11">
        <v>135</v>
      </c>
    </row>
    <row r="15" spans="1:8">
      <c r="A15" s="3" t="s">
        <v>53</v>
      </c>
      <c r="B15" s="3" t="s">
        <v>54</v>
      </c>
      <c r="C15" s="3" t="s">
        <v>23</v>
      </c>
      <c r="D15" s="3" t="s">
        <v>28</v>
      </c>
      <c r="E15" s="8">
        <v>43626</v>
      </c>
      <c r="F15" s="9">
        <f t="shared" si="0"/>
        <v>0.75</v>
      </c>
      <c r="G15" s="11">
        <v>28</v>
      </c>
      <c r="H15" s="11">
        <v>21</v>
      </c>
    </row>
    <row r="16" spans="1:8">
      <c r="A16" s="3" t="s">
        <v>55</v>
      </c>
      <c r="B16" s="3" t="s">
        <v>56</v>
      </c>
      <c r="C16" s="3" t="s">
        <v>23</v>
      </c>
      <c r="D16" s="3" t="s">
        <v>35</v>
      </c>
      <c r="E16" s="8">
        <v>42865</v>
      </c>
      <c r="F16" s="9">
        <f t="shared" si="0"/>
        <v>0.95652173913043481</v>
      </c>
      <c r="G16" s="11">
        <v>115</v>
      </c>
      <c r="H16" s="11">
        <v>110</v>
      </c>
    </row>
    <row r="17" spans="1:8">
      <c r="A17" s="3" t="s">
        <v>57</v>
      </c>
      <c r="B17" s="3" t="s">
        <v>58</v>
      </c>
      <c r="C17" s="3" t="s">
        <v>50</v>
      </c>
      <c r="D17" s="3" t="s">
        <v>35</v>
      </c>
      <c r="E17" s="8">
        <v>42465</v>
      </c>
      <c r="F17" s="9">
        <f t="shared" si="0"/>
        <v>0.92941176470588238</v>
      </c>
      <c r="G17" s="11">
        <v>85</v>
      </c>
      <c r="H17" s="11">
        <v>79</v>
      </c>
    </row>
    <row r="18" spans="1:8">
      <c r="A18" s="5"/>
      <c r="B18" s="5"/>
      <c r="C18" s="5"/>
      <c r="D18" s="5"/>
    </row>
    <row r="19" spans="1:8">
      <c r="A19" s="12" t="s">
        <v>59</v>
      </c>
      <c r="B19" s="5"/>
      <c r="C19" s="5"/>
      <c r="D19" s="5"/>
    </row>
    <row r="20" spans="1:8">
      <c r="A20" s="5" t="b">
        <f>AND(YEAR(E3)&gt;=2015,YEAR(E3)&lt;=2020,D3&lt;&gt;"국공립")</f>
        <v>0</v>
      </c>
      <c r="B20" s="5"/>
      <c r="C20" s="5"/>
      <c r="D20" s="5"/>
    </row>
    <row r="21" spans="1:8">
      <c r="A21" s="5"/>
      <c r="B21" s="5"/>
      <c r="C21" s="5"/>
      <c r="D21" s="5"/>
    </row>
    <row r="22" spans="1:8">
      <c r="A22" s="5"/>
      <c r="B22" s="5"/>
      <c r="C22" s="5"/>
      <c r="D22" s="5"/>
    </row>
    <row r="23" spans="1:8">
      <c r="A23" s="6" t="s">
        <v>13</v>
      </c>
      <c r="B23" s="6" t="s">
        <v>14</v>
      </c>
      <c r="C23" s="6" t="s">
        <v>15</v>
      </c>
      <c r="D23" s="6" t="s">
        <v>16</v>
      </c>
      <c r="E23" s="6" t="s">
        <v>17</v>
      </c>
      <c r="F23" s="6" t="s">
        <v>18</v>
      </c>
      <c r="G23" s="7" t="s">
        <v>19</v>
      </c>
      <c r="H23" s="6" t="s">
        <v>20</v>
      </c>
    </row>
    <row r="24" spans="1:8">
      <c r="A24" s="6" t="s">
        <v>32</v>
      </c>
      <c r="B24" s="6" t="s">
        <v>33</v>
      </c>
      <c r="C24" s="6" t="s">
        <v>34</v>
      </c>
      <c r="D24" s="6" t="s">
        <v>35</v>
      </c>
      <c r="E24" s="8">
        <v>43499</v>
      </c>
      <c r="F24" s="9">
        <v>0.95862068965517244</v>
      </c>
      <c r="G24" s="10">
        <v>145</v>
      </c>
      <c r="H24" s="10">
        <v>139</v>
      </c>
    </row>
    <row r="25" spans="1:8">
      <c r="A25" s="6" t="s">
        <v>38</v>
      </c>
      <c r="B25" s="6" t="s">
        <v>39</v>
      </c>
      <c r="C25" s="6" t="s">
        <v>23</v>
      </c>
      <c r="D25" s="6" t="s">
        <v>35</v>
      </c>
      <c r="E25" s="8">
        <v>42870</v>
      </c>
      <c r="F25" s="9">
        <v>0.96402877697841727</v>
      </c>
      <c r="G25" s="10">
        <v>139</v>
      </c>
      <c r="H25" s="10">
        <v>134</v>
      </c>
    </row>
    <row r="26" spans="1:8">
      <c r="A26" s="6" t="s">
        <v>40</v>
      </c>
      <c r="B26" s="6" t="s">
        <v>41</v>
      </c>
      <c r="C26" s="6" t="s">
        <v>31</v>
      </c>
      <c r="D26" s="6" t="s">
        <v>28</v>
      </c>
      <c r="E26" s="8">
        <v>42592</v>
      </c>
      <c r="F26" s="9">
        <v>0.73913043478260865</v>
      </c>
      <c r="G26" s="10">
        <v>23</v>
      </c>
      <c r="H26" s="10">
        <v>17</v>
      </c>
    </row>
    <row r="27" spans="1:8">
      <c r="A27" s="26" t="s">
        <v>53</v>
      </c>
      <c r="B27" s="26" t="s">
        <v>54</v>
      </c>
      <c r="C27" s="26" t="s">
        <v>23</v>
      </c>
      <c r="D27" s="26" t="s">
        <v>28</v>
      </c>
      <c r="E27" s="8">
        <v>43626</v>
      </c>
      <c r="F27" s="9">
        <v>0.75</v>
      </c>
      <c r="G27" s="11">
        <v>28</v>
      </c>
      <c r="H27" s="11">
        <v>21</v>
      </c>
    </row>
    <row r="28" spans="1:8">
      <c r="A28" s="26" t="s">
        <v>55</v>
      </c>
      <c r="B28" s="26" t="s">
        <v>56</v>
      </c>
      <c r="C28" s="26" t="s">
        <v>23</v>
      </c>
      <c r="D28" s="26" t="s">
        <v>35</v>
      </c>
      <c r="E28" s="8">
        <v>42865</v>
      </c>
      <c r="F28" s="9">
        <v>0.95652173913043481</v>
      </c>
      <c r="G28" s="11">
        <v>115</v>
      </c>
      <c r="H28" s="11">
        <v>110</v>
      </c>
    </row>
    <row r="29" spans="1:8">
      <c r="A29" s="26" t="s">
        <v>57</v>
      </c>
      <c r="B29" s="26" t="s">
        <v>58</v>
      </c>
      <c r="C29" s="26" t="s">
        <v>50</v>
      </c>
      <c r="D29" s="26" t="s">
        <v>35</v>
      </c>
      <c r="E29" s="8">
        <v>42465</v>
      </c>
      <c r="F29" s="9">
        <v>0.92941176470588238</v>
      </c>
      <c r="G29" s="11">
        <v>85</v>
      </c>
      <c r="H29" s="11">
        <v>79</v>
      </c>
    </row>
  </sheetData>
  <phoneticPr fontId="1" type="noConversion"/>
  <conditionalFormatting sqref="A3:H17">
    <cfRule type="expression" dxfId="1" priority="1">
      <formula>AND(NOT($D3="가정"),LEFT($A3,1)="S")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H32"/>
  <sheetViews>
    <sheetView workbookViewId="0"/>
  </sheetViews>
  <sheetFormatPr defaultRowHeight="16.5"/>
  <cols>
    <col min="2" max="2" width="12.375" bestFit="1" customWidth="1"/>
    <col min="3" max="3" width="10.5" bestFit="1" customWidth="1"/>
    <col min="5" max="5" width="13.375" customWidth="1"/>
    <col min="6" max="6" width="10.75" customWidth="1"/>
    <col min="7" max="7" width="10.5" customWidth="1"/>
  </cols>
  <sheetData>
    <row r="2" spans="1:8">
      <c r="A2" s="6" t="s">
        <v>13</v>
      </c>
      <c r="B2" s="6" t="s">
        <v>14</v>
      </c>
      <c r="C2" s="6" t="s">
        <v>15</v>
      </c>
      <c r="D2" s="6" t="s">
        <v>16</v>
      </c>
      <c r="E2" s="6" t="s">
        <v>17</v>
      </c>
      <c r="F2" s="6" t="s">
        <v>18</v>
      </c>
      <c r="G2" s="7" t="s">
        <v>19</v>
      </c>
      <c r="H2" s="6" t="s">
        <v>20</v>
      </c>
    </row>
    <row r="3" spans="1:8">
      <c r="A3" s="6" t="s">
        <v>21</v>
      </c>
      <c r="B3" s="6" t="s">
        <v>22</v>
      </c>
      <c r="C3" s="6" t="s">
        <v>23</v>
      </c>
      <c r="D3" s="6" t="s">
        <v>24</v>
      </c>
      <c r="E3" s="8">
        <v>42009</v>
      </c>
      <c r="F3" s="9">
        <f>H3/G3</f>
        <v>0.98373983739837401</v>
      </c>
      <c r="G3" s="10">
        <v>123</v>
      </c>
      <c r="H3" s="10">
        <v>121</v>
      </c>
    </row>
    <row r="4" spans="1:8">
      <c r="A4" s="6" t="s">
        <v>25</v>
      </c>
      <c r="B4" s="6" t="s">
        <v>26</v>
      </c>
      <c r="C4" s="6" t="s">
        <v>27</v>
      </c>
      <c r="D4" s="6" t="s">
        <v>28</v>
      </c>
      <c r="E4" s="8">
        <v>38644</v>
      </c>
      <c r="F4" s="9">
        <f t="shared" ref="F4:F17" si="0">H4/G4</f>
        <v>0.8</v>
      </c>
      <c r="G4" s="10">
        <v>25</v>
      </c>
      <c r="H4" s="10">
        <v>20</v>
      </c>
    </row>
    <row r="5" spans="1:8">
      <c r="A5" s="6" t="s">
        <v>29</v>
      </c>
      <c r="B5" s="6" t="s">
        <v>30</v>
      </c>
      <c r="C5" s="6" t="s">
        <v>31</v>
      </c>
      <c r="D5" s="6" t="s">
        <v>24</v>
      </c>
      <c r="E5" s="8">
        <v>43895</v>
      </c>
      <c r="F5" s="9">
        <f t="shared" si="0"/>
        <v>0.97101449275362317</v>
      </c>
      <c r="G5" s="10">
        <v>138</v>
      </c>
      <c r="H5" s="10">
        <v>134</v>
      </c>
    </row>
    <row r="6" spans="1:8">
      <c r="A6" s="6" t="s">
        <v>32</v>
      </c>
      <c r="B6" s="6" t="s">
        <v>33</v>
      </c>
      <c r="C6" s="6" t="s">
        <v>34</v>
      </c>
      <c r="D6" s="6" t="s">
        <v>35</v>
      </c>
      <c r="E6" s="8">
        <v>43499</v>
      </c>
      <c r="F6" s="9">
        <f t="shared" si="0"/>
        <v>0.95862068965517244</v>
      </c>
      <c r="G6" s="10">
        <v>145</v>
      </c>
      <c r="H6" s="10">
        <v>139</v>
      </c>
    </row>
    <row r="7" spans="1:8">
      <c r="A7" s="6" t="s">
        <v>36</v>
      </c>
      <c r="B7" s="6" t="s">
        <v>37</v>
      </c>
      <c r="C7" s="6" t="s">
        <v>34</v>
      </c>
      <c r="D7" s="6" t="s">
        <v>24</v>
      </c>
      <c r="E7" s="8">
        <v>43347</v>
      </c>
      <c r="F7" s="9">
        <f t="shared" si="0"/>
        <v>0.83050847457627119</v>
      </c>
      <c r="G7" s="10">
        <v>118</v>
      </c>
      <c r="H7" s="10">
        <v>98</v>
      </c>
    </row>
    <row r="8" spans="1:8">
      <c r="A8" s="6" t="s">
        <v>38</v>
      </c>
      <c r="B8" s="6" t="s">
        <v>39</v>
      </c>
      <c r="C8" s="6" t="s">
        <v>23</v>
      </c>
      <c r="D8" s="6" t="s">
        <v>35</v>
      </c>
      <c r="E8" s="8">
        <v>42870</v>
      </c>
      <c r="F8" s="9">
        <f t="shared" si="0"/>
        <v>0.96402877697841727</v>
      </c>
      <c r="G8" s="10">
        <v>139</v>
      </c>
      <c r="H8" s="10">
        <v>134</v>
      </c>
    </row>
    <row r="9" spans="1:8">
      <c r="A9" s="6" t="s">
        <v>40</v>
      </c>
      <c r="B9" s="6" t="s">
        <v>41</v>
      </c>
      <c r="C9" s="6" t="s">
        <v>31</v>
      </c>
      <c r="D9" s="6" t="s">
        <v>28</v>
      </c>
      <c r="E9" s="8">
        <v>42592</v>
      </c>
      <c r="F9" s="9">
        <f t="shared" si="0"/>
        <v>0.73913043478260865</v>
      </c>
      <c r="G9" s="10">
        <v>23</v>
      </c>
      <c r="H9" s="10">
        <v>17</v>
      </c>
    </row>
    <row r="10" spans="1:8">
      <c r="A10" s="6" t="s">
        <v>42</v>
      </c>
      <c r="B10" s="6" t="s">
        <v>43</v>
      </c>
      <c r="C10" s="6" t="s">
        <v>23</v>
      </c>
      <c r="D10" s="6" t="s">
        <v>28</v>
      </c>
      <c r="E10" s="8">
        <v>40096</v>
      </c>
      <c r="F10" s="9">
        <f t="shared" si="0"/>
        <v>0.625</v>
      </c>
      <c r="G10" s="10">
        <v>32</v>
      </c>
      <c r="H10" s="10">
        <v>20</v>
      </c>
    </row>
    <row r="11" spans="1:8">
      <c r="A11" s="25" t="s">
        <v>44</v>
      </c>
      <c r="B11" s="25" t="s">
        <v>45</v>
      </c>
      <c r="C11" s="25" t="s">
        <v>23</v>
      </c>
      <c r="D11" s="25" t="s">
        <v>24</v>
      </c>
      <c r="E11" s="8">
        <v>40374</v>
      </c>
      <c r="F11" s="9">
        <f t="shared" si="0"/>
        <v>0.95833333333333337</v>
      </c>
      <c r="G11" s="11">
        <v>120</v>
      </c>
      <c r="H11" s="11">
        <v>115</v>
      </c>
    </row>
    <row r="12" spans="1:8">
      <c r="A12" s="25" t="s">
        <v>46</v>
      </c>
      <c r="B12" s="25" t="s">
        <v>47</v>
      </c>
      <c r="C12" s="25" t="s">
        <v>31</v>
      </c>
      <c r="D12" s="25" t="s">
        <v>28</v>
      </c>
      <c r="E12" s="8">
        <v>40873</v>
      </c>
      <c r="F12" s="9">
        <f t="shared" si="0"/>
        <v>0.72</v>
      </c>
      <c r="G12" s="11">
        <v>25</v>
      </c>
      <c r="H12" s="11">
        <v>18</v>
      </c>
    </row>
    <row r="13" spans="1:8">
      <c r="A13" s="25" t="s">
        <v>48</v>
      </c>
      <c r="B13" s="25" t="s">
        <v>49</v>
      </c>
      <c r="C13" s="25" t="s">
        <v>50</v>
      </c>
      <c r="D13" s="25" t="s">
        <v>35</v>
      </c>
      <c r="E13" s="8">
        <v>41263</v>
      </c>
      <c r="F13" s="9">
        <f t="shared" si="0"/>
        <v>0.91428571428571426</v>
      </c>
      <c r="G13" s="11">
        <v>140</v>
      </c>
      <c r="H13" s="11">
        <v>128</v>
      </c>
    </row>
    <row r="14" spans="1:8">
      <c r="A14" s="25" t="s">
        <v>51</v>
      </c>
      <c r="B14" s="25" t="s">
        <v>52</v>
      </c>
      <c r="C14" s="25" t="s">
        <v>34</v>
      </c>
      <c r="D14" s="25" t="s">
        <v>24</v>
      </c>
      <c r="E14" s="8">
        <v>41475</v>
      </c>
      <c r="F14" s="9">
        <f t="shared" si="0"/>
        <v>0.9</v>
      </c>
      <c r="G14" s="11">
        <v>150</v>
      </c>
      <c r="H14" s="11">
        <v>135</v>
      </c>
    </row>
    <row r="15" spans="1:8">
      <c r="A15" s="25" t="s">
        <v>53</v>
      </c>
      <c r="B15" s="25" t="s">
        <v>54</v>
      </c>
      <c r="C15" s="25" t="s">
        <v>23</v>
      </c>
      <c r="D15" s="25" t="s">
        <v>28</v>
      </c>
      <c r="E15" s="8">
        <v>43626</v>
      </c>
      <c r="F15" s="9">
        <f t="shared" si="0"/>
        <v>0.75</v>
      </c>
      <c r="G15" s="11">
        <v>28</v>
      </c>
      <c r="H15" s="11">
        <v>21</v>
      </c>
    </row>
    <row r="16" spans="1:8">
      <c r="A16" s="25" t="s">
        <v>55</v>
      </c>
      <c r="B16" s="25" t="s">
        <v>56</v>
      </c>
      <c r="C16" s="25" t="s">
        <v>23</v>
      </c>
      <c r="D16" s="25" t="s">
        <v>35</v>
      </c>
      <c r="E16" s="8">
        <v>42865</v>
      </c>
      <c r="F16" s="9">
        <f t="shared" si="0"/>
        <v>0.95652173913043481</v>
      </c>
      <c r="G16" s="11">
        <v>115</v>
      </c>
      <c r="H16" s="11">
        <v>110</v>
      </c>
    </row>
    <row r="17" spans="1:8">
      <c r="A17" s="25" t="s">
        <v>57</v>
      </c>
      <c r="B17" s="25" t="s">
        <v>58</v>
      </c>
      <c r="C17" s="25" t="s">
        <v>50</v>
      </c>
      <c r="D17" s="25" t="s">
        <v>35</v>
      </c>
      <c r="E17" s="8">
        <v>42465</v>
      </c>
      <c r="F17" s="9">
        <f t="shared" si="0"/>
        <v>0.92941176470588238</v>
      </c>
      <c r="G17" s="11">
        <v>85</v>
      </c>
      <c r="H17" s="11">
        <v>79</v>
      </c>
    </row>
    <row r="19" spans="1:8">
      <c r="A19" s="6" t="s">
        <v>70</v>
      </c>
      <c r="B19" s="6" t="s">
        <v>71</v>
      </c>
      <c r="C19" s="6" t="s">
        <v>72</v>
      </c>
      <c r="D19" s="6" t="s">
        <v>73</v>
      </c>
      <c r="E19" s="7" t="s">
        <v>106</v>
      </c>
      <c r="F19" s="7" t="s">
        <v>103</v>
      </c>
      <c r="G19" s="7" t="s">
        <v>104</v>
      </c>
      <c r="H19" s="6" t="s">
        <v>101</v>
      </c>
    </row>
    <row r="20" spans="1:8">
      <c r="A20" s="6" t="s">
        <v>74</v>
      </c>
      <c r="B20" s="6" t="s">
        <v>75</v>
      </c>
      <c r="C20" s="6" t="s">
        <v>119</v>
      </c>
      <c r="D20" s="18" t="s">
        <v>76</v>
      </c>
      <c r="E20" s="20">
        <v>30</v>
      </c>
      <c r="F20" s="18">
        <v>380000</v>
      </c>
      <c r="G20" s="18">
        <f>F20*(1-10%)</f>
        <v>342000</v>
      </c>
      <c r="H20" s="8" t="s">
        <v>137</v>
      </c>
    </row>
    <row r="21" spans="1:8">
      <c r="A21" s="6" t="s">
        <v>77</v>
      </c>
      <c r="B21" s="6" t="s">
        <v>78</v>
      </c>
      <c r="C21" s="6" t="s">
        <v>79</v>
      </c>
      <c r="D21" s="18" t="s">
        <v>80</v>
      </c>
      <c r="E21" s="20">
        <v>60</v>
      </c>
      <c r="F21" s="18">
        <v>390000</v>
      </c>
      <c r="G21" s="18">
        <f t="shared" ref="G21:G32" si="1">F21*(1-10%)</f>
        <v>351000</v>
      </c>
      <c r="H21" s="8" t="s">
        <v>138</v>
      </c>
    </row>
    <row r="22" spans="1:8">
      <c r="A22" s="6" t="s">
        <v>81</v>
      </c>
      <c r="B22" s="6" t="s">
        <v>82</v>
      </c>
      <c r="C22" s="6" t="s">
        <v>79</v>
      </c>
      <c r="D22" s="18" t="s">
        <v>83</v>
      </c>
      <c r="E22" s="20">
        <v>20</v>
      </c>
      <c r="F22" s="18">
        <v>2700000</v>
      </c>
      <c r="G22" s="18">
        <f t="shared" si="1"/>
        <v>2430000</v>
      </c>
      <c r="H22" s="8" t="s">
        <v>139</v>
      </c>
    </row>
    <row r="23" spans="1:8">
      <c r="A23" s="6" t="s">
        <v>84</v>
      </c>
      <c r="B23" s="6" t="s">
        <v>85</v>
      </c>
      <c r="C23" s="6" t="s">
        <v>79</v>
      </c>
      <c r="D23" s="18" t="s">
        <v>87</v>
      </c>
      <c r="E23" s="20">
        <v>25</v>
      </c>
      <c r="F23" s="18">
        <v>1800000</v>
      </c>
      <c r="G23" s="18">
        <f t="shared" si="1"/>
        <v>1620000</v>
      </c>
      <c r="H23" s="8" t="s">
        <v>140</v>
      </c>
    </row>
    <row r="24" spans="1:8">
      <c r="A24" s="6" t="s">
        <v>88</v>
      </c>
      <c r="B24" s="6" t="s">
        <v>89</v>
      </c>
      <c r="C24" s="6" t="s">
        <v>90</v>
      </c>
      <c r="D24" s="18" t="s">
        <v>91</v>
      </c>
      <c r="E24" s="20">
        <v>40</v>
      </c>
      <c r="F24" s="18">
        <v>450000</v>
      </c>
      <c r="G24" s="18">
        <f t="shared" si="1"/>
        <v>405000</v>
      </c>
      <c r="H24" s="8" t="s">
        <v>141</v>
      </c>
    </row>
    <row r="25" spans="1:8">
      <c r="A25" s="6" t="s">
        <v>92</v>
      </c>
      <c r="B25" s="6" t="s">
        <v>93</v>
      </c>
      <c r="C25" s="6" t="s">
        <v>79</v>
      </c>
      <c r="D25" s="18" t="s">
        <v>91</v>
      </c>
      <c r="E25" s="20">
        <v>40</v>
      </c>
      <c r="F25" s="18">
        <v>680000</v>
      </c>
      <c r="G25" s="18">
        <f t="shared" si="1"/>
        <v>612000</v>
      </c>
      <c r="H25" s="8" t="s">
        <v>142</v>
      </c>
    </row>
    <row r="26" spans="1:8">
      <c r="A26" s="6" t="s">
        <v>95</v>
      </c>
      <c r="B26" s="6" t="s">
        <v>96</v>
      </c>
      <c r="C26" s="6" t="s">
        <v>90</v>
      </c>
      <c r="D26" s="18" t="s">
        <v>76</v>
      </c>
      <c r="E26" s="20">
        <v>30</v>
      </c>
      <c r="F26" s="18">
        <v>490000</v>
      </c>
      <c r="G26" s="18">
        <f t="shared" si="1"/>
        <v>441000</v>
      </c>
      <c r="H26" s="8" t="s">
        <v>143</v>
      </c>
    </row>
    <row r="27" spans="1:8">
      <c r="A27" s="6" t="s">
        <v>98</v>
      </c>
      <c r="B27" s="6" t="s">
        <v>99</v>
      </c>
      <c r="C27" s="6" t="s">
        <v>119</v>
      </c>
      <c r="D27" s="18" t="s">
        <v>76</v>
      </c>
      <c r="E27" s="20">
        <v>25</v>
      </c>
      <c r="F27" s="18">
        <v>590000</v>
      </c>
      <c r="G27" s="18">
        <f t="shared" si="1"/>
        <v>531000</v>
      </c>
      <c r="H27" s="8" t="s">
        <v>144</v>
      </c>
    </row>
    <row r="28" spans="1:8">
      <c r="A28" s="25" t="s">
        <v>128</v>
      </c>
      <c r="B28" s="25" t="s">
        <v>107</v>
      </c>
      <c r="C28" s="25" t="s">
        <v>79</v>
      </c>
      <c r="D28" s="25" t="s">
        <v>76</v>
      </c>
      <c r="E28" s="21">
        <v>30</v>
      </c>
      <c r="F28" s="11">
        <v>750000</v>
      </c>
      <c r="G28" s="18">
        <f t="shared" si="1"/>
        <v>675000</v>
      </c>
      <c r="H28" s="25" t="s">
        <v>145</v>
      </c>
    </row>
    <row r="29" spans="1:8">
      <c r="A29" s="25" t="s">
        <v>129</v>
      </c>
      <c r="B29" s="25" t="s">
        <v>108</v>
      </c>
      <c r="C29" s="25" t="s">
        <v>119</v>
      </c>
      <c r="D29" s="25" t="s">
        <v>91</v>
      </c>
      <c r="E29" s="21">
        <v>25</v>
      </c>
      <c r="F29" s="11">
        <v>390000</v>
      </c>
      <c r="G29" s="18">
        <f t="shared" si="1"/>
        <v>351000</v>
      </c>
      <c r="H29" s="25" t="s">
        <v>146</v>
      </c>
    </row>
    <row r="30" spans="1:8">
      <c r="A30" s="25" t="s">
        <v>130</v>
      </c>
      <c r="B30" s="25" t="s">
        <v>109</v>
      </c>
      <c r="C30" s="25" t="s">
        <v>118</v>
      </c>
      <c r="D30" s="25" t="s">
        <v>76</v>
      </c>
      <c r="E30" s="21">
        <v>35</v>
      </c>
      <c r="F30" s="11">
        <v>450000</v>
      </c>
      <c r="G30" s="18">
        <f t="shared" si="1"/>
        <v>405000</v>
      </c>
      <c r="H30" s="25" t="s">
        <v>147</v>
      </c>
    </row>
    <row r="31" spans="1:8">
      <c r="A31" s="25" t="s">
        <v>131</v>
      </c>
      <c r="B31" s="25" t="s">
        <v>110</v>
      </c>
      <c r="C31" s="25" t="s">
        <v>90</v>
      </c>
      <c r="D31" s="25" t="s">
        <v>80</v>
      </c>
      <c r="E31" s="21">
        <v>20</v>
      </c>
      <c r="F31" s="11">
        <v>400000</v>
      </c>
      <c r="G31" s="18">
        <f t="shared" si="1"/>
        <v>360000</v>
      </c>
      <c r="H31" s="25" t="s">
        <v>148</v>
      </c>
    </row>
    <row r="32" spans="1:8">
      <c r="A32" s="25" t="s">
        <v>132</v>
      </c>
      <c r="B32" s="25" t="s">
        <v>111</v>
      </c>
      <c r="C32" s="25" t="s">
        <v>79</v>
      </c>
      <c r="D32" s="25" t="s">
        <v>80</v>
      </c>
      <c r="E32" s="21">
        <v>45</v>
      </c>
      <c r="F32" s="11">
        <v>580000</v>
      </c>
      <c r="G32" s="18">
        <f t="shared" si="1"/>
        <v>522000</v>
      </c>
      <c r="H32" s="25" t="s">
        <v>149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r:id="rId1"/>
  <headerFooter>
    <oddFooter>&amp;C- &amp;P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M27"/>
  <sheetViews>
    <sheetView workbookViewId="0"/>
  </sheetViews>
  <sheetFormatPr defaultRowHeight="16.5"/>
  <cols>
    <col min="2" max="2" width="10.625" bestFit="1" customWidth="1"/>
    <col min="4" max="4" width="9.75" customWidth="1"/>
    <col min="5" max="5" width="15.125" bestFit="1" customWidth="1"/>
    <col min="6" max="6" width="13.875" customWidth="1"/>
    <col min="7" max="7" width="1.625" customWidth="1"/>
    <col min="8" max="8" width="12.5" customWidth="1"/>
    <col min="10" max="10" width="13.125" bestFit="1" customWidth="1"/>
    <col min="11" max="11" width="13.625" bestFit="1" customWidth="1"/>
    <col min="12" max="12" width="14.125" bestFit="1" customWidth="1"/>
  </cols>
  <sheetData>
    <row r="1" spans="1:13">
      <c r="A1" t="s">
        <v>209</v>
      </c>
      <c r="H1" t="s">
        <v>210</v>
      </c>
    </row>
    <row r="2" spans="1:13">
      <c r="A2" s="45" t="s">
        <v>191</v>
      </c>
      <c r="B2" s="48" t="s">
        <v>192</v>
      </c>
      <c r="C2" s="48" t="s">
        <v>193</v>
      </c>
      <c r="D2" s="48" t="s">
        <v>194</v>
      </c>
      <c r="E2" s="44" t="s">
        <v>195</v>
      </c>
      <c r="F2" s="44" t="s">
        <v>196</v>
      </c>
      <c r="H2" t="s">
        <v>199</v>
      </c>
    </row>
    <row r="3" spans="1:13">
      <c r="A3" s="45" t="s">
        <v>197</v>
      </c>
      <c r="B3" s="11">
        <v>1550000</v>
      </c>
      <c r="C3" s="1">
        <v>3</v>
      </c>
      <c r="D3" s="42" t="s">
        <v>212</v>
      </c>
      <c r="E3" s="46">
        <f>B3*HLOOKUP(C3,$I$3:$M$6,MATCH(D3,{"한국카드","대한카드"},-1)+2)</f>
        <v>46500</v>
      </c>
      <c r="F3" s="42" t="str" cm="1">
        <f t="array" ref="F3">_xlfn.IFS(LEFT(A3,1)="A","앱주문(",LEFT(A3,1)="S","매장주문(",LEFT(A3,1)="M","상담원(")&amp;COUNTIF($A$3:A3,LEFT(A3,1)&amp;"*")&amp;"건)"</f>
        <v>앱주문(1건)</v>
      </c>
      <c r="H3" s="64" t="s">
        <v>201</v>
      </c>
      <c r="I3" s="1">
        <v>0</v>
      </c>
      <c r="J3" s="1">
        <v>3</v>
      </c>
      <c r="K3" s="1">
        <v>6</v>
      </c>
      <c r="L3" s="1">
        <v>9</v>
      </c>
      <c r="M3" s="1">
        <v>12</v>
      </c>
    </row>
    <row r="4" spans="1:13">
      <c r="A4" s="45" t="s">
        <v>198</v>
      </c>
      <c r="B4" s="11">
        <v>1450000</v>
      </c>
      <c r="C4" s="1">
        <v>6</v>
      </c>
      <c r="D4" s="42" t="s">
        <v>217</v>
      </c>
      <c r="E4" s="46">
        <f>B4*HLOOKUP(C4,$I$3:$M$6,MATCH(D4,{"한국카드","대한카드"},-1)+2)</f>
        <v>43500</v>
      </c>
      <c r="F4" s="61" t="str" cm="1">
        <f t="array" ref="F4">_xlfn.IFS(LEFT(A4,1)="A","앱주문(",LEFT(A4,1)="S","매장주문(",LEFT(A4,1)="M","상담원(")&amp;COUNTIF($A$3:A4,LEFT(A4,1)&amp;"*")&amp;"건)"</f>
        <v>매장주문(1건)</v>
      </c>
      <c r="H4" s="65"/>
      <c r="I4" s="1">
        <v>2</v>
      </c>
      <c r="J4" s="1">
        <v>5</v>
      </c>
      <c r="K4" s="1">
        <v>8</v>
      </c>
      <c r="L4" s="1">
        <v>11</v>
      </c>
      <c r="M4" s="1"/>
    </row>
    <row r="5" spans="1:13">
      <c r="A5" s="45" t="s">
        <v>200</v>
      </c>
      <c r="B5" s="11">
        <v>2220000</v>
      </c>
      <c r="C5" s="1">
        <v>10</v>
      </c>
      <c r="D5" s="42" t="s">
        <v>213</v>
      </c>
      <c r="E5" s="46">
        <f>B5*HLOOKUP(C5,$I$3:$M$6,MATCH(D5,{"한국카드","대한카드"},-1)+2)</f>
        <v>111000</v>
      </c>
      <c r="F5" s="61" t="str" cm="1">
        <f t="array" ref="F5">_xlfn.IFS(LEFT(A5,1)="A","앱주문(",LEFT(A5,1)="S","매장주문(",LEFT(A5,1)="M","상담원(")&amp;COUNTIF($A$3:A5,LEFT(A5,1)&amp;"*")&amp;"건)"</f>
        <v>상담원(1건)</v>
      </c>
      <c r="H5" s="42" t="s">
        <v>216</v>
      </c>
      <c r="I5" s="19">
        <v>0</v>
      </c>
      <c r="J5" s="19">
        <v>0.02</v>
      </c>
      <c r="K5" s="19">
        <v>0.03</v>
      </c>
      <c r="L5" s="19">
        <v>0.04</v>
      </c>
      <c r="M5" s="19">
        <v>0.05</v>
      </c>
    </row>
    <row r="6" spans="1:13">
      <c r="A6" s="45" t="s">
        <v>202</v>
      </c>
      <c r="B6" s="11">
        <v>1520000</v>
      </c>
      <c r="C6" s="1">
        <v>6</v>
      </c>
      <c r="D6" s="42" t="s">
        <v>215</v>
      </c>
      <c r="E6" s="46">
        <f>B6*HLOOKUP(C6,$I$3:$M$6,MATCH(D6,{"한국카드","대한카드"},-1)+2)</f>
        <v>45600</v>
      </c>
      <c r="F6" s="61" t="str" cm="1">
        <f t="array" ref="F6">_xlfn.IFS(LEFT(A6,1)="A","앱주문(",LEFT(A6,1)="S","매장주문(",LEFT(A6,1)="M","상담원(")&amp;COUNTIF($A$3:A6,LEFT(A6,1)&amp;"*")&amp;"건)"</f>
        <v>매장주문(2건)</v>
      </c>
      <c r="H6" s="42" t="s">
        <v>211</v>
      </c>
      <c r="I6" s="19">
        <v>0</v>
      </c>
      <c r="J6" s="19">
        <v>0.03</v>
      </c>
      <c r="K6" s="19">
        <v>0.04</v>
      </c>
      <c r="L6" s="19">
        <v>0.05</v>
      </c>
      <c r="M6" s="19">
        <v>0.06</v>
      </c>
    </row>
    <row r="7" spans="1:13">
      <c r="A7" s="45" t="s">
        <v>203</v>
      </c>
      <c r="B7" s="11">
        <v>1450000</v>
      </c>
      <c r="C7" s="1">
        <v>0</v>
      </c>
      <c r="D7" s="42" t="s">
        <v>212</v>
      </c>
      <c r="E7" s="46">
        <f>B7*HLOOKUP(C7,$I$3:$M$6,MATCH(D7,{"한국카드","대한카드"},-1)+2)</f>
        <v>0</v>
      </c>
      <c r="F7" s="61" t="str" cm="1">
        <f t="array" ref="F7">_xlfn.IFS(LEFT(A7,1)="A","앱주문(",LEFT(A7,1)="S","매장주문(",LEFT(A7,1)="M","상담원(")&amp;COUNTIF($A$3:A7,LEFT(A7,1)&amp;"*")&amp;"건)"</f>
        <v>상담원(2건)</v>
      </c>
    </row>
    <row r="8" spans="1:13">
      <c r="A8" s="45" t="s">
        <v>204</v>
      </c>
      <c r="B8" s="11">
        <v>880000</v>
      </c>
      <c r="C8" s="1">
        <v>3</v>
      </c>
      <c r="D8" s="42" t="s">
        <v>218</v>
      </c>
      <c r="E8" s="46">
        <f>B8*HLOOKUP(C8,$I$3:$M$6,MATCH(D8,{"한국카드","대한카드"},-1)+2)</f>
        <v>26400</v>
      </c>
      <c r="F8" s="61" t="str" cm="1">
        <f t="array" ref="F8">_xlfn.IFS(LEFT(A8,1)="A","앱주문(",LEFT(A8,1)="S","매장주문(",LEFT(A8,1)="M","상담원(")&amp;COUNTIF($A$3:A8,LEFT(A8,1)&amp;"*")&amp;"건)"</f>
        <v>상담원(3건)</v>
      </c>
      <c r="H8" s="50" t="s">
        <v>232</v>
      </c>
    </row>
    <row r="9" spans="1:13">
      <c r="A9" s="45" t="s">
        <v>205</v>
      </c>
      <c r="B9" s="11">
        <v>750000</v>
      </c>
      <c r="C9" s="1">
        <v>6</v>
      </c>
      <c r="D9" s="42" t="s">
        <v>212</v>
      </c>
      <c r="E9" s="46">
        <f>B9*HLOOKUP(C9,$I$3:$M$6,MATCH(D9,{"한국카드","대한카드"},-1)+2)</f>
        <v>30000</v>
      </c>
      <c r="F9" s="61" t="str" cm="1">
        <f t="array" ref="F9">_xlfn.IFS(LEFT(A9,1)="A","앱주문(",LEFT(A9,1)="S","매장주문(",LEFT(A9,1)="M","상담원(")&amp;COUNTIF($A$3:A9,LEFT(A9,1)&amp;"*")&amp;"건)"</f>
        <v>앱주문(2건)</v>
      </c>
      <c r="H9" s="62" t="s">
        <v>233</v>
      </c>
      <c r="I9" s="63"/>
      <c r="J9" s="11">
        <f t="array" ref="J9">AVERAGE(LARGE(B3:B12,{1,2,3,4,5}))</f>
        <v>1658000</v>
      </c>
    </row>
    <row r="10" spans="1:13">
      <c r="A10" s="45" t="s">
        <v>206</v>
      </c>
      <c r="B10" s="11">
        <v>450000</v>
      </c>
      <c r="C10" s="1">
        <v>3</v>
      </c>
      <c r="D10" s="42" t="s">
        <v>214</v>
      </c>
      <c r="E10" s="46">
        <f>B10*HLOOKUP(C10,$I$3:$M$6,MATCH(D10,{"한국카드","대한카드"},-1)+2)</f>
        <v>13500</v>
      </c>
      <c r="F10" s="61" t="str" cm="1">
        <f t="array" ref="F10">_xlfn.IFS(LEFT(A10,1)="A","앱주문(",LEFT(A10,1)="S","매장주문(",LEFT(A10,1)="M","상담원(")&amp;COUNTIF($A$3:A10,LEFT(A10,1)&amp;"*")&amp;"건)"</f>
        <v>매장주문(3건)</v>
      </c>
    </row>
    <row r="11" spans="1:13">
      <c r="A11" s="45" t="s">
        <v>207</v>
      </c>
      <c r="B11" s="11">
        <v>1550000</v>
      </c>
      <c r="C11" s="1">
        <v>6</v>
      </c>
      <c r="D11" s="42" t="s">
        <v>219</v>
      </c>
      <c r="E11" s="46">
        <f>B11*HLOOKUP(C11,$I$3:$M$6,MATCH(D11,{"한국카드","대한카드"},-1)+2)</f>
        <v>62000</v>
      </c>
      <c r="F11" s="61" t="str" cm="1">
        <f t="array" ref="F11">_xlfn.IFS(LEFT(A11,1)="A","앱주문(",LEFT(A11,1)="S","매장주문(",LEFT(A11,1)="M","상담원(")&amp;COUNTIF($A$3:A11,LEFT(A11,1)&amp;"*")&amp;"건)"</f>
        <v>앱주문(3건)</v>
      </c>
    </row>
    <row r="12" spans="1:13">
      <c r="A12" s="45" t="s">
        <v>208</v>
      </c>
      <c r="B12" s="11">
        <v>1020000</v>
      </c>
      <c r="C12" s="1">
        <v>10</v>
      </c>
      <c r="D12" s="42" t="s">
        <v>215</v>
      </c>
      <c r="E12" s="46">
        <f>B12*HLOOKUP(C12,$I$3:$M$6,MATCH(D12,{"한국카드","대한카드"},-1)+2)</f>
        <v>40800</v>
      </c>
      <c r="F12" s="61" t="str" cm="1">
        <f t="array" ref="F12">_xlfn.IFS(LEFT(A12,1)="A","앱주문(",LEFT(A12,1)="S","매장주문(",LEFT(A12,1)="M","상담원(")&amp;COUNTIF($A$3:A12,LEFT(A12,1)&amp;"*")&amp;"건)"</f>
        <v>상담원(4건)</v>
      </c>
      <c r="J12" s="47"/>
      <c r="K12" s="47"/>
      <c r="L12" s="47"/>
      <c r="M12" s="47"/>
    </row>
    <row r="14" spans="1:13">
      <c r="A14" s="53" t="s">
        <v>238</v>
      </c>
      <c r="H14" s="51" t="s">
        <v>239</v>
      </c>
      <c r="I14" s="51"/>
      <c r="J14" s="51"/>
      <c r="K14" s="51"/>
    </row>
    <row r="15" spans="1:13">
      <c r="A15" s="54" t="s">
        <v>10</v>
      </c>
      <c r="B15" s="54" t="s">
        <v>234</v>
      </c>
      <c r="C15" s="54" t="s">
        <v>235</v>
      </c>
      <c r="D15" s="54" t="s">
        <v>236</v>
      </c>
      <c r="E15" s="54" t="s">
        <v>237</v>
      </c>
      <c r="F15" s="44" t="s">
        <v>241</v>
      </c>
      <c r="H15" t="s">
        <v>240</v>
      </c>
    </row>
    <row r="16" spans="1:13">
      <c r="A16" s="43" t="s">
        <v>220</v>
      </c>
      <c r="B16" s="56">
        <v>100</v>
      </c>
      <c r="C16" s="56">
        <v>85</v>
      </c>
      <c r="D16" s="56">
        <v>68</v>
      </c>
      <c r="E16" s="55" t="s">
        <v>246</v>
      </c>
      <c r="F16" s="57" cm="1">
        <f t="array" ref="F16">fn환산점(B16,C16,D16)</f>
        <v>85.9</v>
      </c>
      <c r="H16" s="44" t="s">
        <v>242</v>
      </c>
      <c r="I16" s="44" t="s">
        <v>257</v>
      </c>
      <c r="J16" s="44" t="s">
        <v>258</v>
      </c>
      <c r="K16" s="44" t="s">
        <v>259</v>
      </c>
    </row>
    <row r="17" spans="1:11">
      <c r="A17" s="43" t="s">
        <v>221</v>
      </c>
      <c r="B17" s="56">
        <v>75</v>
      </c>
      <c r="C17" s="56">
        <v>80</v>
      </c>
      <c r="D17" s="56">
        <v>85</v>
      </c>
      <c r="E17" s="55" t="s">
        <v>247</v>
      </c>
      <c r="F17" s="57" cm="1">
        <f t="array" ref="F17">fn환산점(B17,C17,D17)</f>
        <v>79.5</v>
      </c>
      <c r="H17" s="44" t="s">
        <v>243</v>
      </c>
      <c r="I17" s="52">
        <f t="array" ref="I17">COUNT(FIND($H17,$E$16:$E$27)*FIND(I$16,$E$16:$E$27))</f>
        <v>2</v>
      </c>
      <c r="J17" s="52">
        <f t="array" ref="J17">COUNT(FIND($H17,$E$16:$E$27)*FIND(J$16,$E$16:$E$27))</f>
        <v>1</v>
      </c>
      <c r="K17" s="52">
        <f t="array" ref="K17">COUNT(FIND($H17,$E$16:$E$27)*FIND(K$16,$E$16:$E$27))</f>
        <v>1</v>
      </c>
    </row>
    <row r="18" spans="1:11">
      <c r="A18" s="43" t="s">
        <v>222</v>
      </c>
      <c r="B18" s="56">
        <v>95</v>
      </c>
      <c r="C18" s="56">
        <v>56</v>
      </c>
      <c r="D18" s="56">
        <v>64</v>
      </c>
      <c r="E18" s="55" t="s">
        <v>248</v>
      </c>
      <c r="F18" s="57" cm="1">
        <f t="array" ref="F18">fn환산점(B18,C18,D18)</f>
        <v>0</v>
      </c>
      <c r="H18" s="44" t="s">
        <v>244</v>
      </c>
      <c r="I18" s="52">
        <f t="array" ref="I18">COUNT(FIND($H18,$E$16:$E$27)*FIND(I$16,$E$16:$E$27))</f>
        <v>1</v>
      </c>
      <c r="J18" s="52">
        <f t="array" ref="J18">COUNT(FIND($H18,$E$16:$E$27)*FIND(J$16,$E$16:$E$27))</f>
        <v>2</v>
      </c>
      <c r="K18" s="52">
        <f t="array" ref="K18">COUNT(FIND($H18,$E$16:$E$27)*FIND(K$16,$E$16:$E$27))</f>
        <v>1</v>
      </c>
    </row>
    <row r="19" spans="1:11">
      <c r="A19" s="43" t="s">
        <v>223</v>
      </c>
      <c r="B19" s="56">
        <v>85</v>
      </c>
      <c r="C19" s="56">
        <v>70</v>
      </c>
      <c r="D19" s="56">
        <v>76</v>
      </c>
      <c r="E19" s="55" t="s">
        <v>249</v>
      </c>
      <c r="F19" s="57" cm="1">
        <f t="array" ref="F19">fn환산점(B19,C19,D19)</f>
        <v>77.8</v>
      </c>
      <c r="H19" s="44" t="s">
        <v>245</v>
      </c>
      <c r="I19" s="52">
        <f t="array" ref="I19">COUNT(FIND($H19,$E$16:$E$27)*FIND(I$16,$E$16:$E$27))</f>
        <v>1</v>
      </c>
      <c r="J19" s="52">
        <f t="array" ref="J19">COUNT(FIND($H19,$E$16:$E$27)*FIND(J$16,$E$16:$E$27))</f>
        <v>2</v>
      </c>
      <c r="K19" s="52">
        <f t="array" ref="K19">COUNT(FIND($H19,$E$16:$E$27)*FIND(K$16,$E$16:$E$27))</f>
        <v>1</v>
      </c>
    </row>
    <row r="20" spans="1:11">
      <c r="A20" s="43" t="s">
        <v>224</v>
      </c>
      <c r="B20" s="56">
        <v>79</v>
      </c>
      <c r="C20" s="56">
        <v>90</v>
      </c>
      <c r="D20" s="56">
        <v>54</v>
      </c>
      <c r="E20" s="55" t="s">
        <v>250</v>
      </c>
      <c r="F20" s="57" cm="1">
        <f t="array" ref="F20">fn환산점(B20,C20,D20)</f>
        <v>0</v>
      </c>
    </row>
    <row r="21" spans="1:11">
      <c r="A21" s="43" t="s">
        <v>225</v>
      </c>
      <c r="B21" s="56">
        <v>70</v>
      </c>
      <c r="C21" s="56">
        <v>100</v>
      </c>
      <c r="D21" s="56">
        <v>85</v>
      </c>
      <c r="E21" s="55" t="s">
        <v>251</v>
      </c>
      <c r="F21" s="57" cm="1">
        <f t="array" ref="F21">fn환산점(B21,C21,D21)</f>
        <v>83.5</v>
      </c>
    </row>
    <row r="22" spans="1:11">
      <c r="A22" s="43" t="s">
        <v>226</v>
      </c>
      <c r="B22" s="56">
        <v>90</v>
      </c>
      <c r="C22" s="56">
        <v>85</v>
      </c>
      <c r="D22" s="56">
        <v>72</v>
      </c>
      <c r="E22" s="55" t="s">
        <v>252</v>
      </c>
      <c r="F22" s="57" cm="1">
        <f t="array" ref="F22">fn환산점(B22,C22,D22)</f>
        <v>83.1</v>
      </c>
    </row>
    <row r="23" spans="1:11">
      <c r="A23" s="43" t="s">
        <v>227</v>
      </c>
      <c r="B23" s="56">
        <v>100</v>
      </c>
      <c r="C23" s="56">
        <v>90</v>
      </c>
      <c r="D23" s="56">
        <v>76</v>
      </c>
      <c r="E23" s="55" t="s">
        <v>253</v>
      </c>
      <c r="F23" s="57" cm="1">
        <f t="array" ref="F23">fn환산점(B23,C23,D23)</f>
        <v>89.8</v>
      </c>
    </row>
    <row r="24" spans="1:11">
      <c r="A24" s="43" t="s">
        <v>228</v>
      </c>
      <c r="B24" s="56">
        <v>95</v>
      </c>
      <c r="C24" s="56">
        <v>83</v>
      </c>
      <c r="D24" s="56">
        <v>72</v>
      </c>
      <c r="E24" s="55" t="s">
        <v>254</v>
      </c>
      <c r="F24" s="57" cm="1">
        <f t="array" ref="F24">fn환산점(B24,C24,D24)</f>
        <v>84.5</v>
      </c>
    </row>
    <row r="25" spans="1:11">
      <c r="A25" s="43" t="s">
        <v>229</v>
      </c>
      <c r="B25" s="56">
        <v>85</v>
      </c>
      <c r="C25" s="56">
        <v>64</v>
      </c>
      <c r="D25" s="56">
        <v>100</v>
      </c>
      <c r="E25" s="55" t="s">
        <v>255</v>
      </c>
      <c r="F25" s="57" cm="1">
        <f t="array" ref="F25">fn환산점(B25,C25,D25)</f>
        <v>83.2</v>
      </c>
    </row>
    <row r="26" spans="1:11">
      <c r="A26" s="49" t="s">
        <v>230</v>
      </c>
      <c r="B26" s="56">
        <v>90</v>
      </c>
      <c r="C26" s="56">
        <v>85</v>
      </c>
      <c r="D26" s="56">
        <v>90</v>
      </c>
      <c r="E26" s="55" t="s">
        <v>252</v>
      </c>
      <c r="F26" s="57" cm="1">
        <f t="array" ref="F26">fn환산점(B26,C26,D26)</f>
        <v>88.5</v>
      </c>
    </row>
    <row r="27" spans="1:11">
      <c r="A27" s="49" t="s">
        <v>231</v>
      </c>
      <c r="B27" s="56">
        <v>55</v>
      </c>
      <c r="C27" s="56">
        <v>90</v>
      </c>
      <c r="D27" s="56">
        <v>100</v>
      </c>
      <c r="E27" s="55" t="s">
        <v>256</v>
      </c>
      <c r="F27" s="57" cm="1">
        <f t="array" ref="F27">fn환산점(B27,C27,D27)</f>
        <v>0</v>
      </c>
    </row>
  </sheetData>
  <mergeCells count="2">
    <mergeCell ref="H9:I9"/>
    <mergeCell ref="H3:H4"/>
  </mergeCells>
  <phoneticPr fontId="1" type="noConversion"/>
  <conditionalFormatting sqref="A16:F27">
    <cfRule type="expression" dxfId="0" priority="3" stopIfTrue="1">
      <formula>AND(#REF!&gt;=90, OR(MID($A16,3,1)="M", MID($A16,3,1)="G"))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1"/>
  <sheetViews>
    <sheetView workbookViewId="0"/>
  </sheetViews>
  <sheetFormatPr defaultRowHeight="16.5"/>
  <cols>
    <col min="1" max="1" width="23.875" bestFit="1" customWidth="1"/>
    <col min="2" max="9" width="15.25" bestFit="1" customWidth="1"/>
    <col min="10" max="10" width="18" bestFit="1" customWidth="1"/>
    <col min="11" max="12" width="20.125" bestFit="1" customWidth="1"/>
  </cols>
  <sheetData>
    <row r="1" spans="1:5">
      <c r="A1" s="14" t="s">
        <v>60</v>
      </c>
      <c r="B1" t="s">
        <v>61</v>
      </c>
    </row>
    <row r="3" spans="1:5">
      <c r="A3" s="59"/>
      <c r="B3" s="15" t="s">
        <v>11</v>
      </c>
      <c r="C3" s="15" t="s">
        <v>66</v>
      </c>
      <c r="D3" s="59"/>
      <c r="E3" s="59"/>
    </row>
    <row r="4" spans="1:5">
      <c r="A4" s="59"/>
      <c r="B4" s="66" t="s">
        <v>62</v>
      </c>
      <c r="C4" s="67"/>
      <c r="D4" s="66" t="s">
        <v>63</v>
      </c>
      <c r="E4" s="67"/>
    </row>
    <row r="5" spans="1:5">
      <c r="A5" s="15" t="s">
        <v>67</v>
      </c>
      <c r="B5" s="58" t="s">
        <v>65</v>
      </c>
      <c r="C5" s="58" t="s">
        <v>68</v>
      </c>
      <c r="D5" s="58" t="s">
        <v>65</v>
      </c>
      <c r="E5" s="58" t="s">
        <v>68</v>
      </c>
    </row>
    <row r="6" spans="1:5">
      <c r="A6" s="59" t="s">
        <v>260</v>
      </c>
      <c r="B6" s="16">
        <v>235000</v>
      </c>
      <c r="C6" s="16">
        <v>4230000</v>
      </c>
      <c r="D6" s="16">
        <v>374000</v>
      </c>
      <c r="E6" s="16">
        <v>4488000</v>
      </c>
    </row>
    <row r="7" spans="1:5">
      <c r="A7" s="59" t="s">
        <v>261</v>
      </c>
      <c r="B7" s="16">
        <v>176000</v>
      </c>
      <c r="C7" s="16">
        <v>2816000</v>
      </c>
      <c r="D7" s="16">
        <v>369000</v>
      </c>
      <c r="E7" s="16">
        <v>14391000</v>
      </c>
    </row>
    <row r="8" spans="1:5">
      <c r="A8" s="59" t="s">
        <v>262</v>
      </c>
      <c r="B8" s="16">
        <v>20000</v>
      </c>
      <c r="C8" s="16">
        <v>460000</v>
      </c>
      <c r="D8" s="16" t="s">
        <v>69</v>
      </c>
      <c r="E8" s="16">
        <v>0</v>
      </c>
    </row>
    <row r="9" spans="1:5">
      <c r="A9" s="59" t="s">
        <v>263</v>
      </c>
      <c r="B9" s="16" t="s">
        <v>69</v>
      </c>
      <c r="C9" s="16">
        <v>0</v>
      </c>
      <c r="D9" s="16">
        <v>35000</v>
      </c>
      <c r="E9" s="16">
        <v>840000</v>
      </c>
    </row>
    <row r="10" spans="1:5">
      <c r="A10" s="59" t="s">
        <v>264</v>
      </c>
      <c r="B10" s="16" t="s">
        <v>69</v>
      </c>
      <c r="C10" s="16">
        <v>0</v>
      </c>
      <c r="D10" s="16">
        <v>265000</v>
      </c>
      <c r="E10" s="16">
        <v>11130000</v>
      </c>
    </row>
    <row r="11" spans="1:5">
      <c r="A11" s="59" t="s">
        <v>64</v>
      </c>
      <c r="B11" s="16">
        <v>431000</v>
      </c>
      <c r="C11" s="16">
        <v>24567000</v>
      </c>
      <c r="D11" s="16">
        <v>1043000</v>
      </c>
      <c r="E11" s="16">
        <v>122031000</v>
      </c>
    </row>
  </sheetData>
  <mergeCells count="2">
    <mergeCell ref="B4:C4"/>
    <mergeCell ref="D4:E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2.375" bestFit="1" customWidth="1"/>
    <col min="4" max="6" width="11.75" bestFit="1" customWidth="1" outlineLevel="1"/>
  </cols>
  <sheetData>
    <row r="1" spans="2:6" ht="17.25" thickBot="1"/>
    <row r="2" spans="2:6">
      <c r="B2" s="31" t="s">
        <v>180</v>
      </c>
      <c r="C2" s="32"/>
      <c r="D2" s="38"/>
      <c r="E2" s="38"/>
      <c r="F2" s="38"/>
    </row>
    <row r="3" spans="2:6" collapsed="1">
      <c r="B3" s="30"/>
      <c r="C3" s="30"/>
      <c r="D3" s="39" t="s">
        <v>182</v>
      </c>
      <c r="E3" s="39" t="s">
        <v>178</v>
      </c>
      <c r="F3" s="39" t="s">
        <v>179</v>
      </c>
    </row>
    <row r="4" spans="2:6" hidden="1" outlineLevel="1">
      <c r="B4" s="34"/>
      <c r="C4" s="34"/>
      <c r="D4" s="27"/>
      <c r="E4" s="41"/>
      <c r="F4" s="41"/>
    </row>
    <row r="5" spans="2:6">
      <c r="B5" s="35" t="s">
        <v>181</v>
      </c>
      <c r="C5" s="36"/>
      <c r="D5" s="33"/>
      <c r="E5" s="33"/>
      <c r="F5" s="33"/>
    </row>
    <row r="6" spans="2:6" outlineLevel="1">
      <c r="B6" s="34"/>
      <c r="C6" s="34" t="s">
        <v>176</v>
      </c>
      <c r="D6" s="28">
        <v>0.1</v>
      </c>
      <c r="E6" s="40">
        <v>0.05</v>
      </c>
      <c r="F6" s="40">
        <v>0.15</v>
      </c>
    </row>
    <row r="7" spans="2:6">
      <c r="B7" s="35" t="s">
        <v>183</v>
      </c>
      <c r="C7" s="36"/>
      <c r="D7" s="33"/>
      <c r="E7" s="33"/>
      <c r="F7" s="33"/>
    </row>
    <row r="8" spans="2:6" ht="17.25" outlineLevel="1" thickBot="1">
      <c r="B8" s="37"/>
      <c r="C8" s="37" t="s">
        <v>177</v>
      </c>
      <c r="D8" s="29">
        <v>11510100</v>
      </c>
      <c r="E8" s="29">
        <v>12149550</v>
      </c>
      <c r="F8" s="29">
        <v>10870650</v>
      </c>
    </row>
    <row r="9" spans="2:6">
      <c r="B9" t="s">
        <v>184</v>
      </c>
    </row>
    <row r="10" spans="2:6">
      <c r="B10" t="s">
        <v>185</v>
      </c>
    </row>
    <row r="11" spans="2:6">
      <c r="B11" t="s">
        <v>186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K21"/>
  <sheetViews>
    <sheetView workbookViewId="0"/>
  </sheetViews>
  <sheetFormatPr defaultRowHeight="16.5"/>
  <cols>
    <col min="2" max="2" width="12.375" customWidth="1"/>
    <col min="3" max="3" width="11" customWidth="1"/>
    <col min="4" max="4" width="10.625" customWidth="1"/>
    <col min="5" max="5" width="9.25" bestFit="1" customWidth="1"/>
    <col min="6" max="6" width="10.625" bestFit="1" customWidth="1"/>
    <col min="7" max="7" width="11.75" bestFit="1" customWidth="1"/>
    <col min="8" max="8" width="13.625" customWidth="1"/>
    <col min="9" max="9" width="19.75" customWidth="1"/>
    <col min="11" max="11" width="11" bestFit="1" customWidth="1"/>
  </cols>
  <sheetData>
    <row r="2" spans="1:11">
      <c r="A2" s="6" t="s">
        <v>70</v>
      </c>
      <c r="B2" s="6" t="s">
        <v>71</v>
      </c>
      <c r="C2" s="6" t="s">
        <v>72</v>
      </c>
      <c r="D2" s="6" t="s">
        <v>73</v>
      </c>
      <c r="E2" s="7" t="s">
        <v>106</v>
      </c>
      <c r="F2" s="7" t="s">
        <v>103</v>
      </c>
      <c r="G2" s="7" t="s">
        <v>104</v>
      </c>
      <c r="H2" s="6" t="s">
        <v>101</v>
      </c>
      <c r="I2" s="6" t="s">
        <v>102</v>
      </c>
      <c r="K2" s="60" t="s">
        <v>72</v>
      </c>
    </row>
    <row r="3" spans="1:11">
      <c r="A3" s="26" t="s">
        <v>135</v>
      </c>
      <c r="B3" s="26" t="s">
        <v>114</v>
      </c>
      <c r="C3" s="26" t="s">
        <v>115</v>
      </c>
      <c r="D3" s="26" t="s">
        <v>127</v>
      </c>
      <c r="E3" s="21">
        <v>25</v>
      </c>
      <c r="F3" s="11">
        <v>1850000</v>
      </c>
      <c r="G3" s="18">
        <f t="shared" ref="G3:G18" si="0">F3*(1-$B$21)</f>
        <v>1665000</v>
      </c>
      <c r="H3" s="26" t="s">
        <v>152</v>
      </c>
      <c r="I3" s="13" t="s">
        <v>168</v>
      </c>
      <c r="K3" s="60" t="s">
        <v>118</v>
      </c>
    </row>
    <row r="4" spans="1:11">
      <c r="A4" s="6" t="s">
        <v>81</v>
      </c>
      <c r="B4" s="6" t="s">
        <v>82</v>
      </c>
      <c r="C4" s="6" t="s">
        <v>122</v>
      </c>
      <c r="D4" s="18" t="s">
        <v>83</v>
      </c>
      <c r="E4" s="20">
        <v>20</v>
      </c>
      <c r="F4" s="18">
        <v>2700000</v>
      </c>
      <c r="G4" s="18">
        <f t="shared" si="0"/>
        <v>2430000</v>
      </c>
      <c r="H4" s="8" t="s">
        <v>139</v>
      </c>
      <c r="I4" s="13" t="s">
        <v>155</v>
      </c>
      <c r="K4" s="60" t="s">
        <v>79</v>
      </c>
    </row>
    <row r="5" spans="1:11">
      <c r="A5" s="26" t="s">
        <v>128</v>
      </c>
      <c r="B5" s="26" t="s">
        <v>107</v>
      </c>
      <c r="C5" s="26" t="s">
        <v>79</v>
      </c>
      <c r="D5" s="26" t="s">
        <v>123</v>
      </c>
      <c r="E5" s="21">
        <v>30</v>
      </c>
      <c r="F5" s="11">
        <v>750000</v>
      </c>
      <c r="G5" s="18">
        <f t="shared" si="0"/>
        <v>675000</v>
      </c>
      <c r="H5" s="26" t="s">
        <v>145</v>
      </c>
      <c r="I5" s="13" t="s">
        <v>161</v>
      </c>
      <c r="K5" s="60" t="s">
        <v>90</v>
      </c>
    </row>
    <row r="6" spans="1:11">
      <c r="A6" s="6" t="s">
        <v>77</v>
      </c>
      <c r="B6" s="6" t="s">
        <v>78</v>
      </c>
      <c r="C6" s="6" t="s">
        <v>79</v>
      </c>
      <c r="D6" s="18" t="s">
        <v>80</v>
      </c>
      <c r="E6" s="20">
        <v>60</v>
      </c>
      <c r="F6" s="18">
        <v>390000</v>
      </c>
      <c r="G6" s="18">
        <f t="shared" si="0"/>
        <v>351000</v>
      </c>
      <c r="H6" s="8" t="s">
        <v>138</v>
      </c>
      <c r="I6" s="13" t="s">
        <v>154</v>
      </c>
    </row>
    <row r="7" spans="1:11">
      <c r="A7" s="26" t="s">
        <v>132</v>
      </c>
      <c r="B7" s="26" t="s">
        <v>111</v>
      </c>
      <c r="C7" s="26" t="s">
        <v>79</v>
      </c>
      <c r="D7" s="26" t="s">
        <v>80</v>
      </c>
      <c r="E7" s="21">
        <v>45</v>
      </c>
      <c r="F7" s="11">
        <v>580000</v>
      </c>
      <c r="G7" s="18">
        <f t="shared" si="0"/>
        <v>522000</v>
      </c>
      <c r="H7" s="26" t="s">
        <v>149</v>
      </c>
      <c r="I7" s="13" t="s">
        <v>165</v>
      </c>
    </row>
    <row r="8" spans="1:11">
      <c r="A8" s="6" t="s">
        <v>84</v>
      </c>
      <c r="B8" s="6" t="s">
        <v>85</v>
      </c>
      <c r="C8" s="6" t="s">
        <v>86</v>
      </c>
      <c r="D8" s="18" t="s">
        <v>87</v>
      </c>
      <c r="E8" s="20">
        <v>25</v>
      </c>
      <c r="F8" s="18">
        <v>1800000</v>
      </c>
      <c r="G8" s="18">
        <f t="shared" si="0"/>
        <v>1620000</v>
      </c>
      <c r="H8" s="8" t="s">
        <v>140</v>
      </c>
      <c r="I8" s="13" t="s">
        <v>156</v>
      </c>
    </row>
    <row r="9" spans="1:11">
      <c r="A9" s="6" t="s">
        <v>92</v>
      </c>
      <c r="B9" s="6" t="s">
        <v>93</v>
      </c>
      <c r="C9" s="6" t="s">
        <v>86</v>
      </c>
      <c r="D9" s="18" t="s">
        <v>94</v>
      </c>
      <c r="E9" s="20">
        <v>40</v>
      </c>
      <c r="F9" s="18">
        <v>680000</v>
      </c>
      <c r="G9" s="18">
        <f t="shared" si="0"/>
        <v>612000</v>
      </c>
      <c r="H9" s="8" t="s">
        <v>142</v>
      </c>
      <c r="I9" s="13" t="s">
        <v>158</v>
      </c>
    </row>
    <row r="10" spans="1:11">
      <c r="A10" s="26" t="s">
        <v>134</v>
      </c>
      <c r="B10" s="26" t="s">
        <v>113</v>
      </c>
      <c r="C10" s="26" t="s">
        <v>116</v>
      </c>
      <c r="D10" s="26" t="s">
        <v>126</v>
      </c>
      <c r="E10" s="21">
        <v>35</v>
      </c>
      <c r="F10" s="11">
        <v>399000</v>
      </c>
      <c r="G10" s="18">
        <f t="shared" si="0"/>
        <v>359100</v>
      </c>
      <c r="H10" s="26" t="s">
        <v>151</v>
      </c>
      <c r="I10" s="13" t="s">
        <v>167</v>
      </c>
    </row>
    <row r="11" spans="1:11">
      <c r="A11" s="26" t="s">
        <v>131</v>
      </c>
      <c r="B11" s="26" t="s">
        <v>110</v>
      </c>
      <c r="C11" s="26" t="s">
        <v>120</v>
      </c>
      <c r="D11" s="26" t="s">
        <v>125</v>
      </c>
      <c r="E11" s="21">
        <v>20</v>
      </c>
      <c r="F11" s="11">
        <v>400000</v>
      </c>
      <c r="G11" s="18">
        <f t="shared" si="0"/>
        <v>360000</v>
      </c>
      <c r="H11" s="26" t="s">
        <v>148</v>
      </c>
      <c r="I11" s="13" t="s">
        <v>164</v>
      </c>
    </row>
    <row r="12" spans="1:11">
      <c r="A12" s="6" t="s">
        <v>88</v>
      </c>
      <c r="B12" s="6" t="s">
        <v>89</v>
      </c>
      <c r="C12" s="6" t="s">
        <v>90</v>
      </c>
      <c r="D12" s="18" t="s">
        <v>91</v>
      </c>
      <c r="E12" s="20">
        <v>40</v>
      </c>
      <c r="F12" s="18">
        <v>450000</v>
      </c>
      <c r="G12" s="18">
        <f t="shared" si="0"/>
        <v>405000</v>
      </c>
      <c r="H12" s="8" t="s">
        <v>141</v>
      </c>
      <c r="I12" s="13" t="s">
        <v>157</v>
      </c>
    </row>
    <row r="13" spans="1:11">
      <c r="A13" s="13" t="s">
        <v>133</v>
      </c>
      <c r="B13" s="13" t="s">
        <v>112</v>
      </c>
      <c r="C13" s="13" t="s">
        <v>117</v>
      </c>
      <c r="D13" s="13" t="s">
        <v>94</v>
      </c>
      <c r="E13" s="21">
        <v>50</v>
      </c>
      <c r="F13" s="11">
        <v>490000</v>
      </c>
      <c r="G13" s="18">
        <f t="shared" si="0"/>
        <v>441000</v>
      </c>
      <c r="H13" s="13" t="s">
        <v>150</v>
      </c>
      <c r="I13" s="13" t="s">
        <v>166</v>
      </c>
    </row>
    <row r="14" spans="1:11">
      <c r="A14" s="6" t="s">
        <v>95</v>
      </c>
      <c r="B14" s="6" t="s">
        <v>96</v>
      </c>
      <c r="C14" s="6" t="s">
        <v>97</v>
      </c>
      <c r="D14" s="18" t="s">
        <v>76</v>
      </c>
      <c r="E14" s="20">
        <v>30</v>
      </c>
      <c r="F14" s="18">
        <v>490000</v>
      </c>
      <c r="G14" s="18">
        <f t="shared" si="0"/>
        <v>441000</v>
      </c>
      <c r="H14" s="8" t="s">
        <v>143</v>
      </c>
      <c r="I14" s="13" t="s">
        <v>159</v>
      </c>
    </row>
    <row r="15" spans="1:11">
      <c r="A15" s="26" t="s">
        <v>129</v>
      </c>
      <c r="B15" s="26" t="s">
        <v>108</v>
      </c>
      <c r="C15" s="26" t="s">
        <v>119</v>
      </c>
      <c r="D15" s="26" t="s">
        <v>124</v>
      </c>
      <c r="E15" s="21">
        <v>25</v>
      </c>
      <c r="F15" s="11">
        <v>390000</v>
      </c>
      <c r="G15" s="18">
        <f t="shared" si="0"/>
        <v>351000</v>
      </c>
      <c r="H15" s="26" t="s">
        <v>146</v>
      </c>
      <c r="I15" s="13" t="s">
        <v>162</v>
      </c>
    </row>
    <row r="16" spans="1:11">
      <c r="A16" s="26" t="s">
        <v>130</v>
      </c>
      <c r="B16" s="26" t="s">
        <v>109</v>
      </c>
      <c r="C16" s="26" t="s">
        <v>118</v>
      </c>
      <c r="D16" s="26" t="s">
        <v>100</v>
      </c>
      <c r="E16" s="21">
        <v>35</v>
      </c>
      <c r="F16" s="11">
        <v>450000</v>
      </c>
      <c r="G16" s="18">
        <f t="shared" si="0"/>
        <v>405000</v>
      </c>
      <c r="H16" s="26" t="s">
        <v>147</v>
      </c>
      <c r="I16" s="13" t="s">
        <v>163</v>
      </c>
    </row>
    <row r="17" spans="1:9">
      <c r="A17" s="6" t="s">
        <v>98</v>
      </c>
      <c r="B17" s="6" t="s">
        <v>99</v>
      </c>
      <c r="C17" s="6" t="s">
        <v>119</v>
      </c>
      <c r="D17" s="18" t="s">
        <v>100</v>
      </c>
      <c r="E17" s="20">
        <v>25</v>
      </c>
      <c r="F17" s="18">
        <v>590000</v>
      </c>
      <c r="G17" s="18">
        <f t="shared" si="0"/>
        <v>531000</v>
      </c>
      <c r="H17" s="8" t="s">
        <v>144</v>
      </c>
      <c r="I17" s="13" t="s">
        <v>160</v>
      </c>
    </row>
    <row r="18" spans="1:9">
      <c r="A18" s="6" t="s">
        <v>74</v>
      </c>
      <c r="B18" s="6" t="s">
        <v>75</v>
      </c>
      <c r="C18" s="6" t="s">
        <v>121</v>
      </c>
      <c r="D18" s="18" t="s">
        <v>76</v>
      </c>
      <c r="E18" s="20">
        <v>30</v>
      </c>
      <c r="F18" s="18">
        <v>380000</v>
      </c>
      <c r="G18" s="18">
        <f t="shared" si="0"/>
        <v>342000</v>
      </c>
      <c r="H18" s="8" t="s">
        <v>137</v>
      </c>
      <c r="I18" s="13" t="s">
        <v>153</v>
      </c>
    </row>
    <row r="19" spans="1:9">
      <c r="A19" s="68" t="s">
        <v>136</v>
      </c>
      <c r="B19" s="69"/>
      <c r="C19" s="69"/>
      <c r="D19" s="70"/>
      <c r="E19" s="21"/>
      <c r="F19" s="11"/>
      <c r="G19" s="18">
        <f>SUM(G3:G18)</f>
        <v>11510100</v>
      </c>
      <c r="H19" s="1"/>
      <c r="I19" s="1"/>
    </row>
    <row r="21" spans="1:9">
      <c r="A21" s="1" t="s">
        <v>105</v>
      </c>
      <c r="B21" s="19">
        <v>0.1</v>
      </c>
    </row>
  </sheetData>
  <scenarios current="1" sqref="G19">
    <scenario name="할인율 인하" locked="1" count="1" user="user">
      <inputCells r="B21" val="0.05" numFmtId="9"/>
    </scenario>
    <scenario name="할인율 인상" locked="1" count="1" user="user">
      <inputCells r="B21" val="0.15" numFmtId="9"/>
    </scenario>
  </scenarios>
  <sortState xmlns:xlrd2="http://schemas.microsoft.com/office/spreadsheetml/2017/richdata2" ref="A3:I18">
    <sortCondition ref="C3:C18" customList="대한항공,진에어,에어아시아"/>
    <sortCondition ref="B3:B18"/>
  </sortState>
  <mergeCells count="1">
    <mergeCell ref="A19:D19"/>
  </mergeCells>
  <phoneticPr fontId="1" type="noConversion"/>
  <dataValidations count="1">
    <dataValidation type="list" allowBlank="1" showInputMessage="1" showErrorMessage="1" sqref="C3:C18" xr:uid="{1330BE8B-A9AB-4932-97F0-427A8D52BADC}">
      <formula1>$K$3:$K$5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G10"/>
  <sheetViews>
    <sheetView workbookViewId="0"/>
  </sheetViews>
  <sheetFormatPr defaultRowHeight="16.5"/>
  <cols>
    <col min="2" max="2" width="12.375" bestFit="1" customWidth="1"/>
    <col min="3" max="3" width="11.25" customWidth="1"/>
    <col min="4" max="5" width="10.625" bestFit="1" customWidth="1"/>
  </cols>
  <sheetData>
    <row r="2" spans="1:7">
      <c r="A2" s="6" t="s">
        <v>70</v>
      </c>
      <c r="B2" s="6" t="s">
        <v>71</v>
      </c>
      <c r="C2" s="6" t="s">
        <v>72</v>
      </c>
      <c r="D2" s="7" t="s">
        <v>106</v>
      </c>
      <c r="E2" s="7" t="s">
        <v>103</v>
      </c>
      <c r="F2" s="6" t="s">
        <v>73</v>
      </c>
      <c r="G2" s="6" t="s">
        <v>101</v>
      </c>
    </row>
    <row r="3" spans="1:7">
      <c r="A3" s="6" t="s">
        <v>74</v>
      </c>
      <c r="B3" s="6" t="s">
        <v>75</v>
      </c>
      <c r="C3" s="6" t="s">
        <v>118</v>
      </c>
      <c r="D3" s="20">
        <v>35</v>
      </c>
      <c r="E3" s="18">
        <v>380000</v>
      </c>
      <c r="F3" s="18">
        <v>5</v>
      </c>
      <c r="G3" s="8" t="s">
        <v>137</v>
      </c>
    </row>
    <row r="4" spans="1:7">
      <c r="A4" s="6" t="s">
        <v>77</v>
      </c>
      <c r="B4" s="6" t="s">
        <v>82</v>
      </c>
      <c r="C4" s="6" t="s">
        <v>79</v>
      </c>
      <c r="D4" s="20">
        <v>20</v>
      </c>
      <c r="E4" s="18">
        <v>2700000</v>
      </c>
      <c r="F4" s="18">
        <v>10</v>
      </c>
      <c r="G4" s="8" t="s">
        <v>138</v>
      </c>
    </row>
    <row r="5" spans="1:7">
      <c r="A5" s="6" t="s">
        <v>81</v>
      </c>
      <c r="B5" s="6" t="s">
        <v>85</v>
      </c>
      <c r="C5" s="6" t="s">
        <v>122</v>
      </c>
      <c r="D5" s="20">
        <v>25</v>
      </c>
      <c r="E5" s="18">
        <v>1800000</v>
      </c>
      <c r="F5" s="18">
        <v>5</v>
      </c>
      <c r="G5" s="8" t="s">
        <v>139</v>
      </c>
    </row>
    <row r="6" spans="1:7">
      <c r="A6" s="6" t="s">
        <v>84</v>
      </c>
      <c r="B6" s="6" t="s">
        <v>96</v>
      </c>
      <c r="C6" s="6" t="s">
        <v>79</v>
      </c>
      <c r="D6" s="20">
        <v>30</v>
      </c>
      <c r="E6" s="18">
        <v>490000</v>
      </c>
      <c r="F6" s="18">
        <v>4</v>
      </c>
      <c r="G6" s="8" t="s">
        <v>140</v>
      </c>
    </row>
    <row r="7" spans="1:7">
      <c r="A7" s="6" t="s">
        <v>88</v>
      </c>
      <c r="B7" s="6" t="s">
        <v>99</v>
      </c>
      <c r="C7" s="6" t="s">
        <v>169</v>
      </c>
      <c r="D7" s="20">
        <v>25</v>
      </c>
      <c r="E7" s="18">
        <v>590000</v>
      </c>
      <c r="F7" s="18">
        <v>3</v>
      </c>
      <c r="G7" s="8" t="s">
        <v>141</v>
      </c>
    </row>
    <row r="8" spans="1:7">
      <c r="A8" s="6" t="s">
        <v>92</v>
      </c>
      <c r="B8" s="17" t="s">
        <v>107</v>
      </c>
      <c r="C8" s="6" t="s">
        <v>79</v>
      </c>
      <c r="D8" s="21">
        <v>30</v>
      </c>
      <c r="E8" s="11">
        <v>750000</v>
      </c>
      <c r="F8" s="18">
        <v>5</v>
      </c>
      <c r="G8" s="8" t="s">
        <v>142</v>
      </c>
    </row>
    <row r="9" spans="1:7">
      <c r="A9" s="6" t="s">
        <v>95</v>
      </c>
      <c r="B9" s="17" t="s">
        <v>108</v>
      </c>
      <c r="C9" s="6" t="s">
        <v>90</v>
      </c>
      <c r="D9" s="21">
        <v>25</v>
      </c>
      <c r="E9" s="11">
        <v>390000</v>
      </c>
      <c r="F9" s="18">
        <v>3</v>
      </c>
      <c r="G9" s="8" t="s">
        <v>143</v>
      </c>
    </row>
    <row r="10" spans="1:7">
      <c r="A10" s="6" t="s">
        <v>98</v>
      </c>
      <c r="B10" s="17" t="s">
        <v>114</v>
      </c>
      <c r="C10" s="6" t="s">
        <v>170</v>
      </c>
      <c r="D10" s="21">
        <v>25</v>
      </c>
      <c r="E10" s="11">
        <v>1850000</v>
      </c>
      <c r="F10" s="18">
        <v>5</v>
      </c>
      <c r="G10" s="8" t="s">
        <v>144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5:H17"/>
  <sheetViews>
    <sheetView workbookViewId="0"/>
  </sheetViews>
  <sheetFormatPr defaultRowHeight="16.5"/>
  <cols>
    <col min="2" max="2" width="12.375" bestFit="1" customWidth="1"/>
    <col min="3" max="3" width="11.75" customWidth="1"/>
    <col min="4" max="4" width="11.5" customWidth="1"/>
    <col min="6" max="6" width="10.625" bestFit="1" customWidth="1"/>
    <col min="7" max="7" width="13.375" customWidth="1"/>
  </cols>
  <sheetData>
    <row r="5" spans="1:8">
      <c r="A5" s="6" t="s">
        <v>70</v>
      </c>
      <c r="B5" s="6" t="s">
        <v>71</v>
      </c>
      <c r="C5" s="6" t="s">
        <v>72</v>
      </c>
      <c r="D5" s="6" t="s">
        <v>73</v>
      </c>
      <c r="E5" s="7" t="s">
        <v>106</v>
      </c>
      <c r="F5" s="7" t="s">
        <v>103</v>
      </c>
      <c r="G5" s="17" t="s">
        <v>175</v>
      </c>
      <c r="H5" s="6" t="s">
        <v>101</v>
      </c>
    </row>
    <row r="6" spans="1:8">
      <c r="A6" s="6" t="s">
        <v>74</v>
      </c>
      <c r="B6" s="6" t="s">
        <v>75</v>
      </c>
      <c r="C6" s="6" t="s">
        <v>118</v>
      </c>
      <c r="D6" s="22">
        <v>5</v>
      </c>
      <c r="E6" s="20">
        <v>30</v>
      </c>
      <c r="F6" s="18">
        <v>380000</v>
      </c>
      <c r="G6" s="24">
        <v>150000</v>
      </c>
      <c r="H6" s="8" t="s">
        <v>137</v>
      </c>
    </row>
    <row r="7" spans="1:8">
      <c r="A7" s="6" t="s">
        <v>77</v>
      </c>
      <c r="B7" s="6" t="s">
        <v>78</v>
      </c>
      <c r="C7" s="6" t="s">
        <v>79</v>
      </c>
      <c r="D7" s="22">
        <v>3</v>
      </c>
      <c r="E7" s="20">
        <v>60</v>
      </c>
      <c r="F7" s="18">
        <v>390000</v>
      </c>
      <c r="G7" s="24">
        <v>350000</v>
      </c>
      <c r="H7" s="8" t="s">
        <v>138</v>
      </c>
    </row>
    <row r="8" spans="1:8">
      <c r="A8" s="6" t="s">
        <v>81</v>
      </c>
      <c r="B8" s="6" t="s">
        <v>82</v>
      </c>
      <c r="C8" s="6" t="s">
        <v>122</v>
      </c>
      <c r="D8" s="22">
        <v>10</v>
      </c>
      <c r="E8" s="20">
        <v>20</v>
      </c>
      <c r="F8" s="18">
        <v>2700000</v>
      </c>
      <c r="G8" s="24">
        <v>-100000</v>
      </c>
      <c r="H8" s="8" t="s">
        <v>139</v>
      </c>
    </row>
    <row r="9" spans="1:8">
      <c r="A9" s="6" t="s">
        <v>84</v>
      </c>
      <c r="B9" s="6" t="s">
        <v>85</v>
      </c>
      <c r="C9" s="6" t="s">
        <v>79</v>
      </c>
      <c r="D9" s="22">
        <v>7</v>
      </c>
      <c r="E9" s="20">
        <v>25</v>
      </c>
      <c r="F9" s="18">
        <v>1800000</v>
      </c>
      <c r="G9" s="24">
        <v>200000</v>
      </c>
      <c r="H9" s="8" t="s">
        <v>140</v>
      </c>
    </row>
    <row r="10" spans="1:8">
      <c r="A10" s="6" t="s">
        <v>88</v>
      </c>
      <c r="B10" s="6" t="s">
        <v>89</v>
      </c>
      <c r="C10" s="6" t="s">
        <v>90</v>
      </c>
      <c r="D10" s="22">
        <v>4</v>
      </c>
      <c r="E10" s="20">
        <v>40</v>
      </c>
      <c r="F10" s="18">
        <v>450000</v>
      </c>
      <c r="G10" s="24" t="s">
        <v>171</v>
      </c>
      <c r="H10" s="8" t="s">
        <v>141</v>
      </c>
    </row>
    <row r="11" spans="1:8">
      <c r="A11" s="6" t="s">
        <v>92</v>
      </c>
      <c r="B11" s="6" t="s">
        <v>93</v>
      </c>
      <c r="C11" s="6" t="s">
        <v>79</v>
      </c>
      <c r="D11" s="22">
        <v>4</v>
      </c>
      <c r="E11" s="20">
        <v>40</v>
      </c>
      <c r="F11" s="18">
        <v>680000</v>
      </c>
      <c r="G11" s="24">
        <v>-150000</v>
      </c>
      <c r="H11" s="8" t="s">
        <v>142</v>
      </c>
    </row>
    <row r="12" spans="1:8">
      <c r="A12" s="6" t="s">
        <v>95</v>
      </c>
      <c r="B12" s="6" t="s">
        <v>96</v>
      </c>
      <c r="C12" s="6" t="s">
        <v>90</v>
      </c>
      <c r="D12" s="22">
        <v>5</v>
      </c>
      <c r="E12" s="20">
        <v>30</v>
      </c>
      <c r="F12" s="18">
        <v>490000</v>
      </c>
      <c r="G12" s="24">
        <v>0</v>
      </c>
      <c r="H12" s="8" t="s">
        <v>143</v>
      </c>
    </row>
    <row r="13" spans="1:8">
      <c r="A13" s="6" t="s">
        <v>98</v>
      </c>
      <c r="B13" s="6" t="s">
        <v>99</v>
      </c>
      <c r="C13" s="6" t="s">
        <v>118</v>
      </c>
      <c r="D13" s="22">
        <v>7</v>
      </c>
      <c r="E13" s="20">
        <v>25</v>
      </c>
      <c r="F13" s="18">
        <v>590000</v>
      </c>
      <c r="G13" s="24" t="s">
        <v>172</v>
      </c>
      <c r="H13" s="8" t="s">
        <v>144</v>
      </c>
    </row>
    <row r="14" spans="1:8">
      <c r="A14" s="17" t="s">
        <v>128</v>
      </c>
      <c r="B14" s="17" t="s">
        <v>173</v>
      </c>
      <c r="C14" s="17" t="s">
        <v>79</v>
      </c>
      <c r="D14" s="23">
        <v>7</v>
      </c>
      <c r="E14" s="21">
        <v>30</v>
      </c>
      <c r="F14" s="11">
        <v>2200000</v>
      </c>
      <c r="G14" s="24">
        <v>-100000</v>
      </c>
      <c r="H14" s="17" t="s">
        <v>145</v>
      </c>
    </row>
    <row r="15" spans="1:8">
      <c r="A15" s="17" t="s">
        <v>129</v>
      </c>
      <c r="B15" s="17" t="s">
        <v>174</v>
      </c>
      <c r="C15" s="17" t="s">
        <v>79</v>
      </c>
      <c r="D15" s="23">
        <v>11</v>
      </c>
      <c r="E15" s="21">
        <v>25</v>
      </c>
      <c r="F15" s="11">
        <v>2900000</v>
      </c>
      <c r="G15" s="24">
        <v>0</v>
      </c>
      <c r="H15" s="17" t="s">
        <v>146</v>
      </c>
    </row>
    <row r="16" spans="1:8">
      <c r="A16" s="17" t="s">
        <v>130</v>
      </c>
      <c r="B16" s="17" t="s">
        <v>109</v>
      </c>
      <c r="C16" s="17" t="s">
        <v>118</v>
      </c>
      <c r="D16" s="23">
        <v>5</v>
      </c>
      <c r="E16" s="21">
        <v>35</v>
      </c>
      <c r="F16" s="11">
        <v>450000</v>
      </c>
      <c r="G16" s="24">
        <v>250000</v>
      </c>
      <c r="H16" s="17" t="s">
        <v>147</v>
      </c>
    </row>
    <row r="17" spans="1:8">
      <c r="A17" s="17" t="s">
        <v>131</v>
      </c>
      <c r="B17" s="17" t="s">
        <v>110</v>
      </c>
      <c r="C17" s="17" t="s">
        <v>90</v>
      </c>
      <c r="D17" s="23">
        <v>3</v>
      </c>
      <c r="E17" s="21">
        <v>20</v>
      </c>
      <c r="F17" s="11">
        <v>400000</v>
      </c>
      <c r="G17" s="24">
        <v>130000</v>
      </c>
      <c r="H17" s="17" t="s">
        <v>148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기간비교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2:G20"/>
  <sheetViews>
    <sheetView workbookViewId="0"/>
  </sheetViews>
  <sheetFormatPr defaultRowHeight="16.5"/>
  <cols>
    <col min="1" max="1" width="11.75" customWidth="1"/>
    <col min="2" max="2" width="10.75" customWidth="1"/>
    <col min="3" max="3" width="21.625" customWidth="1"/>
    <col min="4" max="4" width="12.125" customWidth="1"/>
    <col min="5" max="5" width="14.875" customWidth="1"/>
  </cols>
  <sheetData>
    <row r="2" spans="1:7">
      <c r="A2" s="71" t="s">
        <v>0</v>
      </c>
      <c r="B2" s="71" t="s">
        <v>1</v>
      </c>
      <c r="C2" s="71"/>
      <c r="D2" s="71" t="s">
        <v>4</v>
      </c>
      <c r="E2" s="71" t="s">
        <v>5</v>
      </c>
    </row>
    <row r="3" spans="1:7">
      <c r="A3" s="71"/>
      <c r="B3" s="2" t="s">
        <v>2</v>
      </c>
      <c r="C3" s="2" t="s">
        <v>3</v>
      </c>
      <c r="D3" s="71"/>
      <c r="E3" s="71"/>
    </row>
    <row r="4" spans="1:7">
      <c r="A4" s="1" t="s">
        <v>187</v>
      </c>
      <c r="B4" s="1" t="s">
        <v>188</v>
      </c>
      <c r="C4" s="1" t="s">
        <v>189</v>
      </c>
      <c r="D4" s="1" t="s">
        <v>190</v>
      </c>
      <c r="E4" s="1">
        <v>26</v>
      </c>
    </row>
    <row r="5" spans="1:7">
      <c r="A5" s="1"/>
      <c r="B5" s="1"/>
      <c r="C5" s="1"/>
      <c r="D5" s="1"/>
      <c r="E5" s="1"/>
      <c r="G5" t="s">
        <v>9</v>
      </c>
    </row>
    <row r="6" spans="1:7">
      <c r="A6" s="1"/>
      <c r="B6" s="1"/>
      <c r="C6" s="1"/>
      <c r="D6" s="1"/>
      <c r="E6" s="1"/>
      <c r="G6" t="s">
        <v>6</v>
      </c>
    </row>
    <row r="7" spans="1:7">
      <c r="A7" s="1"/>
      <c r="B7" s="1"/>
      <c r="C7" s="1"/>
      <c r="D7" s="1"/>
      <c r="E7" s="1"/>
      <c r="G7" t="s">
        <v>7</v>
      </c>
    </row>
    <row r="8" spans="1:7">
      <c r="A8" s="1"/>
      <c r="B8" s="1"/>
      <c r="C8" s="1"/>
      <c r="D8" s="1"/>
      <c r="E8" s="1"/>
      <c r="G8" t="s">
        <v>8</v>
      </c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  <row r="13" spans="1:7">
      <c r="A13" s="1"/>
      <c r="B13" s="1"/>
      <c r="C13" s="1"/>
      <c r="D13" s="1"/>
      <c r="E13" s="1"/>
    </row>
    <row r="14" spans="1:7">
      <c r="A14" s="1"/>
      <c r="B14" s="1"/>
      <c r="C14" s="1"/>
      <c r="D14" s="1"/>
      <c r="E14" s="1"/>
    </row>
    <row r="15" spans="1:7">
      <c r="A15" s="1"/>
      <c r="B15" s="1"/>
      <c r="C15" s="1"/>
      <c r="D15" s="1"/>
      <c r="E15" s="1"/>
    </row>
    <row r="16" spans="1:7">
      <c r="A16" s="1"/>
      <c r="B16" s="1"/>
      <c r="C16" s="1"/>
      <c r="D16" s="1"/>
      <c r="E16" s="1"/>
    </row>
    <row r="17" spans="1:5">
      <c r="A17" s="1"/>
      <c r="B17" s="1"/>
      <c r="C17" s="1"/>
      <c r="D17" s="1"/>
      <c r="E17" s="1"/>
    </row>
    <row r="18" spans="1:5">
      <c r="A18" s="1"/>
      <c r="B18" s="1"/>
      <c r="C18" s="1"/>
      <c r="D18" s="1"/>
      <c r="E18" s="1"/>
    </row>
    <row r="19" spans="1:5">
      <c r="A19" s="1"/>
      <c r="B19" s="1"/>
      <c r="C19" s="1"/>
      <c r="D19" s="1"/>
      <c r="E19" s="1"/>
    </row>
    <row r="20" spans="1:5">
      <c r="A20" s="1"/>
      <c r="B20" s="1"/>
      <c r="C20" s="1"/>
      <c r="D20" s="1"/>
      <c r="E20" s="1"/>
    </row>
  </sheetData>
  <mergeCells count="4">
    <mergeCell ref="E2:E3"/>
    <mergeCell ref="D2:D3"/>
    <mergeCell ref="B2:C2"/>
    <mergeCell ref="A2:A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연락처등록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1025" r:id="rId3" name="cmd연락처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할인금액합계</vt:lpstr>
      <vt:lpstr>할인율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2024-01-06T13:50:24Z</cp:lastPrinted>
  <dcterms:created xsi:type="dcterms:W3CDTF">2021-04-18T04:44:57Z</dcterms:created>
  <dcterms:modified xsi:type="dcterms:W3CDTF">2024-01-06T14:16:05Z</dcterms:modified>
</cp:coreProperties>
</file>