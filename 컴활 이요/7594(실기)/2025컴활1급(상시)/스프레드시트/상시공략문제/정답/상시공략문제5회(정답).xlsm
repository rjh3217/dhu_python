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5년)\1급\상시공략집\2024컴활1급(상시)\스프레드시트\상시공략문제\정답\"/>
    </mc:Choice>
  </mc:AlternateContent>
  <xr:revisionPtr revIDLastSave="0" documentId="13_ncr:1_{B9BF9A0A-3FEC-47F1-A3F4-5E22F352FF9D}" xr6:coauthVersionLast="47" xr6:coauthVersionMax="47" xr10:uidLastSave="{00000000-0000-0000-0000-000000000000}"/>
  <bookViews>
    <workbookView xWindow="8130" yWindow="480" windowWidth="26595" windowHeight="12660" tabRatio="865" xr2:uid="{00000000-000D-0000-FFFF-FFFF00000000}"/>
  </bookViews>
  <sheets>
    <sheet name="기본작업-1" sheetId="1" r:id="rId1"/>
    <sheet name="기본작업-2" sheetId="2" r:id="rId2"/>
    <sheet name="계산작업" sheetId="10" r:id="rId3"/>
    <sheet name="분석작업-1" sheetId="4" r:id="rId4"/>
    <sheet name="분석작업-2" sheetId="9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'기본작업-1'!$A$2:$G$16</definedName>
    <definedName name="_xlnm.Criteria" localSheetId="0">'기본작업-1'!$A$19:$A$20</definedName>
    <definedName name="_xlnm.Extract" localSheetId="0">'기본작업-1'!$A$23:$G$23</definedName>
    <definedName name="_xlnm.Print_Area" localSheetId="1">'기본작업-2'!$A$1:$G$31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9" l="1"/>
  <c r="F12" i="9"/>
  <c r="F6" i="9"/>
  <c r="F22" i="9" s="1"/>
  <c r="E21" i="9"/>
  <c r="E13" i="9"/>
  <c r="E7" i="9"/>
  <c r="E23" i="9" s="1"/>
  <c r="H40" i="10" l="1"/>
  <c r="H39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3" i="10"/>
  <c r="G36" i="10"/>
  <c r="H7" i="10" a="1"/>
  <c r="H4" i="10" a="1"/>
  <c r="H9" i="10" a="1"/>
  <c r="H8" i="10" a="1"/>
  <c r="H11" i="10" a="1"/>
  <c r="H13" i="10" a="1"/>
  <c r="H19" i="10" a="1"/>
  <c r="H22" i="10" a="1"/>
  <c r="H14" i="10" a="1"/>
  <c r="H3" i="10" a="1"/>
  <c r="H24" i="10" a="1"/>
  <c r="H18" i="10" a="1"/>
  <c r="H6" i="10" a="1"/>
  <c r="H16" i="10" a="1"/>
  <c r="H23" i="10" a="1"/>
  <c r="H15" i="10" a="1"/>
  <c r="H17" i="10" a="1"/>
  <c r="H20" i="10" a="1"/>
  <c r="H21" i="10" a="1"/>
  <c r="H12" i="10" a="1"/>
  <c r="H10" i="10" a="1"/>
  <c r="H5" i="10" a="1"/>
  <c r="H13" i="10" l="1"/>
  <c r="H22" i="10"/>
  <c r="H11" i="10"/>
  <c r="H19" i="10"/>
  <c r="H8" i="10"/>
  <c r="H7" i="10"/>
  <c r="H5" i="10"/>
  <c r="H10" i="10"/>
  <c r="H9" i="10"/>
  <c r="H18" i="10"/>
  <c r="H17" i="10"/>
  <c r="H15" i="10"/>
  <c r="H23" i="10"/>
  <c r="H12" i="10"/>
  <c r="H21" i="10"/>
  <c r="H20" i="10"/>
  <c r="H16" i="10"/>
  <c r="H6" i="10"/>
  <c r="H24" i="10"/>
  <c r="H14" i="10"/>
  <c r="H4" i="10"/>
  <c r="H3" i="10"/>
  <c r="H29" i="10" a="1"/>
  <c r="H29" i="10" s="1"/>
  <c r="H30" i="10" a="1"/>
  <c r="H30" i="10" s="1"/>
  <c r="H31" i="10" a="1"/>
  <c r="H31" i="10" s="1"/>
  <c r="H32" i="10" a="1"/>
  <c r="H32" i="10" s="1"/>
  <c r="H28" i="10" a="1"/>
  <c r="H28" i="10" s="1"/>
  <c r="D34" i="10" l="1" a="1"/>
  <c r="D34" i="10" s="1"/>
  <c r="C34" i="10" a="1"/>
  <c r="C34" i="10" s="1"/>
  <c r="D33" i="10" a="1"/>
  <c r="D33" i="10" s="1"/>
  <c r="C33" i="10" a="1"/>
  <c r="C33" i="10" s="1"/>
  <c r="D32" i="10" a="1"/>
  <c r="D32" i="10" s="1"/>
  <c r="C32" i="10" a="1"/>
  <c r="C32" i="10" s="1"/>
  <c r="G5" i="2" l="1"/>
  <c r="G6" i="2"/>
  <c r="G7" i="2"/>
  <c r="G8" i="2"/>
  <c r="G9" i="2"/>
  <c r="G10" i="2"/>
  <c r="G11" i="2"/>
  <c r="G12" i="2"/>
  <c r="G13" i="2"/>
  <c r="G14" i="2"/>
  <c r="G15" i="2"/>
  <c r="G16" i="2"/>
  <c r="G4" i="2"/>
  <c r="A20" i="1" l="1"/>
  <c r="G2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E:\영진(2022년)\기출예상문제집\1급\엑셀\예상2회\쇼핑몰.xlsx" keepAlive="1" name="쇼핑몰" type="5" refreshedVersion="6">
    <dbPr connection="Provider=Microsoft.ACE.OLEDB.12.0;User ID=Admin;Data Source=E:\영진(2022년)\기출예상문제집\1급\엑셀\예상2회\쇼핑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가방$" commandType="3"/>
  </connection>
  <connection id="2" xr16:uid="{00000000-0015-0000-FFFF-FFFF01000000}" sourceFile="E:\영진(2022년)\기출예상문제집\1급\엑셀\예상2회\쇼핑몰.xlsx" keepAlive="1" name="쇼핑몰1" type="5" refreshedVersion="6">
    <dbPr connection="Provider=Microsoft.ACE.OLEDB.12.0;User ID=Admin;Data Source=E:\영진(2022년)\기출예상문제집\1급\엑셀\예상2회\쇼핑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가방$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<sst xmlns="http://schemas.openxmlformats.org/spreadsheetml/2006/main" count="386" uniqueCount="209">
  <si>
    <t>[표1]</t>
    <phoneticPr fontId="1" type="noConversion"/>
  </si>
  <si>
    <t>구매자</t>
    <phoneticPr fontId="1" type="noConversion"/>
  </si>
  <si>
    <t>품명</t>
    <phoneticPr fontId="1" type="noConversion"/>
  </si>
  <si>
    <t>단가</t>
    <phoneticPr fontId="1" type="noConversion"/>
  </si>
  <si>
    <t>수량</t>
    <phoneticPr fontId="1" type="noConversion"/>
  </si>
  <si>
    <t>금액</t>
    <phoneticPr fontId="1" type="noConversion"/>
  </si>
  <si>
    <t>배송비</t>
    <phoneticPr fontId="1" type="noConversion"/>
  </si>
  <si>
    <t>품명</t>
    <phoneticPr fontId="1" type="noConversion"/>
  </si>
  <si>
    <t>단가</t>
    <phoneticPr fontId="1" type="noConversion"/>
  </si>
  <si>
    <t>USB</t>
    <phoneticPr fontId="1" type="noConversion"/>
  </si>
  <si>
    <t>마우스</t>
    <phoneticPr fontId="1" type="noConversion"/>
  </si>
  <si>
    <t>외장하드</t>
    <phoneticPr fontId="1" type="noConversion"/>
  </si>
  <si>
    <t>작성일자</t>
    <phoneticPr fontId="1" type="noConversion"/>
  </si>
  <si>
    <t>작성날짜:</t>
    <phoneticPr fontId="1" type="noConversion"/>
  </si>
  <si>
    <t>제품코드</t>
  </si>
  <si>
    <t>제품명</t>
  </si>
  <si>
    <t>제조국</t>
  </si>
  <si>
    <t>제조사</t>
  </si>
  <si>
    <t>생산량</t>
  </si>
  <si>
    <t>FR5451</t>
  </si>
  <si>
    <t>인터스텔라</t>
  </si>
  <si>
    <t>베트남</t>
  </si>
  <si>
    <t>요조비</t>
  </si>
  <si>
    <t>EF3812</t>
  </si>
  <si>
    <t>레이니</t>
  </si>
  <si>
    <t>중국</t>
  </si>
  <si>
    <t>제닌</t>
  </si>
  <si>
    <t>AR2323</t>
  </si>
  <si>
    <t>캠벨수프</t>
  </si>
  <si>
    <t>CF5343</t>
  </si>
  <si>
    <t>코니칼</t>
  </si>
  <si>
    <t>EV3784</t>
  </si>
  <si>
    <t>유니텔</t>
  </si>
  <si>
    <t>AV5132</t>
  </si>
  <si>
    <t>그립필</t>
  </si>
  <si>
    <t>PF9124</t>
  </si>
  <si>
    <t>미니햇</t>
  </si>
  <si>
    <t>필리핀</t>
  </si>
  <si>
    <t>비즈</t>
  </si>
  <si>
    <t>FF5231</t>
  </si>
  <si>
    <t>패브릭</t>
  </si>
  <si>
    <t>불량률(%)</t>
    <phoneticPr fontId="1" type="noConversion"/>
  </si>
  <si>
    <t>생산비용
(단위:백만원)</t>
    <phoneticPr fontId="1" type="noConversion"/>
  </si>
  <si>
    <t>[표1]</t>
    <phoneticPr fontId="1" type="noConversion"/>
  </si>
  <si>
    <t>대만</t>
    <phoneticPr fontId="1" type="noConversion"/>
  </si>
  <si>
    <t>인도네시아</t>
    <phoneticPr fontId="1" type="noConversion"/>
  </si>
  <si>
    <t>오즈카</t>
    <phoneticPr fontId="1" type="noConversion"/>
  </si>
  <si>
    <t>오즈카</t>
    <phoneticPr fontId="1" type="noConversion"/>
  </si>
  <si>
    <t>오스림</t>
    <phoneticPr fontId="1" type="noConversion"/>
  </si>
  <si>
    <t>비즈옴</t>
    <phoneticPr fontId="1" type="noConversion"/>
  </si>
  <si>
    <t>슬라젠</t>
    <phoneticPr fontId="1" type="noConversion"/>
  </si>
  <si>
    <t>슬라젠</t>
    <phoneticPr fontId="1" type="noConversion"/>
  </si>
  <si>
    <t>후렌지</t>
    <phoneticPr fontId="1" type="noConversion"/>
  </si>
  <si>
    <t>니플</t>
    <phoneticPr fontId="1" type="noConversion"/>
  </si>
  <si>
    <t>루나솔</t>
    <phoneticPr fontId="1" type="noConversion"/>
  </si>
  <si>
    <t>미사일</t>
    <phoneticPr fontId="1" type="noConversion"/>
  </si>
  <si>
    <t>YT1405</t>
    <phoneticPr fontId="1" type="noConversion"/>
  </si>
  <si>
    <t>베트남</t>
    <phoneticPr fontId="1" type="noConversion"/>
  </si>
  <si>
    <t>필리핀</t>
    <phoneticPr fontId="1" type="noConversion"/>
  </si>
  <si>
    <t>조건</t>
    <phoneticPr fontId="1" type="noConversion"/>
  </si>
  <si>
    <t>FT1020</t>
    <phoneticPr fontId="1" type="noConversion"/>
  </si>
  <si>
    <t>NF9871</t>
    <phoneticPr fontId="1" type="noConversion"/>
  </si>
  <si>
    <t>RN9876</t>
    <phoneticPr fontId="1" type="noConversion"/>
  </si>
  <si>
    <t>미니햇</t>
    <phoneticPr fontId="1" type="noConversion"/>
  </si>
  <si>
    <t>패브릭</t>
    <phoneticPr fontId="1" type="noConversion"/>
  </si>
  <si>
    <t>PF5423</t>
    <phoneticPr fontId="1" type="noConversion"/>
  </si>
  <si>
    <t>FF9017</t>
    <phoneticPr fontId="1" type="noConversion"/>
  </si>
  <si>
    <t>램스킨 포켓</t>
  </si>
  <si>
    <t>브이사각 수술</t>
  </si>
  <si>
    <t>제스 스퀘어</t>
  </si>
  <si>
    <t>젬마 숄더</t>
  </si>
  <si>
    <t>클라라 심플</t>
  </si>
  <si>
    <t>프론트 라인</t>
  </si>
  <si>
    <t>플레이 레더</t>
  </si>
  <si>
    <t>홀리비 미니</t>
  </si>
  <si>
    <t>총합계</t>
  </si>
  <si>
    <t>합계 : 판매가</t>
  </si>
  <si>
    <t>합계 : 판매량</t>
  </si>
  <si>
    <t>상품명</t>
  </si>
  <si>
    <t>상품명2</t>
  </si>
  <si>
    <t>백팩</t>
  </si>
  <si>
    <t>크로스백</t>
  </si>
  <si>
    <t>숄더백</t>
  </si>
  <si>
    <t>백팩 요약</t>
  </si>
  <si>
    <t>크로스백 요약</t>
  </si>
  <si>
    <t>숄더백 요약</t>
  </si>
  <si>
    <t>상품코드</t>
  </si>
  <si>
    <t>구분</t>
  </si>
  <si>
    <t>상품입고일</t>
  </si>
  <si>
    <t>재고수량</t>
  </si>
  <si>
    <t>H3-081</t>
  </si>
  <si>
    <t>라벤더</t>
    <phoneticPr fontId="1" type="noConversion"/>
  </si>
  <si>
    <t>허브차</t>
  </si>
  <si>
    <t>B5-102</t>
  </si>
  <si>
    <t>원미소타</t>
  </si>
  <si>
    <t>보이차</t>
  </si>
  <si>
    <t>H7-028</t>
  </si>
  <si>
    <t>로즈힙</t>
    <phoneticPr fontId="1" type="noConversion"/>
  </si>
  <si>
    <t>N2-102</t>
  </si>
  <si>
    <t>유기농 대작</t>
    <phoneticPr fontId="1" type="noConversion"/>
  </si>
  <si>
    <t>녹차</t>
  </si>
  <si>
    <t>B6-019</t>
  </si>
  <si>
    <t>교목산차</t>
  </si>
  <si>
    <t>N7-093</t>
  </si>
  <si>
    <t>옥로 발효차</t>
  </si>
  <si>
    <t>N4-077</t>
  </si>
  <si>
    <t>차예화개녹차</t>
  </si>
  <si>
    <t>H1-093</t>
  </si>
  <si>
    <t>루이보스</t>
    <phoneticPr fontId="1" type="noConversion"/>
  </si>
  <si>
    <t>가격</t>
    <phoneticPr fontId="1" type="noConversion"/>
  </si>
  <si>
    <t>판매량</t>
    <phoneticPr fontId="1" type="noConversion"/>
  </si>
  <si>
    <t>보이차</t>
    <phoneticPr fontId="1" type="noConversion"/>
  </si>
  <si>
    <t>허브차</t>
    <phoneticPr fontId="1" type="noConversion"/>
  </si>
  <si>
    <t>편장보이타차</t>
    <phoneticPr fontId="1" type="noConversion"/>
  </si>
  <si>
    <t>노포보이병차</t>
    <phoneticPr fontId="1" type="noConversion"/>
  </si>
  <si>
    <t>캐모마일</t>
    <phoneticPr fontId="1" type="noConversion"/>
  </si>
  <si>
    <t>허브차</t>
    <phoneticPr fontId="1" type="noConversion"/>
  </si>
  <si>
    <t>페퍼민트</t>
    <phoneticPr fontId="1" type="noConversion"/>
  </si>
  <si>
    <t>허브차</t>
    <phoneticPr fontId="1" type="noConversion"/>
  </si>
  <si>
    <t>히비스커스</t>
    <phoneticPr fontId="1" type="noConversion"/>
  </si>
  <si>
    <t>H2-842</t>
    <phoneticPr fontId="1" type="noConversion"/>
  </si>
  <si>
    <t>B3-954</t>
    <phoneticPr fontId="1" type="noConversion"/>
  </si>
  <si>
    <t>H5-587</t>
    <phoneticPr fontId="1" type="noConversion"/>
  </si>
  <si>
    <t>H6-987</t>
    <phoneticPr fontId="1" type="noConversion"/>
  </si>
  <si>
    <t>B9-875</t>
    <phoneticPr fontId="1" type="noConversion"/>
  </si>
  <si>
    <t>태블릿</t>
    <phoneticPr fontId="1" type="noConversion"/>
  </si>
  <si>
    <t>총입고수량</t>
    <phoneticPr fontId="1" type="noConversion"/>
  </si>
  <si>
    <t>녹차 평균</t>
  </si>
  <si>
    <t>보이차 평균</t>
  </si>
  <si>
    <t>허브차 평균</t>
  </si>
  <si>
    <t>전체 평균</t>
  </si>
  <si>
    <t>전체 최대값</t>
  </si>
  <si>
    <t>홍길동</t>
  </si>
  <si>
    <t>USB</t>
  </si>
  <si>
    <t>₩5,500</t>
  </si>
  <si>
    <t>배송비 무료</t>
  </si>
  <si>
    <t>[표1]</t>
    <phoneticPr fontId="7" type="noConversion"/>
  </si>
  <si>
    <t>자산코드</t>
    <phoneticPr fontId="7" type="noConversion"/>
  </si>
  <si>
    <t>자산구분</t>
    <phoneticPr fontId="7" type="noConversion"/>
  </si>
  <si>
    <t>자산명</t>
    <phoneticPr fontId="7" type="noConversion"/>
  </si>
  <si>
    <t>취득원가</t>
    <phoneticPr fontId="7" type="noConversion"/>
  </si>
  <si>
    <t>내용연수</t>
    <phoneticPr fontId="7" type="noConversion"/>
  </si>
  <si>
    <t>잔존가치</t>
    <phoneticPr fontId="7" type="noConversion"/>
  </si>
  <si>
    <t>감가상각비</t>
    <phoneticPr fontId="7" type="noConversion"/>
  </si>
  <si>
    <t>비고</t>
    <phoneticPr fontId="7" type="noConversion"/>
  </si>
  <si>
    <t>A251S</t>
  </si>
  <si>
    <t>노트북</t>
    <phoneticPr fontId="7" type="noConversion"/>
  </si>
  <si>
    <t>C404T</t>
  </si>
  <si>
    <t>책상</t>
    <phoneticPr fontId="7" type="noConversion"/>
  </si>
  <si>
    <t>D625U</t>
  </si>
  <si>
    <t>냉장고</t>
    <phoneticPr fontId="7" type="noConversion"/>
  </si>
  <si>
    <t>A311S</t>
  </si>
  <si>
    <t>POS단말기</t>
    <phoneticPr fontId="7" type="noConversion"/>
  </si>
  <si>
    <t>D251S</t>
  </si>
  <si>
    <t>노트북</t>
    <phoneticPr fontId="7" type="noConversion"/>
  </si>
  <si>
    <t>A808U</t>
  </si>
  <si>
    <t>커피머신</t>
    <phoneticPr fontId="7" type="noConversion"/>
  </si>
  <si>
    <t>D505T</t>
  </si>
  <si>
    <t>의자</t>
    <phoneticPr fontId="7" type="noConversion"/>
  </si>
  <si>
    <t>B606T</t>
  </si>
  <si>
    <t>테이블</t>
    <phoneticPr fontId="7" type="noConversion"/>
  </si>
  <si>
    <t>C808U</t>
  </si>
  <si>
    <t>C606T</t>
  </si>
  <si>
    <t>A404T</t>
  </si>
  <si>
    <t>B251S</t>
  </si>
  <si>
    <t>B707U</t>
  </si>
  <si>
    <t>정수기</t>
    <phoneticPr fontId="7" type="noConversion"/>
  </si>
  <si>
    <t>C311S</t>
  </si>
  <si>
    <t>A909U</t>
  </si>
  <si>
    <t>대형TV</t>
    <phoneticPr fontId="7" type="noConversion"/>
  </si>
  <si>
    <t>B808U</t>
  </si>
  <si>
    <t>C251S</t>
  </si>
  <si>
    <t>A625U</t>
  </si>
  <si>
    <t>D311S</t>
  </si>
  <si>
    <t>A606T</t>
  </si>
  <si>
    <t>B271S</t>
  </si>
  <si>
    <t>복합기</t>
    <phoneticPr fontId="7" type="noConversion"/>
  </si>
  <si>
    <t>[표4]</t>
    <phoneticPr fontId="7" type="noConversion"/>
  </si>
  <si>
    <t>센터코드</t>
    <phoneticPr fontId="7" type="noConversion"/>
  </si>
  <si>
    <t>A</t>
    <phoneticPr fontId="7" type="noConversion"/>
  </si>
  <si>
    <t>B</t>
    <phoneticPr fontId="7" type="noConversion"/>
  </si>
  <si>
    <t>C</t>
    <phoneticPr fontId="7" type="noConversion"/>
  </si>
  <si>
    <t>D</t>
    <phoneticPr fontId="7" type="noConversion"/>
  </si>
  <si>
    <t>내용연수</t>
    <phoneticPr fontId="7" type="noConversion"/>
  </si>
  <si>
    <t>자산명</t>
    <phoneticPr fontId="7" type="noConversion"/>
  </si>
  <si>
    <t>센터명</t>
    <phoneticPr fontId="7" type="noConversion"/>
  </si>
  <si>
    <t>서울센터</t>
    <phoneticPr fontId="7" type="noConversion"/>
  </si>
  <si>
    <t>대전센터</t>
    <phoneticPr fontId="7" type="noConversion"/>
  </si>
  <si>
    <t>부산센터</t>
    <phoneticPr fontId="7" type="noConversion"/>
  </si>
  <si>
    <t>인천센터</t>
    <phoneticPr fontId="7" type="noConversion"/>
  </si>
  <si>
    <t>[표3]</t>
    <phoneticPr fontId="7" type="noConversion"/>
  </si>
  <si>
    <t>구분코드</t>
    <phoneticPr fontId="7" type="noConversion"/>
  </si>
  <si>
    <t>구분</t>
    <phoneticPr fontId="7" type="noConversion"/>
  </si>
  <si>
    <t>감가상각비</t>
    <phoneticPr fontId="7" type="noConversion"/>
  </si>
  <si>
    <t>S</t>
    <phoneticPr fontId="7" type="noConversion"/>
  </si>
  <si>
    <t>컴퓨터 및 사무기기</t>
    <phoneticPr fontId="7" type="noConversion"/>
  </si>
  <si>
    <t>T</t>
    <phoneticPr fontId="7" type="noConversion"/>
  </si>
  <si>
    <t>가구류</t>
    <phoneticPr fontId="7" type="noConversion"/>
  </si>
  <si>
    <t>U</t>
    <phoneticPr fontId="7" type="noConversion"/>
  </si>
  <si>
    <t>고객쉼터용</t>
    <phoneticPr fontId="7" type="noConversion"/>
  </si>
  <si>
    <t>[표5]</t>
    <phoneticPr fontId="7" type="noConversion"/>
  </si>
  <si>
    <t>노트북/테이블 감가상각비 평균</t>
    <phoneticPr fontId="7" type="noConversion"/>
  </si>
  <si>
    <t>최빈수</t>
    <phoneticPr fontId="7" type="noConversion"/>
  </si>
  <si>
    <t>노트북</t>
    <phoneticPr fontId="7" type="noConversion"/>
  </si>
  <si>
    <t>자산명(자산코드)</t>
    <phoneticPr fontId="7" type="noConversion"/>
  </si>
  <si>
    <t>[표2]</t>
    <phoneticPr fontId="7" type="noConversion"/>
  </si>
  <si>
    <t>녹차 최대</t>
  </si>
  <si>
    <t>보이차 최대</t>
  </si>
  <si>
    <t>허브차 최대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</si>
</sst>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_);[Red]\(0.0\)"/>
    <numFmt numFmtId="177" formatCode="#,##0_ 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2">
      <alignment vertical="center"/>
    </xf>
    <xf numFmtId="14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1" xfId="3" applyNumberFormat="1" applyFont="1" applyFill="1" applyBorder="1" applyAlignment="1">
      <alignment horizontal="right" vertical="center"/>
    </xf>
    <xf numFmtId="41" fontId="4" fillId="0" borderId="1" xfId="4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3" applyNumberFormat="1" applyFont="1" applyFill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14" fontId="4" fillId="0" borderId="1" xfId="1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1" fontId="0" fillId="0" borderId="1" xfId="1" applyFont="1" applyBorder="1" applyProtection="1">
      <alignment vertical="center"/>
      <protection locked="0"/>
    </xf>
    <xf numFmtId="41" fontId="4" fillId="0" borderId="1" xfId="1" applyFont="1" applyFill="1" applyBorder="1" applyAlignment="1" applyProtection="1">
      <alignment horizontal="right" vertical="center"/>
      <protection locked="0"/>
    </xf>
    <xf numFmtId="41" fontId="0" fillId="0" borderId="1" xfId="0" applyNumberFormat="1" applyBorder="1" applyProtection="1">
      <alignment vertical="center"/>
      <protection hidden="1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4" fillId="0" borderId="0" xfId="1" applyNumberFormat="1" applyFont="1" applyFill="1" applyBorder="1" applyAlignment="1">
      <alignment horizontal="center" vertical="center"/>
    </xf>
    <xf numFmtId="41" fontId="4" fillId="0" borderId="0" xfId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5">
    <cellStyle name="경고문" xfId="2" builtinId="11"/>
    <cellStyle name="백분율" xfId="3" builtinId="5"/>
    <cellStyle name="쉼표 [0]" xfId="1" builtinId="6"/>
    <cellStyle name="쉼표 [0] 2" xfId="4" xr:uid="{00000000-0005-0000-0000-000003000000}"/>
    <cellStyle name="표준" xfId="0" builtinId="0"/>
  </cellStyles>
  <dxfs count="2"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보이차</a:t>
            </a:r>
            <a:r>
              <a:rPr lang="ko-KR" altLang="en-US" baseline="0"/>
              <a:t> 가격</a:t>
            </a:r>
            <a:r>
              <a:rPr lang="en-US" altLang="ko-KR" baseline="0"/>
              <a:t>/</a:t>
            </a:r>
            <a:r>
              <a:rPr lang="ko-KR" altLang="en-US" baseline="0"/>
              <a:t>판매량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'기본작업-2'!$E$3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('기본작업-2'!$B$5,'기본작업-2'!$B$7,'기본작업-2'!$B$11,'기본작업-2'!$B$16)</c:f>
              <c:strCache>
                <c:ptCount val="4"/>
                <c:pt idx="0">
                  <c:v>편장보이타차</c:v>
                </c:pt>
                <c:pt idx="1">
                  <c:v>원미소타</c:v>
                </c:pt>
                <c:pt idx="2">
                  <c:v>교목산차</c:v>
                </c:pt>
                <c:pt idx="3">
                  <c:v>노포보이병차</c:v>
                </c:pt>
              </c:strCache>
            </c:strRef>
          </c:cat>
          <c:val>
            <c:numRef>
              <c:f>('기본작업-2'!$E$5,'기본작업-2'!$E$7,'기본작업-2'!$E$11,'기본작업-2'!$E$16)</c:f>
              <c:numCache>
                <c:formatCode>_(* #,##0_);_(* \(#,##0\);_(* "-"_);_(@_)</c:formatCode>
                <c:ptCount val="4"/>
                <c:pt idx="0">
                  <c:v>52</c:v>
                </c:pt>
                <c:pt idx="1">
                  <c:v>64</c:v>
                </c:pt>
                <c:pt idx="2">
                  <c:v>46</c:v>
                </c:pt>
                <c:pt idx="3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58-4954-B40D-71ADC5E54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3624976"/>
        <c:axId val="1023626224"/>
      </c:barChart>
      <c:lineChart>
        <c:grouping val="standard"/>
        <c:varyColors val="0"/>
        <c:ser>
          <c:idx val="0"/>
          <c:order val="0"/>
          <c:tx>
            <c:strRef>
              <c:f>'기본작업-2'!$D$3</c:f>
              <c:strCache>
                <c:ptCount val="1"/>
                <c:pt idx="0">
                  <c:v>가격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('기본작업-2'!$B$5,'기본작업-2'!$B$7,'기본작업-2'!$B$11,'기본작업-2'!$B$16)</c:f>
              <c:strCache>
                <c:ptCount val="4"/>
                <c:pt idx="0">
                  <c:v>편장보이타차</c:v>
                </c:pt>
                <c:pt idx="1">
                  <c:v>원미소타</c:v>
                </c:pt>
                <c:pt idx="2">
                  <c:v>교목산차</c:v>
                </c:pt>
                <c:pt idx="3">
                  <c:v>노포보이병차</c:v>
                </c:pt>
              </c:strCache>
            </c:strRef>
          </c:cat>
          <c:val>
            <c:numRef>
              <c:f>('기본작업-2'!$D$5,'기본작업-2'!$D$7,'기본작업-2'!$D$11,'기본작업-2'!$D$16)</c:f>
              <c:numCache>
                <c:formatCode>_(* #,##0_);_(* \(#,##0\);_(* "-"_);_(@_)</c:formatCode>
                <c:ptCount val="4"/>
                <c:pt idx="0">
                  <c:v>32000</c:v>
                </c:pt>
                <c:pt idx="1">
                  <c:v>33500</c:v>
                </c:pt>
                <c:pt idx="2">
                  <c:v>72000</c:v>
                </c:pt>
                <c:pt idx="3">
                  <c:v>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58-4954-B40D-71ADC5E54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501120"/>
        <c:axId val="1223499040"/>
      </c:lineChart>
      <c:catAx>
        <c:axId val="10236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3626224"/>
        <c:crosses val="autoZero"/>
        <c:auto val="1"/>
        <c:lblAlgn val="ctr"/>
        <c:lblOffset val="100"/>
        <c:noMultiLvlLbl val="0"/>
      </c:catAx>
      <c:valAx>
        <c:axId val="102362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3624976"/>
        <c:crosses val="autoZero"/>
        <c:crossBetween val="between"/>
      </c:valAx>
      <c:valAx>
        <c:axId val="1223499040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3501120"/>
        <c:crosses val="max"/>
        <c:crossBetween val="between"/>
      </c:valAx>
      <c:catAx>
        <c:axId val="1223501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3499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허브차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0"/>
      <c:rotY val="4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'기타작업-1'!$B$3:$B$8</c:f>
              <c:strCache>
                <c:ptCount val="6"/>
                <c:pt idx="0">
                  <c:v>히비스커스</c:v>
                </c:pt>
                <c:pt idx="1">
                  <c:v>라벤더</c:v>
                </c:pt>
                <c:pt idx="2">
                  <c:v>캐모마일</c:v>
                </c:pt>
                <c:pt idx="3">
                  <c:v>로즈힙</c:v>
                </c:pt>
                <c:pt idx="4">
                  <c:v>페퍼민트</c:v>
                </c:pt>
                <c:pt idx="5">
                  <c:v>루이보스</c:v>
                </c:pt>
              </c:strCache>
            </c:strRef>
          </c:cat>
          <c:val>
            <c:numRef>
              <c:f>'기타작업-1'!$F$3:$F$8</c:f>
              <c:numCache>
                <c:formatCode>_(* #,##0_);_(* \(#,##0\);_(* "-"_);_(@_)</c:formatCode>
                <c:ptCount val="6"/>
                <c:pt idx="0">
                  <c:v>85</c:v>
                </c:pt>
                <c:pt idx="1">
                  <c:v>74</c:v>
                </c:pt>
                <c:pt idx="2">
                  <c:v>92</c:v>
                </c:pt>
                <c:pt idx="3">
                  <c:v>66</c:v>
                </c:pt>
                <c:pt idx="4">
                  <c:v>84</c:v>
                </c:pt>
                <c:pt idx="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3-470D-BEAC-AAEF8AD8605F}"/>
            </c:ext>
          </c:extLst>
        </c:ser>
        <c:ser>
          <c:idx val="1"/>
          <c:order val="1"/>
          <c:tx>
            <c:strRef>
              <c:f>'기타작업-1'!$G$2</c:f>
              <c:strCache>
                <c:ptCount val="1"/>
                <c:pt idx="0">
                  <c:v>재고수량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'기타작업-1'!$B$3:$B$8</c:f>
              <c:strCache>
                <c:ptCount val="6"/>
                <c:pt idx="0">
                  <c:v>히비스커스</c:v>
                </c:pt>
                <c:pt idx="1">
                  <c:v>라벤더</c:v>
                </c:pt>
                <c:pt idx="2">
                  <c:v>캐모마일</c:v>
                </c:pt>
                <c:pt idx="3">
                  <c:v>로즈힙</c:v>
                </c:pt>
                <c:pt idx="4">
                  <c:v>페퍼민트</c:v>
                </c:pt>
                <c:pt idx="5">
                  <c:v>루이보스</c:v>
                </c:pt>
              </c:strCache>
            </c:strRef>
          </c:cat>
          <c:val>
            <c:numRef>
              <c:f>'기타작업-1'!$G$3:$G$8</c:f>
              <c:numCache>
                <c:formatCode>_(* #,##0_);_(* \(#,##0\);_(* "-"_);_(@_)</c:formatCode>
                <c:ptCount val="6"/>
                <c:pt idx="0">
                  <c:v>31</c:v>
                </c:pt>
                <c:pt idx="1">
                  <c:v>37</c:v>
                </c:pt>
                <c:pt idx="2">
                  <c:v>21</c:v>
                </c:pt>
                <c:pt idx="3">
                  <c:v>24</c:v>
                </c:pt>
                <c:pt idx="4">
                  <c:v>18</c:v>
                </c:pt>
                <c:pt idx="5">
                  <c:v>20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6993-470D-BEAC-AAEF8AD86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7578992"/>
        <c:axId val="497592304"/>
        <c:axId val="0"/>
      </c:bar3DChart>
      <c:catAx>
        <c:axId val="497578992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7592304"/>
        <c:crossesAt val="10"/>
        <c:auto val="1"/>
        <c:lblAlgn val="ctr"/>
        <c:lblOffset val="100"/>
        <c:noMultiLvlLbl val="0"/>
      </c:catAx>
      <c:valAx>
        <c:axId val="49759230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757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101600">
        <a:schemeClr val="accent1">
          <a:satMod val="175000"/>
          <a:alpha val="40000"/>
        </a:schemeClr>
      </a:glow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7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114302</xdr:rowOff>
    </xdr:from>
    <xdr:to>
      <xdr:col>6</xdr:col>
      <xdr:colOff>10885</xdr:colOff>
      <xdr:row>1</xdr:row>
      <xdr:rowOff>266700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96686" y="114302"/>
          <a:ext cx="3744685" cy="58782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ko-KR" sz="1800">
              <a:latin typeface="+mj-ea"/>
              <a:ea typeface="+mj-ea"/>
            </a:rPr>
            <a:t>Tea</a:t>
          </a:r>
          <a:r>
            <a:rPr lang="ko-KR" altLang="en-US" sz="1800">
              <a:latin typeface="+mj-ea"/>
              <a:ea typeface="+mj-ea"/>
            </a:rPr>
            <a:t> 판매</a:t>
          </a:r>
          <a:r>
            <a:rPr lang="en-US" altLang="ko-KR" sz="1800">
              <a:latin typeface="+mj-ea"/>
              <a:ea typeface="+mj-ea"/>
            </a:rPr>
            <a:t>/</a:t>
          </a:r>
          <a:r>
            <a:rPr lang="ko-KR" altLang="en-US" sz="1800">
              <a:latin typeface="+mj-ea"/>
              <a:ea typeface="+mj-ea"/>
            </a:rPr>
            <a:t>재고 현황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1</xdr:rowOff>
    </xdr:from>
    <xdr:to>
      <xdr:col>8</xdr:col>
      <xdr:colOff>0</xdr:colOff>
      <xdr:row>26</xdr:row>
      <xdr:rowOff>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데이터막대" textlink="">
      <xdr:nvSpPr>
        <xdr:cNvPr id="2" name="오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727700" y="215900"/>
          <a:ext cx="1320800" cy="4318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데이터막대</a:t>
          </a:r>
        </a:p>
      </xdr:txBody>
    </xdr:sp>
    <xdr:clientData/>
  </xdr:twoCellAnchor>
  <xdr:twoCellAnchor>
    <xdr:from>
      <xdr:col>8</xdr:col>
      <xdr:colOff>6350</xdr:colOff>
      <xdr:row>4</xdr:row>
      <xdr:rowOff>6350</xdr:rowOff>
    </xdr:from>
    <xdr:to>
      <xdr:col>10</xdr:col>
      <xdr:colOff>0</xdr:colOff>
      <xdr:row>6</xdr:row>
      <xdr:rowOff>0</xdr:rowOff>
    </xdr:to>
    <xdr:sp macro="[0]!아이콘보기" textlink="">
      <xdr:nvSpPr>
        <xdr:cNvPr id="3" name="오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734050" y="869950"/>
          <a:ext cx="1314450" cy="42545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아이콘보기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</xdr:row>
          <xdr:rowOff>9525</xdr:rowOff>
        </xdr:from>
        <xdr:to>
          <xdr:col>10</xdr:col>
          <xdr:colOff>28575</xdr:colOff>
          <xdr:row>4</xdr:row>
          <xdr:rowOff>28575</xdr:rowOff>
        </xdr:to>
        <xdr:sp macro="" textlink="">
          <xdr:nvSpPr>
            <xdr:cNvPr id="1025" name="cmd물품구매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417.797585995373" createdVersion="6" refreshedVersion="6" minRefreshableVersion="3" recordCount="8" xr:uid="{00000000-000A-0000-FFFF-FFFF09000000}">
  <cacheSource type="external" connectionId="2"/>
  <cacheFields count="8">
    <cacheField name="상품코드" numFmtId="0">
      <sharedItems count="8">
        <s v="S9552"/>
        <s v="R3652"/>
        <s v="S2501"/>
        <s v="K1523"/>
        <s v="E9462"/>
        <s v="K9403"/>
        <s v="S6482"/>
        <s v="D3171"/>
      </sharedItems>
    </cacheField>
    <cacheField name="상품명" numFmtId="0">
      <sharedItems count="8">
        <s v="젬마 숄더"/>
        <s v="램스킨 포켓"/>
        <s v="플레이 레더"/>
        <s v="홀리비 미니"/>
        <s v="제스 스퀘어"/>
        <s v="클라라 심플"/>
        <s v="브이사각 수술"/>
        <s v="프론트 라인"/>
      </sharedItems>
      <fieldGroup par="7"/>
    </cacheField>
    <cacheField name="분류" numFmtId="0">
      <sharedItems count="3">
        <s v="숄더백"/>
        <s v="백팩"/>
        <s v="크로스백"/>
      </sharedItems>
    </cacheField>
    <cacheField name="출시일" numFmtId="0">
      <sharedItems containsSemiMixedTypes="0" containsNonDate="0" containsDate="1" containsString="0" minDate="2017-07-24T00:00:00" maxDate="2022-02-01T00:00:00" count="8">
        <d v="2020-12-17T00:00:00"/>
        <d v="2019-01-09T00:00:00"/>
        <d v="2018-03-07T00:00:00"/>
        <d v="2021-03-27T00:00:00"/>
        <d v="2018-01-11T00:00:00"/>
        <d v="2022-01-31T00:00:00"/>
        <d v="2020-11-04T00:00:00"/>
        <d v="2017-07-24T00:00:00"/>
      </sharedItems>
    </cacheField>
    <cacheField name="할인율" numFmtId="0">
      <sharedItems containsSemiMixedTypes="0" containsString="0" containsNumber="1" minValue="0.05" maxValue="0.3" count="6">
        <n v="0.05"/>
        <n v="0.2"/>
        <n v="0.1"/>
        <n v="0.15"/>
        <n v="0.3"/>
        <n v="0.17"/>
      </sharedItems>
    </cacheField>
    <cacheField name="판매가" numFmtId="0">
      <sharedItems containsSemiMixedTypes="0" containsString="0" containsNumber="1" containsInteger="1" minValue="98200" maxValue="230000" count="8">
        <n v="230000"/>
        <n v="130000"/>
        <n v="210000"/>
        <n v="98200"/>
        <n v="165000"/>
        <n v="150000"/>
        <n v="187000"/>
        <n v="120000"/>
      </sharedItems>
    </cacheField>
    <cacheField name="판매량" numFmtId="0">
      <sharedItems containsSemiMixedTypes="0" containsString="0" containsNumber="1" containsInteger="1" minValue="473" maxValue="2519" count="8">
        <n v="1018"/>
        <n v="869"/>
        <n v="2519"/>
        <n v="473"/>
        <n v="2223"/>
        <n v="1568"/>
        <n v="608"/>
        <n v="1365"/>
      </sharedItems>
    </cacheField>
    <cacheField name="상품명2" numFmtId="0" databaseField="0">
      <fieldGroup base="1">
        <discretePr count="8">
          <x v="2"/>
          <x v="0"/>
          <x v="0"/>
          <x v="1"/>
          <x v="2"/>
          <x v="1"/>
          <x v="1"/>
          <x v="0"/>
        </discretePr>
        <groupItems count="3">
          <s v="그룹1"/>
          <s v="그룹2"/>
          <s v="그룹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  <x v="0"/>
    <x v="0"/>
    <x v="0"/>
  </r>
  <r>
    <x v="1"/>
    <x v="1"/>
    <x v="1"/>
    <x v="1"/>
    <x v="1"/>
    <x v="1"/>
    <x v="1"/>
  </r>
  <r>
    <x v="2"/>
    <x v="2"/>
    <x v="1"/>
    <x v="2"/>
    <x v="2"/>
    <x v="2"/>
    <x v="2"/>
  </r>
  <r>
    <x v="3"/>
    <x v="3"/>
    <x v="2"/>
    <x v="3"/>
    <x v="2"/>
    <x v="3"/>
    <x v="3"/>
  </r>
  <r>
    <x v="4"/>
    <x v="4"/>
    <x v="0"/>
    <x v="4"/>
    <x v="3"/>
    <x v="4"/>
    <x v="4"/>
  </r>
  <r>
    <x v="5"/>
    <x v="5"/>
    <x v="2"/>
    <x v="5"/>
    <x v="4"/>
    <x v="5"/>
    <x v="5"/>
  </r>
  <r>
    <x v="6"/>
    <x v="6"/>
    <x v="2"/>
    <x v="6"/>
    <x v="0"/>
    <x v="6"/>
    <x v="6"/>
  </r>
  <r>
    <x v="7"/>
    <x v="7"/>
    <x v="1"/>
    <x v="7"/>
    <x v="5"/>
    <x v="7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showDrill="0" useAutoFormatting="1" itemPrintTitles="1" createdVersion="6" indent="0" compact="0" compactData="0" multipleFieldFilters="0" fieldListSortAscending="1">
  <location ref="A2:D14" firstHeaderRow="0" firstDataRow="1" firstDataCol="2"/>
  <pivotFields count="8">
    <pivotField compact="0" outline="0" subtotalTop="0" showAll="0"/>
    <pivotField axis="axisRow" compact="0" outline="0" subtotalTop="0" showAll="0">
      <items count="9">
        <item x="1"/>
        <item x="6"/>
        <item x="4"/>
        <item x="0"/>
        <item x="5"/>
        <item x="7"/>
        <item x="2"/>
        <item x="3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dataField="1" compact="0" outline="0" subtotalTop="0" showAll="0"/>
    <pivotField axis="axisRow" compact="0" outline="0" subtotalTop="0" showAll="0">
      <items count="4">
        <item n="백팩" x="0"/>
        <item n="크로스백" x="1"/>
        <item n="숄더백" x="2"/>
        <item t="default"/>
      </items>
    </pivotField>
  </pivotFields>
  <rowFields count="2">
    <field x="7"/>
    <field x="1"/>
  </rowFields>
  <rowItems count="12">
    <i>
      <x/>
      <x/>
    </i>
    <i r="1">
      <x v="5"/>
    </i>
    <i r="1">
      <x v="6"/>
    </i>
    <i t="default">
      <x/>
    </i>
    <i>
      <x v="1"/>
      <x v="1"/>
    </i>
    <i r="1">
      <x v="4"/>
    </i>
    <i r="1">
      <x v="7"/>
    </i>
    <i t="default">
      <x v="1"/>
    </i>
    <i>
      <x v="2"/>
      <x v="2"/>
    </i>
    <i r="1">
      <x v="3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합계 : 판매가" fld="5" baseField="1" baseItem="0" numFmtId="177"/>
    <dataField name="합계 : 판매량" fld="6" showDataAs="percentOfCol" baseField="1" baseItem="0" numFmtId="10"/>
  </dataField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28"/>
  <sheetViews>
    <sheetView tabSelected="1" workbookViewId="0">
      <selection activeCell="J16" sqref="J16"/>
    </sheetView>
  </sheetViews>
  <sheetFormatPr defaultRowHeight="16.5" x14ac:dyDescent="0.3"/>
  <cols>
    <col min="1" max="1" width="9.125" style="1"/>
    <col min="2" max="2" width="11.75" customWidth="1"/>
    <col min="3" max="3" width="13.25" customWidth="1"/>
    <col min="4" max="5" width="10.5" bestFit="1" customWidth="1"/>
    <col min="6" max="6" width="10.875" customWidth="1"/>
    <col min="7" max="8" width="14.375" bestFit="1" customWidth="1"/>
  </cols>
  <sheetData>
    <row r="1" spans="1:7" s="7" customFormat="1" x14ac:dyDescent="0.3">
      <c r="A1" s="1" t="s">
        <v>43</v>
      </c>
    </row>
    <row r="2" spans="1:7" ht="33" x14ac:dyDescent="0.3">
      <c r="A2" s="8" t="s">
        <v>14</v>
      </c>
      <c r="B2" s="8" t="s">
        <v>15</v>
      </c>
      <c r="C2" s="8" t="s">
        <v>16</v>
      </c>
      <c r="D2" s="11" t="s">
        <v>17</v>
      </c>
      <c r="E2" s="8" t="s">
        <v>18</v>
      </c>
      <c r="F2" s="11" t="s">
        <v>41</v>
      </c>
      <c r="G2" s="11" t="s">
        <v>42</v>
      </c>
    </row>
    <row r="3" spans="1:7" x14ac:dyDescent="0.3">
      <c r="A3" s="8" t="s">
        <v>19</v>
      </c>
      <c r="B3" s="8" t="s">
        <v>20</v>
      </c>
      <c r="C3" s="8" t="s">
        <v>21</v>
      </c>
      <c r="D3" s="8" t="s">
        <v>22</v>
      </c>
      <c r="E3" s="12">
        <v>454</v>
      </c>
      <c r="F3" s="9">
        <v>8.4</v>
      </c>
      <c r="G3" s="10">
        <v>1854</v>
      </c>
    </row>
    <row r="4" spans="1:7" x14ac:dyDescent="0.3">
      <c r="A4" s="8" t="s">
        <v>23</v>
      </c>
      <c r="B4" s="8" t="s">
        <v>24</v>
      </c>
      <c r="C4" s="8" t="s">
        <v>25</v>
      </c>
      <c r="D4" s="8" t="s">
        <v>26</v>
      </c>
      <c r="E4" s="12">
        <v>683</v>
      </c>
      <c r="F4" s="9">
        <v>2.5</v>
      </c>
      <c r="G4" s="10">
        <v>7640</v>
      </c>
    </row>
    <row r="5" spans="1:7" x14ac:dyDescent="0.3">
      <c r="A5" s="8" t="s">
        <v>27</v>
      </c>
      <c r="B5" s="8" t="s">
        <v>28</v>
      </c>
      <c r="C5" s="8" t="s">
        <v>21</v>
      </c>
      <c r="D5" s="8" t="s">
        <v>22</v>
      </c>
      <c r="E5" s="12">
        <v>229</v>
      </c>
      <c r="F5" s="9">
        <v>3.6999999999999997</v>
      </c>
      <c r="G5" s="10">
        <v>2607</v>
      </c>
    </row>
    <row r="6" spans="1:7" x14ac:dyDescent="0.3">
      <c r="A6" s="8" t="s">
        <v>29</v>
      </c>
      <c r="B6" s="8" t="s">
        <v>30</v>
      </c>
      <c r="C6" s="8" t="s">
        <v>25</v>
      </c>
      <c r="D6" s="8" t="s">
        <v>26</v>
      </c>
      <c r="E6" s="12">
        <v>721</v>
      </c>
      <c r="F6" s="9">
        <v>10.6</v>
      </c>
      <c r="G6" s="10">
        <v>2786</v>
      </c>
    </row>
    <row r="7" spans="1:7" x14ac:dyDescent="0.3">
      <c r="A7" s="8" t="s">
        <v>31</v>
      </c>
      <c r="B7" s="8" t="s">
        <v>32</v>
      </c>
      <c r="C7" s="8" t="s">
        <v>21</v>
      </c>
      <c r="D7" s="8" t="s">
        <v>22</v>
      </c>
      <c r="E7" s="12">
        <v>485</v>
      </c>
      <c r="F7" s="9">
        <v>3.1</v>
      </c>
      <c r="G7" s="10">
        <v>1728</v>
      </c>
    </row>
    <row r="8" spans="1:7" x14ac:dyDescent="0.3">
      <c r="A8" s="8" t="s">
        <v>33</v>
      </c>
      <c r="B8" s="8" t="s">
        <v>34</v>
      </c>
      <c r="C8" s="8" t="s">
        <v>21</v>
      </c>
      <c r="D8" s="8" t="s">
        <v>22</v>
      </c>
      <c r="E8" s="12">
        <v>930</v>
      </c>
      <c r="F8" s="9">
        <v>4.1000000000000005</v>
      </c>
      <c r="G8" s="10">
        <v>2319</v>
      </c>
    </row>
    <row r="9" spans="1:7" x14ac:dyDescent="0.3">
      <c r="A9" s="8" t="s">
        <v>35</v>
      </c>
      <c r="B9" s="8" t="s">
        <v>36</v>
      </c>
      <c r="C9" s="8" t="s">
        <v>37</v>
      </c>
      <c r="D9" s="8" t="s">
        <v>38</v>
      </c>
      <c r="E9" s="12">
        <v>995</v>
      </c>
      <c r="F9" s="9">
        <v>5.2</v>
      </c>
      <c r="G9" s="10">
        <v>1253</v>
      </c>
    </row>
    <row r="10" spans="1:7" x14ac:dyDescent="0.3">
      <c r="A10" s="8" t="s">
        <v>39</v>
      </c>
      <c r="B10" s="8" t="s">
        <v>40</v>
      </c>
      <c r="C10" s="8" t="s">
        <v>37</v>
      </c>
      <c r="D10" s="8" t="s">
        <v>38</v>
      </c>
      <c r="E10" s="12">
        <v>776</v>
      </c>
      <c r="F10" s="9">
        <v>1.7999999999999998</v>
      </c>
      <c r="G10" s="10">
        <v>2691</v>
      </c>
    </row>
    <row r="11" spans="1:7" x14ac:dyDescent="0.3">
      <c r="A11" s="2" t="s">
        <v>60</v>
      </c>
      <c r="B11" s="8" t="s">
        <v>52</v>
      </c>
      <c r="C11" s="8" t="s">
        <v>44</v>
      </c>
      <c r="D11" s="8" t="s">
        <v>46</v>
      </c>
      <c r="E11" s="13">
        <v>512</v>
      </c>
      <c r="F11" s="13">
        <v>2.5</v>
      </c>
      <c r="G11" s="3">
        <v>2574</v>
      </c>
    </row>
    <row r="12" spans="1:7" x14ac:dyDescent="0.3">
      <c r="A12" s="2" t="s">
        <v>61</v>
      </c>
      <c r="B12" s="8" t="s">
        <v>53</v>
      </c>
      <c r="C12" s="8" t="s">
        <v>44</v>
      </c>
      <c r="D12" s="8" t="s">
        <v>47</v>
      </c>
      <c r="E12" s="13">
        <v>358</v>
      </c>
      <c r="F12" s="13">
        <v>4.5999999999999996</v>
      </c>
      <c r="G12" s="3">
        <v>1987</v>
      </c>
    </row>
    <row r="13" spans="1:7" x14ac:dyDescent="0.3">
      <c r="A13" s="2" t="s">
        <v>62</v>
      </c>
      <c r="B13" s="8" t="s">
        <v>54</v>
      </c>
      <c r="C13" s="8" t="s">
        <v>45</v>
      </c>
      <c r="D13" s="8" t="s">
        <v>48</v>
      </c>
      <c r="E13" s="13">
        <v>153</v>
      </c>
      <c r="F13" s="13">
        <v>8.1</v>
      </c>
      <c r="G13" s="3">
        <v>1874</v>
      </c>
    </row>
    <row r="14" spans="1:7" x14ac:dyDescent="0.3">
      <c r="A14" s="2" t="s">
        <v>56</v>
      </c>
      <c r="B14" s="8" t="s">
        <v>55</v>
      </c>
      <c r="C14" s="2" t="s">
        <v>57</v>
      </c>
      <c r="D14" s="8" t="s">
        <v>49</v>
      </c>
      <c r="E14" s="13">
        <v>258</v>
      </c>
      <c r="F14" s="13">
        <v>10.1</v>
      </c>
      <c r="G14" s="3">
        <v>2978</v>
      </c>
    </row>
    <row r="15" spans="1:7" x14ac:dyDescent="0.3">
      <c r="A15" s="2" t="s">
        <v>65</v>
      </c>
      <c r="B15" s="2" t="s">
        <v>63</v>
      </c>
      <c r="C15" s="2" t="s">
        <v>58</v>
      </c>
      <c r="D15" s="8" t="s">
        <v>50</v>
      </c>
      <c r="E15" s="13">
        <v>978</v>
      </c>
      <c r="F15" s="13">
        <v>9.5</v>
      </c>
      <c r="G15" s="3">
        <v>9547</v>
      </c>
    </row>
    <row r="16" spans="1:7" x14ac:dyDescent="0.3">
      <c r="A16" s="2" t="s">
        <v>66</v>
      </c>
      <c r="B16" s="2" t="s">
        <v>64</v>
      </c>
      <c r="C16" s="2" t="s">
        <v>58</v>
      </c>
      <c r="D16" s="8" t="s">
        <v>51</v>
      </c>
      <c r="E16" s="13">
        <v>157</v>
      </c>
      <c r="F16" s="13">
        <v>7.3</v>
      </c>
      <c r="G16" s="3">
        <v>3157</v>
      </c>
    </row>
    <row r="19" spans="1:7" x14ac:dyDescent="0.3">
      <c r="A19" s="1" t="s">
        <v>59</v>
      </c>
    </row>
    <row r="20" spans="1:7" x14ac:dyDescent="0.3">
      <c r="A20" s="1" t="b">
        <f>OR(LEFT(A3,1)="A",G3&gt;=LARGE($G$3:$G$16,3))</f>
        <v>0</v>
      </c>
    </row>
    <row r="23" spans="1:7" ht="33" x14ac:dyDescent="0.3">
      <c r="A23" s="8" t="s">
        <v>14</v>
      </c>
      <c r="B23" s="8" t="s">
        <v>15</v>
      </c>
      <c r="C23" s="8" t="s">
        <v>16</v>
      </c>
      <c r="D23" s="11" t="s">
        <v>17</v>
      </c>
      <c r="E23" s="8" t="s">
        <v>18</v>
      </c>
      <c r="F23" s="11" t="s">
        <v>41</v>
      </c>
      <c r="G23" s="11" t="s">
        <v>42</v>
      </c>
    </row>
    <row r="24" spans="1:7" x14ac:dyDescent="0.3">
      <c r="A24" s="8" t="s">
        <v>23</v>
      </c>
      <c r="B24" s="8" t="s">
        <v>24</v>
      </c>
      <c r="C24" s="8" t="s">
        <v>25</v>
      </c>
      <c r="D24" s="8" t="s">
        <v>26</v>
      </c>
      <c r="E24" s="12">
        <v>683</v>
      </c>
      <c r="F24" s="9">
        <v>2.5</v>
      </c>
      <c r="G24" s="10">
        <v>7640</v>
      </c>
    </row>
    <row r="25" spans="1:7" x14ac:dyDescent="0.3">
      <c r="A25" s="8" t="s">
        <v>27</v>
      </c>
      <c r="B25" s="8" t="s">
        <v>28</v>
      </c>
      <c r="C25" s="8" t="s">
        <v>21</v>
      </c>
      <c r="D25" s="8" t="s">
        <v>22</v>
      </c>
      <c r="E25" s="12">
        <v>229</v>
      </c>
      <c r="F25" s="9">
        <v>3.6999999999999997</v>
      </c>
      <c r="G25" s="10">
        <v>2607</v>
      </c>
    </row>
    <row r="26" spans="1:7" x14ac:dyDescent="0.3">
      <c r="A26" s="8" t="s">
        <v>33</v>
      </c>
      <c r="B26" s="8" t="s">
        <v>34</v>
      </c>
      <c r="C26" s="8" t="s">
        <v>21</v>
      </c>
      <c r="D26" s="8" t="s">
        <v>22</v>
      </c>
      <c r="E26" s="12">
        <v>930</v>
      </c>
      <c r="F26" s="9">
        <v>4.1000000000000005</v>
      </c>
      <c r="G26" s="10">
        <v>2319</v>
      </c>
    </row>
    <row r="27" spans="1:7" x14ac:dyDescent="0.3">
      <c r="A27" s="2" t="s">
        <v>65</v>
      </c>
      <c r="B27" s="2" t="s">
        <v>63</v>
      </c>
      <c r="C27" s="2" t="s">
        <v>58</v>
      </c>
      <c r="D27" s="8" t="s">
        <v>50</v>
      </c>
      <c r="E27" s="13">
        <v>978</v>
      </c>
      <c r="F27" s="13">
        <v>9.5</v>
      </c>
      <c r="G27" s="3">
        <v>9547</v>
      </c>
    </row>
    <row r="28" spans="1:7" x14ac:dyDescent="0.3">
      <c r="A28" s="2" t="s">
        <v>66</v>
      </c>
      <c r="B28" s="2" t="s">
        <v>64</v>
      </c>
      <c r="C28" s="2" t="s">
        <v>58</v>
      </c>
      <c r="D28" s="8" t="s">
        <v>51</v>
      </c>
      <c r="E28" s="13">
        <v>157</v>
      </c>
      <c r="F28" s="13">
        <v>7.3</v>
      </c>
      <c r="G28" s="3">
        <v>3157</v>
      </c>
    </row>
  </sheetData>
  <phoneticPr fontId="1" type="noConversion"/>
  <conditionalFormatting sqref="A3:G16">
    <cfRule type="expression" dxfId="1" priority="1">
      <formula>(MAX($E$3:$E$16)=$E3)+(MIN($E$3:$E$16)=$E3)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16"/>
  <sheetViews>
    <sheetView view="pageBreakPreview" zoomScaleNormal="100" zoomScaleSheetLayoutView="100" workbookViewId="0"/>
  </sheetViews>
  <sheetFormatPr defaultColWidth="8.625" defaultRowHeight="16.5" x14ac:dyDescent="0.3"/>
  <cols>
    <col min="1" max="1" width="8.625" style="20"/>
    <col min="2" max="2" width="12.375" style="20" bestFit="1" customWidth="1"/>
    <col min="3" max="6" width="8.625" style="20"/>
    <col min="7" max="7" width="10.5" style="20" bestFit="1" customWidth="1"/>
    <col min="8" max="16384" width="8.625" style="20"/>
  </cols>
  <sheetData>
    <row r="1" spans="1:7" ht="34.35" customHeight="1" x14ac:dyDescent="0.3"/>
    <row r="2" spans="1:7" ht="34.35" customHeight="1" x14ac:dyDescent="0.3"/>
    <row r="3" spans="1:7" x14ac:dyDescent="0.3">
      <c r="A3" s="21" t="s">
        <v>86</v>
      </c>
      <c r="B3" s="21" t="s">
        <v>78</v>
      </c>
      <c r="C3" s="21" t="s">
        <v>87</v>
      </c>
      <c r="D3" s="22" t="s">
        <v>109</v>
      </c>
      <c r="E3" s="22" t="s">
        <v>110</v>
      </c>
      <c r="F3" s="21" t="s">
        <v>89</v>
      </c>
      <c r="G3" s="21" t="s">
        <v>126</v>
      </c>
    </row>
    <row r="4" spans="1:7" x14ac:dyDescent="0.3">
      <c r="A4" s="23" t="s">
        <v>120</v>
      </c>
      <c r="B4" s="23" t="s">
        <v>119</v>
      </c>
      <c r="C4" s="23" t="s">
        <v>118</v>
      </c>
      <c r="D4" s="24">
        <v>19000</v>
      </c>
      <c r="E4" s="24">
        <v>85</v>
      </c>
      <c r="F4" s="24">
        <v>31</v>
      </c>
      <c r="G4" s="26">
        <f>E4+F4</f>
        <v>116</v>
      </c>
    </row>
    <row r="5" spans="1:7" x14ac:dyDescent="0.3">
      <c r="A5" s="23" t="s">
        <v>121</v>
      </c>
      <c r="B5" s="23" t="s">
        <v>113</v>
      </c>
      <c r="C5" s="23" t="s">
        <v>111</v>
      </c>
      <c r="D5" s="24">
        <v>32000</v>
      </c>
      <c r="E5" s="24">
        <v>52</v>
      </c>
      <c r="F5" s="24">
        <v>25</v>
      </c>
      <c r="G5" s="26">
        <f t="shared" ref="G5:G16" si="0">E5+F5</f>
        <v>77</v>
      </c>
    </row>
    <row r="6" spans="1:7" x14ac:dyDescent="0.3">
      <c r="A6" s="21" t="s">
        <v>90</v>
      </c>
      <c r="B6" s="21" t="s">
        <v>91</v>
      </c>
      <c r="C6" s="21" t="s">
        <v>92</v>
      </c>
      <c r="D6" s="25">
        <v>25000</v>
      </c>
      <c r="E6" s="25">
        <v>74</v>
      </c>
      <c r="F6" s="25">
        <v>37</v>
      </c>
      <c r="G6" s="26">
        <f t="shared" si="0"/>
        <v>111</v>
      </c>
    </row>
    <row r="7" spans="1:7" x14ac:dyDescent="0.3">
      <c r="A7" s="21" t="s">
        <v>93</v>
      </c>
      <c r="B7" s="21" t="s">
        <v>94</v>
      </c>
      <c r="C7" s="21" t="s">
        <v>95</v>
      </c>
      <c r="D7" s="25">
        <v>33500</v>
      </c>
      <c r="E7" s="25">
        <v>64</v>
      </c>
      <c r="F7" s="25">
        <v>16</v>
      </c>
      <c r="G7" s="26">
        <f t="shared" si="0"/>
        <v>80</v>
      </c>
    </row>
    <row r="8" spans="1:7" x14ac:dyDescent="0.3">
      <c r="A8" s="23" t="s">
        <v>122</v>
      </c>
      <c r="B8" s="23" t="s">
        <v>115</v>
      </c>
      <c r="C8" s="23" t="s">
        <v>112</v>
      </c>
      <c r="D8" s="24">
        <v>17000</v>
      </c>
      <c r="E8" s="24">
        <v>92</v>
      </c>
      <c r="F8" s="24">
        <v>21</v>
      </c>
      <c r="G8" s="26">
        <f t="shared" si="0"/>
        <v>113</v>
      </c>
    </row>
    <row r="9" spans="1:7" x14ac:dyDescent="0.3">
      <c r="A9" s="21" t="s">
        <v>96</v>
      </c>
      <c r="B9" s="21" t="s">
        <v>97</v>
      </c>
      <c r="C9" s="21" t="s">
        <v>92</v>
      </c>
      <c r="D9" s="25">
        <v>25000</v>
      </c>
      <c r="E9" s="25">
        <v>66</v>
      </c>
      <c r="F9" s="25">
        <v>24</v>
      </c>
      <c r="G9" s="26">
        <f t="shared" si="0"/>
        <v>90</v>
      </c>
    </row>
    <row r="10" spans="1:7" x14ac:dyDescent="0.3">
      <c r="A10" s="21" t="s">
        <v>98</v>
      </c>
      <c r="B10" s="21" t="s">
        <v>99</v>
      </c>
      <c r="C10" s="21" t="s">
        <v>100</v>
      </c>
      <c r="D10" s="25">
        <v>55000</v>
      </c>
      <c r="E10" s="25">
        <v>56</v>
      </c>
      <c r="F10" s="25">
        <v>29</v>
      </c>
      <c r="G10" s="26">
        <f t="shared" si="0"/>
        <v>85</v>
      </c>
    </row>
    <row r="11" spans="1:7" x14ac:dyDescent="0.3">
      <c r="A11" s="21" t="s">
        <v>101</v>
      </c>
      <c r="B11" s="21" t="s">
        <v>102</v>
      </c>
      <c r="C11" s="21" t="s">
        <v>95</v>
      </c>
      <c r="D11" s="25">
        <v>72000</v>
      </c>
      <c r="E11" s="25">
        <v>46</v>
      </c>
      <c r="F11" s="25">
        <v>35</v>
      </c>
      <c r="G11" s="26">
        <f t="shared" si="0"/>
        <v>81</v>
      </c>
    </row>
    <row r="12" spans="1:7" x14ac:dyDescent="0.3">
      <c r="A12" s="23" t="s">
        <v>123</v>
      </c>
      <c r="B12" s="23" t="s">
        <v>117</v>
      </c>
      <c r="C12" s="23" t="s">
        <v>116</v>
      </c>
      <c r="D12" s="24">
        <v>18000</v>
      </c>
      <c r="E12" s="24">
        <v>84</v>
      </c>
      <c r="F12" s="24">
        <v>18</v>
      </c>
      <c r="G12" s="26">
        <f t="shared" si="0"/>
        <v>102</v>
      </c>
    </row>
    <row r="13" spans="1:7" x14ac:dyDescent="0.3">
      <c r="A13" s="21" t="s">
        <v>103</v>
      </c>
      <c r="B13" s="21" t="s">
        <v>104</v>
      </c>
      <c r="C13" s="21" t="s">
        <v>100</v>
      </c>
      <c r="D13" s="25">
        <v>35000</v>
      </c>
      <c r="E13" s="25">
        <v>52</v>
      </c>
      <c r="F13" s="25">
        <v>31</v>
      </c>
      <c r="G13" s="26">
        <f t="shared" si="0"/>
        <v>83</v>
      </c>
    </row>
    <row r="14" spans="1:7" x14ac:dyDescent="0.3">
      <c r="A14" s="21" t="s">
        <v>105</v>
      </c>
      <c r="B14" s="21" t="s">
        <v>106</v>
      </c>
      <c r="C14" s="21" t="s">
        <v>100</v>
      </c>
      <c r="D14" s="25">
        <v>33000</v>
      </c>
      <c r="E14" s="25">
        <v>48</v>
      </c>
      <c r="F14" s="25">
        <v>27</v>
      </c>
      <c r="G14" s="26">
        <f t="shared" si="0"/>
        <v>75</v>
      </c>
    </row>
    <row r="15" spans="1:7" x14ac:dyDescent="0.3">
      <c r="A15" s="21" t="s">
        <v>107</v>
      </c>
      <c r="B15" s="21" t="s">
        <v>108</v>
      </c>
      <c r="C15" s="21" t="s">
        <v>92</v>
      </c>
      <c r="D15" s="25">
        <v>32000</v>
      </c>
      <c r="E15" s="25">
        <v>32</v>
      </c>
      <c r="F15" s="25">
        <v>20</v>
      </c>
      <c r="G15" s="26">
        <f t="shared" si="0"/>
        <v>52</v>
      </c>
    </row>
    <row r="16" spans="1:7" x14ac:dyDescent="0.3">
      <c r="A16" s="23" t="s">
        <v>124</v>
      </c>
      <c r="B16" s="23" t="s">
        <v>114</v>
      </c>
      <c r="C16" s="23" t="s">
        <v>111</v>
      </c>
      <c r="D16" s="24">
        <v>24000</v>
      </c>
      <c r="E16" s="24">
        <v>39</v>
      </c>
      <c r="F16" s="24">
        <v>14</v>
      </c>
      <c r="G16" s="26">
        <f t="shared" si="0"/>
        <v>53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42"/>
  <sheetViews>
    <sheetView workbookViewId="0">
      <selection activeCell="H28" sqref="H28"/>
    </sheetView>
  </sheetViews>
  <sheetFormatPr defaultRowHeight="16.5" x14ac:dyDescent="0.3"/>
  <cols>
    <col min="1" max="1" width="8.5" bestFit="1" customWidth="1"/>
    <col min="2" max="2" width="21" bestFit="1" customWidth="1"/>
    <col min="3" max="4" width="10.625" bestFit="1" customWidth="1"/>
    <col min="5" max="5" width="8.5" bestFit="1" customWidth="1"/>
    <col min="6" max="6" width="10.625" bestFit="1" customWidth="1"/>
    <col min="7" max="7" width="10.375" bestFit="1" customWidth="1"/>
    <col min="8" max="8" width="18.625" bestFit="1" customWidth="1"/>
    <col min="9" max="9" width="13.375" customWidth="1"/>
    <col min="10" max="10" width="10.625" bestFit="1" customWidth="1"/>
  </cols>
  <sheetData>
    <row r="1" spans="1:11" x14ac:dyDescent="0.3">
      <c r="A1" s="33" t="s">
        <v>136</v>
      </c>
      <c r="B1" s="33"/>
      <c r="C1" s="33"/>
      <c r="D1" s="33"/>
      <c r="E1" s="33"/>
      <c r="F1" s="33"/>
      <c r="G1" s="33"/>
      <c r="H1" s="33"/>
      <c r="I1" s="34"/>
      <c r="J1" s="7"/>
      <c r="K1" s="7"/>
    </row>
    <row r="2" spans="1:11" x14ac:dyDescent="0.3">
      <c r="A2" s="2" t="s">
        <v>137</v>
      </c>
      <c r="B2" s="35" t="s">
        <v>138</v>
      </c>
      <c r="C2" s="2" t="s">
        <v>139</v>
      </c>
      <c r="D2" s="2" t="s">
        <v>140</v>
      </c>
      <c r="E2" s="2" t="s">
        <v>141</v>
      </c>
      <c r="F2" s="2" t="s">
        <v>142</v>
      </c>
      <c r="G2" s="2" t="s">
        <v>143</v>
      </c>
      <c r="H2" s="35" t="s">
        <v>144</v>
      </c>
      <c r="I2" s="34"/>
      <c r="J2" s="7"/>
    </row>
    <row r="3" spans="1:11" x14ac:dyDescent="0.3">
      <c r="A3" s="2" t="s">
        <v>145</v>
      </c>
      <c r="B3" s="36" t="str">
        <f>_xlfn.CONCAT(HLOOKUP(LEFT(A3,1),$B$27:$E$28,2,FALSE),"-",C3)</f>
        <v>서울센터-노트북</v>
      </c>
      <c r="C3" s="2" t="s">
        <v>146</v>
      </c>
      <c r="D3" s="37">
        <v>1500000</v>
      </c>
      <c r="E3" s="32">
        <v>1</v>
      </c>
      <c r="F3" s="37">
        <v>1250000</v>
      </c>
      <c r="G3" s="37">
        <v>250000</v>
      </c>
      <c r="H3" s="2" t="str" cm="1">
        <f t="array" ref="H3">fn비고(A3)</f>
        <v>업무용</v>
      </c>
      <c r="I3" s="34"/>
      <c r="J3" s="7"/>
    </row>
    <row r="4" spans="1:11" x14ac:dyDescent="0.3">
      <c r="A4" s="2" t="s">
        <v>147</v>
      </c>
      <c r="B4" s="36" t="str">
        <f t="shared" ref="B4:B24" si="0">_xlfn.CONCAT(HLOOKUP(LEFT(A4,1),$B$27:$E$28,2,FALSE),"-",C4)</f>
        <v>부산센터-책상</v>
      </c>
      <c r="C4" s="2" t="s">
        <v>148</v>
      </c>
      <c r="D4" s="37">
        <v>900000</v>
      </c>
      <c r="E4" s="32">
        <v>4</v>
      </c>
      <c r="F4" s="37">
        <v>300000</v>
      </c>
      <c r="G4" s="37">
        <v>150000</v>
      </c>
      <c r="H4" s="2" t="str" cm="1">
        <f t="array" ref="H4">fn비고(A4)</f>
        <v>업무용</v>
      </c>
      <c r="I4" s="34"/>
      <c r="J4" s="7"/>
    </row>
    <row r="5" spans="1:11" x14ac:dyDescent="0.3">
      <c r="A5" s="2" t="s">
        <v>149</v>
      </c>
      <c r="B5" s="36" t="str">
        <f t="shared" si="0"/>
        <v>인천센터-냉장고</v>
      </c>
      <c r="C5" s="2" t="s">
        <v>150</v>
      </c>
      <c r="D5" s="37">
        <v>2800000</v>
      </c>
      <c r="E5" s="32">
        <v>2</v>
      </c>
      <c r="F5" s="37">
        <v>1867000</v>
      </c>
      <c r="G5" s="37">
        <v>499000</v>
      </c>
      <c r="H5" s="2" t="str" cm="1">
        <f t="array" ref="H5">fn비고(A5)</f>
        <v>고객용</v>
      </c>
      <c r="I5" s="34"/>
      <c r="J5" s="7"/>
    </row>
    <row r="6" spans="1:11" x14ac:dyDescent="0.3">
      <c r="A6" s="2" t="s">
        <v>151</v>
      </c>
      <c r="B6" s="36" t="str">
        <f t="shared" si="0"/>
        <v>서울센터-POS단말기</v>
      </c>
      <c r="C6" s="2" t="s">
        <v>152</v>
      </c>
      <c r="D6" s="37">
        <v>3500000</v>
      </c>
      <c r="E6" s="32">
        <v>4</v>
      </c>
      <c r="F6" s="37">
        <v>1167000</v>
      </c>
      <c r="G6" s="37">
        <v>583000</v>
      </c>
      <c r="H6" s="2" t="str" cm="1">
        <f t="array" ref="H6">fn비고(A6)</f>
        <v>업무용</v>
      </c>
      <c r="I6" s="34"/>
      <c r="J6" s="7"/>
    </row>
    <row r="7" spans="1:11" x14ac:dyDescent="0.3">
      <c r="A7" s="2" t="s">
        <v>153</v>
      </c>
      <c r="B7" s="36" t="str">
        <f t="shared" si="0"/>
        <v>인천센터-노트북</v>
      </c>
      <c r="C7" s="2" t="s">
        <v>154</v>
      </c>
      <c r="D7" s="37">
        <v>1500000</v>
      </c>
      <c r="E7" s="32">
        <v>3</v>
      </c>
      <c r="F7" s="37">
        <v>750000</v>
      </c>
      <c r="G7" s="37">
        <v>250000</v>
      </c>
      <c r="H7" s="2" t="str" cm="1">
        <f t="array" ref="H7">fn비고(A7)</f>
        <v>업무용</v>
      </c>
      <c r="I7" s="34"/>
      <c r="J7" s="7"/>
    </row>
    <row r="8" spans="1:11" x14ac:dyDescent="0.3">
      <c r="A8" s="2" t="s">
        <v>155</v>
      </c>
      <c r="B8" s="36" t="str">
        <f t="shared" si="0"/>
        <v>서울센터-커피머신</v>
      </c>
      <c r="C8" s="2" t="s">
        <v>156</v>
      </c>
      <c r="D8" s="37">
        <v>2000000</v>
      </c>
      <c r="E8" s="32">
        <v>3</v>
      </c>
      <c r="F8" s="37">
        <v>1000000</v>
      </c>
      <c r="G8" s="37">
        <v>333000</v>
      </c>
      <c r="H8" s="2" t="str" cm="1">
        <f t="array" ref="H8">fn비고(A8)</f>
        <v>고객용</v>
      </c>
      <c r="I8" s="34"/>
      <c r="J8" s="7"/>
    </row>
    <row r="9" spans="1:11" x14ac:dyDescent="0.3">
      <c r="A9" s="2" t="s">
        <v>157</v>
      </c>
      <c r="B9" s="36" t="str">
        <f t="shared" si="0"/>
        <v>인천센터-의자</v>
      </c>
      <c r="C9" s="2" t="s">
        <v>158</v>
      </c>
      <c r="D9" s="37">
        <v>250000</v>
      </c>
      <c r="E9" s="32">
        <v>3</v>
      </c>
      <c r="F9" s="37">
        <v>125000</v>
      </c>
      <c r="G9" s="37">
        <v>42000</v>
      </c>
      <c r="H9" s="2" t="str" cm="1">
        <f t="array" ref="H9">fn비고(A9)</f>
        <v>업무용</v>
      </c>
      <c r="I9" s="34"/>
      <c r="J9" s="7"/>
    </row>
    <row r="10" spans="1:11" x14ac:dyDescent="0.3">
      <c r="A10" s="2" t="s">
        <v>159</v>
      </c>
      <c r="B10" s="36" t="str">
        <f t="shared" si="0"/>
        <v>대전센터-테이블</v>
      </c>
      <c r="C10" s="2" t="s">
        <v>160</v>
      </c>
      <c r="D10" s="37">
        <v>1200000</v>
      </c>
      <c r="E10" s="32">
        <v>5</v>
      </c>
      <c r="F10" s="37">
        <v>200000</v>
      </c>
      <c r="G10" s="37">
        <v>180000</v>
      </c>
      <c r="H10" s="2" t="str" cm="1">
        <f t="array" ref="H10">fn비고(A10)</f>
        <v>업무용</v>
      </c>
      <c r="I10" s="34"/>
      <c r="J10" s="7"/>
    </row>
    <row r="11" spans="1:11" x14ac:dyDescent="0.3">
      <c r="A11" s="2" t="s">
        <v>161</v>
      </c>
      <c r="B11" s="36" t="str">
        <f t="shared" si="0"/>
        <v>부산센터-커피머신</v>
      </c>
      <c r="C11" s="2" t="s">
        <v>156</v>
      </c>
      <c r="D11" s="37">
        <v>2000000</v>
      </c>
      <c r="E11" s="32">
        <v>3</v>
      </c>
      <c r="F11" s="37">
        <v>1000000</v>
      </c>
      <c r="G11" s="37">
        <v>333000</v>
      </c>
      <c r="H11" s="2" t="str" cm="1">
        <f t="array" ref="H11">fn비고(A11)</f>
        <v>고객용</v>
      </c>
      <c r="I11" s="34"/>
      <c r="J11" s="7"/>
    </row>
    <row r="12" spans="1:11" x14ac:dyDescent="0.3">
      <c r="A12" s="2" t="s">
        <v>162</v>
      </c>
      <c r="B12" s="36" t="str">
        <f t="shared" si="0"/>
        <v>부산센터-테이블</v>
      </c>
      <c r="C12" s="2" t="s">
        <v>160</v>
      </c>
      <c r="D12" s="37">
        <v>1200000</v>
      </c>
      <c r="E12" s="32">
        <v>4</v>
      </c>
      <c r="F12" s="37">
        <v>400000</v>
      </c>
      <c r="G12" s="37">
        <v>200000</v>
      </c>
      <c r="H12" s="2" t="str" cm="1">
        <f t="array" ref="H12">fn비고(A12)</f>
        <v>업무용</v>
      </c>
      <c r="I12" s="34"/>
      <c r="J12" s="7"/>
    </row>
    <row r="13" spans="1:11" x14ac:dyDescent="0.3">
      <c r="A13" s="2" t="s">
        <v>163</v>
      </c>
      <c r="B13" s="36" t="str">
        <f t="shared" si="0"/>
        <v>서울센터-책상</v>
      </c>
      <c r="C13" s="2" t="s">
        <v>148</v>
      </c>
      <c r="D13" s="37">
        <v>900000</v>
      </c>
      <c r="E13" s="32">
        <v>5</v>
      </c>
      <c r="F13" s="37">
        <v>150000</v>
      </c>
      <c r="G13" s="37">
        <v>150000</v>
      </c>
      <c r="H13" s="2" t="str" cm="1">
        <f t="array" ref="H13">fn비고(A13)</f>
        <v>업무용</v>
      </c>
      <c r="I13" s="34"/>
      <c r="J13" s="7"/>
    </row>
    <row r="14" spans="1:11" x14ac:dyDescent="0.3">
      <c r="A14" s="2" t="s">
        <v>164</v>
      </c>
      <c r="B14" s="36" t="str">
        <f t="shared" si="0"/>
        <v>대전센터-노트북</v>
      </c>
      <c r="C14" s="2" t="s">
        <v>146</v>
      </c>
      <c r="D14" s="37">
        <v>1500000</v>
      </c>
      <c r="E14" s="32">
        <v>3</v>
      </c>
      <c r="F14" s="37">
        <v>750000</v>
      </c>
      <c r="G14" s="37">
        <v>250000</v>
      </c>
      <c r="H14" s="2" t="str" cm="1">
        <f t="array" ref="H14">fn비고(A14)</f>
        <v>업무용</v>
      </c>
      <c r="I14" s="34"/>
      <c r="J14" s="7"/>
    </row>
    <row r="15" spans="1:11" x14ac:dyDescent="0.3">
      <c r="A15" s="2" t="s">
        <v>165</v>
      </c>
      <c r="B15" s="36" t="str">
        <f t="shared" si="0"/>
        <v>대전센터-정수기</v>
      </c>
      <c r="C15" s="2" t="s">
        <v>166</v>
      </c>
      <c r="D15" s="37">
        <v>1800000</v>
      </c>
      <c r="E15" s="32">
        <v>4</v>
      </c>
      <c r="F15" s="37">
        <v>600000</v>
      </c>
      <c r="G15" s="37">
        <v>300000</v>
      </c>
      <c r="H15" s="2" t="str" cm="1">
        <f t="array" ref="H15">fn비고(A15)</f>
        <v>고객용</v>
      </c>
      <c r="I15" s="34"/>
      <c r="J15" s="7"/>
    </row>
    <row r="16" spans="1:11" x14ac:dyDescent="0.3">
      <c r="A16" s="2" t="s">
        <v>167</v>
      </c>
      <c r="B16" s="36" t="str">
        <f t="shared" si="0"/>
        <v>부산센터-POS단말기</v>
      </c>
      <c r="C16" s="2" t="s">
        <v>152</v>
      </c>
      <c r="D16" s="37">
        <v>3500000</v>
      </c>
      <c r="E16" s="32">
        <v>5</v>
      </c>
      <c r="F16" s="37">
        <v>583000</v>
      </c>
      <c r="G16" s="37">
        <v>173000</v>
      </c>
      <c r="H16" s="2" t="str" cm="1">
        <f t="array" ref="H16">fn비고(A16)</f>
        <v>업무용</v>
      </c>
      <c r="I16" s="34"/>
      <c r="J16" s="7"/>
    </row>
    <row r="17" spans="1:11" x14ac:dyDescent="0.3">
      <c r="A17" s="2" t="s">
        <v>168</v>
      </c>
      <c r="B17" s="36" t="str">
        <f t="shared" si="0"/>
        <v>서울센터-대형TV</v>
      </c>
      <c r="C17" s="2" t="s">
        <v>169</v>
      </c>
      <c r="D17" s="37">
        <v>4500000</v>
      </c>
      <c r="E17" s="32">
        <v>3</v>
      </c>
      <c r="F17" s="37">
        <v>2250000</v>
      </c>
      <c r="G17" s="37">
        <v>750000</v>
      </c>
      <c r="H17" s="2" t="str" cm="1">
        <f t="array" ref="H17">fn비고(A17)</f>
        <v>고객용</v>
      </c>
      <c r="I17" s="34"/>
      <c r="J17" s="7"/>
    </row>
    <row r="18" spans="1:11" x14ac:dyDescent="0.3">
      <c r="A18" s="2" t="s">
        <v>157</v>
      </c>
      <c r="B18" s="36" t="str">
        <f t="shared" si="0"/>
        <v>인천센터-의자</v>
      </c>
      <c r="C18" s="2" t="s">
        <v>158</v>
      </c>
      <c r="D18" s="37">
        <v>250000</v>
      </c>
      <c r="E18" s="32">
        <v>2</v>
      </c>
      <c r="F18" s="37">
        <v>167000</v>
      </c>
      <c r="G18" s="37">
        <v>42000</v>
      </c>
      <c r="H18" s="2" t="str" cm="1">
        <f t="array" ref="H18">fn비고(A18)</f>
        <v>업무용</v>
      </c>
      <c r="I18" s="34"/>
      <c r="J18" s="7"/>
    </row>
    <row r="19" spans="1:11" x14ac:dyDescent="0.3">
      <c r="A19" s="2" t="s">
        <v>170</v>
      </c>
      <c r="B19" s="36" t="str">
        <f t="shared" si="0"/>
        <v>대전센터-커피머신</v>
      </c>
      <c r="C19" s="2" t="s">
        <v>156</v>
      </c>
      <c r="D19" s="37">
        <v>2000000</v>
      </c>
      <c r="E19" s="32">
        <v>3</v>
      </c>
      <c r="F19" s="37">
        <v>1000000</v>
      </c>
      <c r="G19" s="37">
        <v>333000</v>
      </c>
      <c r="H19" s="2" t="str" cm="1">
        <f t="array" ref="H19">fn비고(A19)</f>
        <v>고객용</v>
      </c>
      <c r="I19" s="34"/>
      <c r="J19" s="7"/>
    </row>
    <row r="20" spans="1:11" x14ac:dyDescent="0.3">
      <c r="A20" s="2" t="s">
        <v>171</v>
      </c>
      <c r="B20" s="36" t="str">
        <f t="shared" si="0"/>
        <v>부산센터-노트북</v>
      </c>
      <c r="C20" s="2" t="s">
        <v>146</v>
      </c>
      <c r="D20" s="37">
        <v>1500000</v>
      </c>
      <c r="E20" s="32">
        <v>2</v>
      </c>
      <c r="F20" s="37">
        <v>1000000</v>
      </c>
      <c r="G20" s="37">
        <v>250000</v>
      </c>
      <c r="H20" s="2" t="str" cm="1">
        <f t="array" ref="H20">fn비고(A20)</f>
        <v>업무용</v>
      </c>
      <c r="I20" s="34"/>
      <c r="J20" s="7"/>
    </row>
    <row r="21" spans="1:11" x14ac:dyDescent="0.3">
      <c r="A21" s="2" t="s">
        <v>172</v>
      </c>
      <c r="B21" s="36" t="str">
        <f t="shared" si="0"/>
        <v>서울센터-냉장고</v>
      </c>
      <c r="C21" s="2" t="s">
        <v>150</v>
      </c>
      <c r="D21" s="37">
        <v>2800000</v>
      </c>
      <c r="E21" s="32">
        <v>3</v>
      </c>
      <c r="F21" s="37">
        <v>1400000</v>
      </c>
      <c r="G21" s="37">
        <v>467000</v>
      </c>
      <c r="H21" s="2" t="str" cm="1">
        <f t="array" ref="H21">fn비고(A21)</f>
        <v>고객용</v>
      </c>
      <c r="I21" s="34"/>
      <c r="J21" s="7"/>
    </row>
    <row r="22" spans="1:11" x14ac:dyDescent="0.3">
      <c r="A22" s="2" t="s">
        <v>173</v>
      </c>
      <c r="B22" s="36" t="str">
        <f t="shared" si="0"/>
        <v>인천센터-POS단말기</v>
      </c>
      <c r="C22" s="2" t="s">
        <v>152</v>
      </c>
      <c r="D22" s="37">
        <v>3500000</v>
      </c>
      <c r="E22" s="32">
        <v>2</v>
      </c>
      <c r="F22" s="37">
        <v>1883000</v>
      </c>
      <c r="G22" s="37">
        <v>483000</v>
      </c>
      <c r="H22" s="2" t="str" cm="1">
        <f t="array" ref="H22">fn비고(A22)</f>
        <v>업무용</v>
      </c>
      <c r="I22" s="34"/>
      <c r="J22" s="7"/>
    </row>
    <row r="23" spans="1:11" x14ac:dyDescent="0.3">
      <c r="A23" s="2" t="s">
        <v>174</v>
      </c>
      <c r="B23" s="36" t="str">
        <f t="shared" si="0"/>
        <v>서울센터-테이블</v>
      </c>
      <c r="C23" s="2" t="s">
        <v>160</v>
      </c>
      <c r="D23" s="37">
        <v>1200000</v>
      </c>
      <c r="E23" s="32">
        <v>2</v>
      </c>
      <c r="F23" s="37">
        <v>800000</v>
      </c>
      <c r="G23" s="37">
        <v>200000</v>
      </c>
      <c r="H23" s="2" t="str" cm="1">
        <f t="array" ref="H23">fn비고(A23)</f>
        <v>업무용</v>
      </c>
      <c r="I23" s="34"/>
      <c r="J23" s="7"/>
    </row>
    <row r="24" spans="1:11" x14ac:dyDescent="0.3">
      <c r="A24" s="2" t="s">
        <v>175</v>
      </c>
      <c r="B24" s="36" t="str">
        <f t="shared" si="0"/>
        <v>대전센터-복합기</v>
      </c>
      <c r="C24" s="2" t="s">
        <v>176</v>
      </c>
      <c r="D24" s="37">
        <v>800000</v>
      </c>
      <c r="E24" s="2">
        <v>3</v>
      </c>
      <c r="F24" s="37">
        <v>400000</v>
      </c>
      <c r="G24" s="37">
        <v>133000</v>
      </c>
      <c r="H24" s="2" t="str" cm="1">
        <f t="array" ref="H24">fn비고(A24)</f>
        <v>업무용</v>
      </c>
      <c r="I24" s="34"/>
      <c r="J24" s="7"/>
    </row>
    <row r="25" spans="1:11" x14ac:dyDescent="0.3">
      <c r="A25" s="33"/>
      <c r="B25" s="33"/>
      <c r="C25" s="33"/>
      <c r="D25" s="33"/>
      <c r="E25" s="33"/>
      <c r="F25" s="33"/>
      <c r="G25" s="33"/>
      <c r="H25" s="33"/>
      <c r="I25" s="34"/>
      <c r="J25" s="7"/>
    </row>
    <row r="26" spans="1:11" x14ac:dyDescent="0.3">
      <c r="A26" s="33" t="s">
        <v>205</v>
      </c>
      <c r="B26" s="33"/>
      <c r="C26" s="33"/>
      <c r="D26" s="33"/>
      <c r="E26" s="33"/>
      <c r="F26" s="33"/>
      <c r="G26" s="33" t="s">
        <v>177</v>
      </c>
      <c r="H26" s="33"/>
      <c r="I26" s="34"/>
      <c r="J26" s="7"/>
      <c r="K26" s="7"/>
    </row>
    <row r="27" spans="1:11" x14ac:dyDescent="0.3">
      <c r="A27" s="2" t="s">
        <v>178</v>
      </c>
      <c r="B27" s="2" t="s">
        <v>179</v>
      </c>
      <c r="C27" s="2" t="s">
        <v>180</v>
      </c>
      <c r="D27" s="2" t="s">
        <v>181</v>
      </c>
      <c r="E27" s="2" t="s">
        <v>182</v>
      </c>
      <c r="F27" s="33"/>
      <c r="G27" s="2" t="s">
        <v>183</v>
      </c>
      <c r="H27" s="35" t="s">
        <v>204</v>
      </c>
      <c r="I27" s="34"/>
      <c r="K27" s="7"/>
    </row>
    <row r="28" spans="1:11" x14ac:dyDescent="0.3">
      <c r="A28" s="2" t="s">
        <v>185</v>
      </c>
      <c r="B28" s="2" t="s">
        <v>186</v>
      </c>
      <c r="C28" s="2" t="s">
        <v>187</v>
      </c>
      <c r="D28" s="2" t="s">
        <v>188</v>
      </c>
      <c r="E28" s="2" t="s">
        <v>189</v>
      </c>
      <c r="F28" s="33"/>
      <c r="G28" s="2">
        <v>1</v>
      </c>
      <c r="H28" s="37" t="str">
        <f t="array" ref="H28">INDEX($C$3:$C$24,MATCH(MAX(($E$3:$E$24=G28)*$G$3:$G$24),($E$3:$E$24=G28)*$G$3:$G$24,0))&amp;"("&amp;INDEX($A$3:$A$24,MATCH(MAX(($E$3:$E$24=G28)*$G$3:$G$24),($E$3:$E$24=G28)*$G$3:$G$24,0))&amp;")"</f>
        <v>노트북(A251S)</v>
      </c>
      <c r="I28" s="34"/>
      <c r="K28" s="7"/>
    </row>
    <row r="29" spans="1:11" x14ac:dyDescent="0.3">
      <c r="A29" s="33"/>
      <c r="B29" s="33"/>
      <c r="C29" s="33"/>
      <c r="D29" s="33"/>
      <c r="E29" s="33"/>
      <c r="F29" s="33"/>
      <c r="G29" s="2">
        <v>2</v>
      </c>
      <c r="H29" s="37" t="str">
        <f t="array" ref="H29">INDEX($C$3:$C$24,MATCH(MAX(($E$3:$E$24=G29)*$G$3:$G$24),($E$3:$E$24=G29)*$G$3:$G$24,0))&amp;"("&amp;INDEX($A$3:$A$24,MATCH(MAX(($E$3:$E$24=G29)*$G$3:$G$24),($E$3:$E$24=G29)*$G$3:$G$24,0))&amp;")"</f>
        <v>냉장고(D625U)</v>
      </c>
      <c r="I29" s="34"/>
      <c r="K29" s="7"/>
    </row>
    <row r="30" spans="1:11" x14ac:dyDescent="0.3">
      <c r="A30" s="33" t="s">
        <v>190</v>
      </c>
      <c r="B30" s="33"/>
      <c r="C30" s="33"/>
      <c r="D30" s="33"/>
      <c r="E30" s="33"/>
      <c r="F30" s="33"/>
      <c r="G30" s="2">
        <v>3</v>
      </c>
      <c r="H30" s="37" t="str">
        <f t="array" ref="H30">INDEX($C$3:$C$24,MATCH(MAX(($E$3:$E$24=G30)*$G$3:$G$24),($E$3:$E$24=G30)*$G$3:$G$24,0))&amp;"("&amp;INDEX($A$3:$A$24,MATCH(MAX(($E$3:$E$24=G30)*$G$3:$G$24),($E$3:$E$24=G30)*$G$3:$G$24,0))&amp;")"</f>
        <v>대형TV(A909U)</v>
      </c>
      <c r="I30" s="34"/>
      <c r="K30" s="7"/>
    </row>
    <row r="31" spans="1:11" x14ac:dyDescent="0.3">
      <c r="A31" s="2" t="s">
        <v>191</v>
      </c>
      <c r="B31" s="2" t="s">
        <v>192</v>
      </c>
      <c r="C31" s="35" t="s">
        <v>142</v>
      </c>
      <c r="D31" s="35" t="s">
        <v>193</v>
      </c>
      <c r="E31" s="33"/>
      <c r="F31" s="33"/>
      <c r="G31" s="2">
        <v>4</v>
      </c>
      <c r="H31" s="37" t="str">
        <f t="array" ref="H31">INDEX($C$3:$C$24,MATCH(MAX(($E$3:$E$24=G31)*$G$3:$G$24),($E$3:$E$24=G31)*$G$3:$G$24,0))&amp;"("&amp;INDEX($A$3:$A$24,MATCH(MAX(($E$3:$E$24=G31)*$G$3:$G$24),($E$3:$E$24=G31)*$G$3:$G$24,0))&amp;")"</f>
        <v>POS단말기(A311S)</v>
      </c>
      <c r="I31" s="34"/>
      <c r="K31" s="7"/>
    </row>
    <row r="32" spans="1:11" x14ac:dyDescent="0.3">
      <c r="A32" s="2" t="s">
        <v>194</v>
      </c>
      <c r="B32" s="2" t="s">
        <v>195</v>
      </c>
      <c r="C32" s="37">
        <f t="array" ref="C32">SUM((RIGHT($A$3:$A$24,1)=$A32)*F$3:F$24)</f>
        <v>7783000</v>
      </c>
      <c r="D32" s="37">
        <f t="array" ref="D32">SUM((RIGHT($A$3:$A$24,1)=$A32)*G$3:G$24)</f>
        <v>2372000</v>
      </c>
      <c r="E32" s="33"/>
      <c r="F32" s="33"/>
      <c r="G32" s="2">
        <v>5</v>
      </c>
      <c r="H32" s="37" t="str">
        <f t="array" ref="H32">INDEX($C$3:$C$24,MATCH(MAX(($E$3:$E$24=G32)*$G$3:$G$24),($E$3:$E$24=G32)*$G$3:$G$24,0))&amp;"("&amp;INDEX($A$3:$A$24,MATCH(MAX(($E$3:$E$24=G32)*$G$3:$G$24),($E$3:$E$24=G32)*$G$3:$G$24,0))&amp;")"</f>
        <v>테이블(B606T)</v>
      </c>
      <c r="I32" s="34"/>
      <c r="J32" s="7"/>
      <c r="K32" s="7"/>
    </row>
    <row r="33" spans="1:11" x14ac:dyDescent="0.3">
      <c r="A33" s="2" t="s">
        <v>196</v>
      </c>
      <c r="B33" s="2" t="s">
        <v>197</v>
      </c>
      <c r="C33" s="37">
        <f t="array" ref="C33">SUM((RIGHT($A$3:$A$24,1)=$A33)*F$3:F$24)</f>
        <v>2142000</v>
      </c>
      <c r="D33" s="37">
        <f t="array" ref="D33">SUM((RIGHT($A$3:$A$24,1)=$A33)*G$3:G$24)</f>
        <v>964000</v>
      </c>
      <c r="E33" s="33"/>
      <c r="F33" s="33"/>
      <c r="G33" s="33"/>
      <c r="H33" s="33"/>
      <c r="I33" s="34"/>
      <c r="J33" s="7"/>
      <c r="K33" s="7"/>
    </row>
    <row r="34" spans="1:11" x14ac:dyDescent="0.3">
      <c r="A34" s="2" t="s">
        <v>198</v>
      </c>
      <c r="B34" s="2" t="s">
        <v>199</v>
      </c>
      <c r="C34" s="37">
        <f t="array" ref="C34">SUM((RIGHT($A$3:$A$24,1)=$A34)*F$3:F$24)</f>
        <v>9117000</v>
      </c>
      <c r="D34" s="37">
        <f t="array" ref="D34">SUM((RIGHT($A$3:$A$24,1)=$A34)*G$3:G$24)</f>
        <v>3015000</v>
      </c>
      <c r="E34" s="33"/>
      <c r="F34" s="33"/>
      <c r="G34" s="33" t="s">
        <v>200</v>
      </c>
      <c r="H34" s="33"/>
      <c r="I34" s="34"/>
      <c r="J34" s="7"/>
      <c r="K34" s="7"/>
    </row>
    <row r="35" spans="1:11" x14ac:dyDescent="0.3">
      <c r="A35" s="33"/>
      <c r="B35" s="33"/>
      <c r="C35" s="33"/>
      <c r="D35" s="33"/>
      <c r="E35" s="33"/>
      <c r="F35" s="33"/>
      <c r="G35" s="40" t="s">
        <v>201</v>
      </c>
      <c r="H35" s="41"/>
      <c r="I35" s="34"/>
      <c r="J35" s="7"/>
      <c r="K35" s="7"/>
    </row>
    <row r="36" spans="1:11" x14ac:dyDescent="0.3">
      <c r="A36" s="33"/>
      <c r="B36" s="33"/>
      <c r="C36" s="33"/>
      <c r="D36" s="33"/>
      <c r="E36" s="33"/>
      <c r="F36" s="33"/>
      <c r="G36" s="38">
        <f>ROUNDUP(DAVERAGE(A2:G24,G2,G38:H40),-3)</f>
        <v>240000</v>
      </c>
      <c r="H36" s="39"/>
      <c r="I36" s="34"/>
      <c r="J36" s="7"/>
      <c r="K36" s="7"/>
    </row>
    <row r="37" spans="1:11" x14ac:dyDescent="0.3">
      <c r="A37" s="33"/>
      <c r="B37" s="33"/>
      <c r="C37" s="33"/>
      <c r="D37" s="33"/>
      <c r="E37" s="33"/>
      <c r="F37" s="33"/>
      <c r="G37" s="33"/>
      <c r="H37" s="33"/>
      <c r="I37" s="34"/>
      <c r="J37" s="7"/>
    </row>
    <row r="38" spans="1:11" x14ac:dyDescent="0.3">
      <c r="A38" s="33"/>
      <c r="B38" s="33"/>
      <c r="C38" s="33"/>
      <c r="D38" s="33"/>
      <c r="E38" s="33"/>
      <c r="F38" s="33"/>
      <c r="G38" s="33" t="s">
        <v>184</v>
      </c>
      <c r="H38" s="33" t="s">
        <v>202</v>
      </c>
      <c r="I38" s="34"/>
      <c r="J38" s="7"/>
    </row>
    <row r="39" spans="1:11" x14ac:dyDescent="0.3">
      <c r="A39" s="33"/>
      <c r="B39" s="33"/>
      <c r="C39" s="33"/>
      <c r="D39" s="33"/>
      <c r="E39" s="33"/>
      <c r="F39" s="33"/>
      <c r="G39" s="33" t="s">
        <v>203</v>
      </c>
      <c r="H39" s="33" t="b">
        <f>E3&lt;=_xlfn.MODE.SNGL($E$3:$E$24)</f>
        <v>1</v>
      </c>
      <c r="I39" s="34"/>
      <c r="J39" s="7"/>
    </row>
    <row r="40" spans="1:11" x14ac:dyDescent="0.3">
      <c r="A40" s="33"/>
      <c r="B40" s="33"/>
      <c r="C40" s="33"/>
      <c r="D40" s="33"/>
      <c r="E40" s="33"/>
      <c r="F40" s="33"/>
      <c r="G40" s="33" t="s">
        <v>160</v>
      </c>
      <c r="H40" s="33" t="b">
        <f>E3&lt;=_xlfn.MODE.SNGL($E$3:$E$24)</f>
        <v>1</v>
      </c>
      <c r="I40" s="34"/>
      <c r="J40" s="7"/>
    </row>
    <row r="41" spans="1:11" x14ac:dyDescent="0.3">
      <c r="J41" s="7"/>
    </row>
    <row r="42" spans="1:11" x14ac:dyDescent="0.3">
      <c r="J42" s="7"/>
    </row>
  </sheetData>
  <mergeCells count="2">
    <mergeCell ref="G36:H36"/>
    <mergeCell ref="G35:H3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D14"/>
  <sheetViews>
    <sheetView workbookViewId="0">
      <selection activeCell="C9" sqref="C9"/>
    </sheetView>
  </sheetViews>
  <sheetFormatPr defaultRowHeight="16.5" x14ac:dyDescent="0.3"/>
  <cols>
    <col min="1" max="1" width="17.75" bestFit="1" customWidth="1"/>
    <col min="2" max="2" width="13.125" bestFit="1" customWidth="1"/>
    <col min="3" max="4" width="12.5" bestFit="1" customWidth="1"/>
  </cols>
  <sheetData>
    <row r="2" spans="1:4" x14ac:dyDescent="0.3">
      <c r="A2" s="14" t="s">
        <v>79</v>
      </c>
      <c r="B2" s="14" t="s">
        <v>78</v>
      </c>
      <c r="C2" s="7" t="s">
        <v>76</v>
      </c>
      <c r="D2" s="7" t="s">
        <v>77</v>
      </c>
    </row>
    <row r="3" spans="1:4" x14ac:dyDescent="0.3">
      <c r="A3" s="7" t="s">
        <v>80</v>
      </c>
      <c r="B3" s="7" t="s">
        <v>67</v>
      </c>
      <c r="C3" s="16">
        <v>130000</v>
      </c>
      <c r="D3" s="15">
        <v>8.1649910739453158E-2</v>
      </c>
    </row>
    <row r="4" spans="1:4" x14ac:dyDescent="0.3">
      <c r="B4" s="7" t="s">
        <v>72</v>
      </c>
      <c r="C4" s="16">
        <v>120000</v>
      </c>
      <c r="D4" s="15">
        <v>0.12825331203608006</v>
      </c>
    </row>
    <row r="5" spans="1:4" x14ac:dyDescent="0.3">
      <c r="B5" s="7" t="s">
        <v>73</v>
      </c>
      <c r="C5" s="16">
        <v>210000</v>
      </c>
      <c r="D5" s="15">
        <v>0.23668138682702244</v>
      </c>
    </row>
    <row r="6" spans="1:4" x14ac:dyDescent="0.3">
      <c r="A6" s="7" t="s">
        <v>83</v>
      </c>
      <c r="B6" s="7"/>
      <c r="C6" s="16">
        <v>460000</v>
      </c>
      <c r="D6" s="15">
        <v>0.44658460960255569</v>
      </c>
    </row>
    <row r="7" spans="1:4" x14ac:dyDescent="0.3">
      <c r="A7" s="7" t="s">
        <v>81</v>
      </c>
      <c r="B7" s="7" t="s">
        <v>68</v>
      </c>
      <c r="C7" s="16">
        <v>187000</v>
      </c>
      <c r="D7" s="15">
        <v>5.7126749976510384E-2</v>
      </c>
    </row>
    <row r="8" spans="1:4" x14ac:dyDescent="0.3">
      <c r="B8" s="7" t="s">
        <v>71</v>
      </c>
      <c r="C8" s="16">
        <v>150000</v>
      </c>
      <c r="D8" s="15">
        <v>0.14732688151836887</v>
      </c>
    </row>
    <row r="9" spans="1:4" x14ac:dyDescent="0.3">
      <c r="B9" s="7" t="s">
        <v>74</v>
      </c>
      <c r="C9" s="16">
        <v>98200</v>
      </c>
      <c r="D9" s="15">
        <v>4.4442356478436529E-2</v>
      </c>
    </row>
    <row r="10" spans="1:4" x14ac:dyDescent="0.3">
      <c r="A10" s="7" t="s">
        <v>84</v>
      </c>
      <c r="B10" s="7"/>
      <c r="C10" s="16">
        <v>435200</v>
      </c>
      <c r="D10" s="15">
        <v>0.2488959879733158</v>
      </c>
    </row>
    <row r="11" spans="1:4" x14ac:dyDescent="0.3">
      <c r="A11" s="7" t="s">
        <v>82</v>
      </c>
      <c r="B11" s="7" t="s">
        <v>69</v>
      </c>
      <c r="C11" s="16">
        <v>165000</v>
      </c>
      <c r="D11" s="15">
        <v>0.20886967960161609</v>
      </c>
    </row>
    <row r="12" spans="1:4" x14ac:dyDescent="0.3">
      <c r="B12" s="7" t="s">
        <v>70</v>
      </c>
      <c r="C12" s="16">
        <v>230000</v>
      </c>
      <c r="D12" s="15">
        <v>9.5649722822512454E-2</v>
      </c>
    </row>
    <row r="13" spans="1:4" x14ac:dyDescent="0.3">
      <c r="A13" s="7" t="s">
        <v>85</v>
      </c>
      <c r="B13" s="7"/>
      <c r="C13" s="16">
        <v>395000</v>
      </c>
      <c r="D13" s="15">
        <v>0.30451940242412856</v>
      </c>
    </row>
    <row r="14" spans="1:4" x14ac:dyDescent="0.3">
      <c r="A14" s="7" t="s">
        <v>75</v>
      </c>
      <c r="C14" s="16">
        <v>1290200</v>
      </c>
      <c r="D14" s="15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23"/>
  <sheetViews>
    <sheetView workbookViewId="0"/>
  </sheetViews>
  <sheetFormatPr defaultRowHeight="16.5" outlineLevelRow="3" x14ac:dyDescent="0.3"/>
  <cols>
    <col min="2" max="2" width="12.375" bestFit="1" customWidth="1"/>
    <col min="3" max="3" width="13.25" bestFit="1" customWidth="1"/>
    <col min="4" max="4" width="12.125" bestFit="1" customWidth="1"/>
    <col min="5" max="5" width="9.375" bestFit="1" customWidth="1"/>
    <col min="6" max="7" width="9.25" bestFit="1" customWidth="1"/>
  </cols>
  <sheetData>
    <row r="1" spans="1:7" s="7" customFormat="1" x14ac:dyDescent="0.3">
      <c r="A1" s="7" t="s">
        <v>0</v>
      </c>
    </row>
    <row r="2" spans="1:7" x14ac:dyDescent="0.3">
      <c r="A2" s="8" t="s">
        <v>86</v>
      </c>
      <c r="B2" s="8" t="s">
        <v>78</v>
      </c>
      <c r="C2" s="8" t="s">
        <v>87</v>
      </c>
      <c r="D2" s="8" t="s">
        <v>88</v>
      </c>
      <c r="E2" s="11" t="s">
        <v>109</v>
      </c>
      <c r="F2" s="11" t="s">
        <v>110</v>
      </c>
      <c r="G2" s="8" t="s">
        <v>89</v>
      </c>
    </row>
    <row r="3" spans="1:7" outlineLevel="3" x14ac:dyDescent="0.3">
      <c r="A3" s="8" t="s">
        <v>98</v>
      </c>
      <c r="B3" s="8" t="s">
        <v>99</v>
      </c>
      <c r="C3" s="8" t="s">
        <v>100</v>
      </c>
      <c r="D3" s="19">
        <v>45843</v>
      </c>
      <c r="E3" s="18">
        <v>55000</v>
      </c>
      <c r="F3" s="18">
        <v>56</v>
      </c>
      <c r="G3" s="18">
        <v>29</v>
      </c>
    </row>
    <row r="4" spans="1:7" outlineLevel="3" x14ac:dyDescent="0.3">
      <c r="A4" s="8" t="s">
        <v>103</v>
      </c>
      <c r="B4" s="8" t="s">
        <v>104</v>
      </c>
      <c r="C4" s="8" t="s">
        <v>100</v>
      </c>
      <c r="D4" s="19">
        <v>45935</v>
      </c>
      <c r="E4" s="18">
        <v>35000</v>
      </c>
      <c r="F4" s="18">
        <v>52</v>
      </c>
      <c r="G4" s="18">
        <v>31</v>
      </c>
    </row>
    <row r="5" spans="1:7" outlineLevel="3" x14ac:dyDescent="0.3">
      <c r="A5" s="8" t="s">
        <v>105</v>
      </c>
      <c r="B5" s="8" t="s">
        <v>106</v>
      </c>
      <c r="C5" s="8" t="s">
        <v>100</v>
      </c>
      <c r="D5" s="19">
        <v>45966</v>
      </c>
      <c r="E5" s="18">
        <v>33000</v>
      </c>
      <c r="F5" s="18">
        <v>48</v>
      </c>
      <c r="G5" s="18">
        <v>27</v>
      </c>
    </row>
    <row r="6" spans="1:7" s="7" customFormat="1" outlineLevel="2" x14ac:dyDescent="0.3">
      <c r="A6" s="8"/>
      <c r="B6" s="8"/>
      <c r="C6" s="27" t="s">
        <v>206</v>
      </c>
      <c r="D6" s="19"/>
      <c r="E6" s="18"/>
      <c r="F6" s="18">
        <f>SUBTOTAL(4,F3:F5)</f>
        <v>56</v>
      </c>
      <c r="G6" s="18"/>
    </row>
    <row r="7" spans="1:7" s="7" customFormat="1" outlineLevel="1" x14ac:dyDescent="0.3">
      <c r="A7" s="8"/>
      <c r="B7" s="8"/>
      <c r="C7" s="27" t="s">
        <v>127</v>
      </c>
      <c r="D7" s="19"/>
      <c r="E7" s="18">
        <f>SUBTOTAL(1,E3:E5)</f>
        <v>41000</v>
      </c>
      <c r="F7" s="18"/>
      <c r="G7" s="18"/>
    </row>
    <row r="8" spans="1:7" outlineLevel="3" x14ac:dyDescent="0.3">
      <c r="A8" s="2" t="s">
        <v>121</v>
      </c>
      <c r="B8" s="2" t="s">
        <v>113</v>
      </c>
      <c r="C8" s="2" t="s">
        <v>111</v>
      </c>
      <c r="D8" s="19">
        <v>45693</v>
      </c>
      <c r="E8" s="3">
        <v>32000</v>
      </c>
      <c r="F8" s="3">
        <v>52</v>
      </c>
      <c r="G8" s="3">
        <v>25</v>
      </c>
    </row>
    <row r="9" spans="1:7" outlineLevel="3" x14ac:dyDescent="0.3">
      <c r="A9" s="8" t="s">
        <v>93</v>
      </c>
      <c r="B9" s="8" t="s">
        <v>94</v>
      </c>
      <c r="C9" s="8" t="s">
        <v>95</v>
      </c>
      <c r="D9" s="19">
        <v>45752</v>
      </c>
      <c r="E9" s="18">
        <v>33500</v>
      </c>
      <c r="F9" s="18">
        <v>64</v>
      </c>
      <c r="G9" s="18">
        <v>16</v>
      </c>
    </row>
    <row r="10" spans="1:7" outlineLevel="3" x14ac:dyDescent="0.3">
      <c r="A10" s="8" t="s">
        <v>101</v>
      </c>
      <c r="B10" s="8" t="s">
        <v>102</v>
      </c>
      <c r="C10" s="8" t="s">
        <v>95</v>
      </c>
      <c r="D10" s="19">
        <v>45874</v>
      </c>
      <c r="E10" s="18">
        <v>72000</v>
      </c>
      <c r="F10" s="18">
        <v>46</v>
      </c>
      <c r="G10" s="18">
        <v>35</v>
      </c>
    </row>
    <row r="11" spans="1:7" outlineLevel="3" x14ac:dyDescent="0.3">
      <c r="A11" s="2" t="s">
        <v>124</v>
      </c>
      <c r="B11" s="2" t="s">
        <v>114</v>
      </c>
      <c r="C11" s="2" t="s">
        <v>111</v>
      </c>
      <c r="D11" s="19">
        <v>46016</v>
      </c>
      <c r="E11" s="3">
        <v>24000</v>
      </c>
      <c r="F11" s="3">
        <v>39</v>
      </c>
      <c r="G11" s="3">
        <v>14</v>
      </c>
    </row>
    <row r="12" spans="1:7" s="7" customFormat="1" outlineLevel="2" x14ac:dyDescent="0.3">
      <c r="A12" s="2"/>
      <c r="B12" s="2"/>
      <c r="C12" s="28" t="s">
        <v>207</v>
      </c>
      <c r="D12" s="19"/>
      <c r="E12" s="3"/>
      <c r="F12" s="3">
        <f>SUBTOTAL(4,F8:F11)</f>
        <v>64</v>
      </c>
      <c r="G12" s="3"/>
    </row>
    <row r="13" spans="1:7" s="7" customFormat="1" outlineLevel="1" x14ac:dyDescent="0.3">
      <c r="A13" s="2"/>
      <c r="B13" s="2"/>
      <c r="C13" s="28" t="s">
        <v>128</v>
      </c>
      <c r="D13" s="19"/>
      <c r="E13" s="3">
        <f>SUBTOTAL(1,E8:E11)</f>
        <v>40375</v>
      </c>
      <c r="F13" s="3"/>
      <c r="G13" s="3"/>
    </row>
    <row r="14" spans="1:7" outlineLevel="3" x14ac:dyDescent="0.3">
      <c r="A14" s="2" t="s">
        <v>120</v>
      </c>
      <c r="B14" s="2" t="s">
        <v>119</v>
      </c>
      <c r="C14" s="2" t="s">
        <v>118</v>
      </c>
      <c r="D14" s="19">
        <v>45662</v>
      </c>
      <c r="E14" s="3">
        <v>19000</v>
      </c>
      <c r="F14" s="3">
        <v>85</v>
      </c>
      <c r="G14" s="3">
        <v>31</v>
      </c>
    </row>
    <row r="15" spans="1:7" outlineLevel="3" x14ac:dyDescent="0.3">
      <c r="A15" s="8" t="s">
        <v>90</v>
      </c>
      <c r="B15" s="8" t="s">
        <v>91</v>
      </c>
      <c r="C15" s="8" t="s">
        <v>92</v>
      </c>
      <c r="D15" s="17">
        <v>45721</v>
      </c>
      <c r="E15" s="18">
        <v>25000</v>
      </c>
      <c r="F15" s="18">
        <v>74</v>
      </c>
      <c r="G15" s="18">
        <v>37</v>
      </c>
    </row>
    <row r="16" spans="1:7" outlineLevel="3" x14ac:dyDescent="0.3">
      <c r="A16" s="2" t="s">
        <v>122</v>
      </c>
      <c r="B16" s="2" t="s">
        <v>115</v>
      </c>
      <c r="C16" s="2" t="s">
        <v>112</v>
      </c>
      <c r="D16" s="19">
        <v>45782</v>
      </c>
      <c r="E16" s="3">
        <v>17000</v>
      </c>
      <c r="F16" s="3">
        <v>92</v>
      </c>
      <c r="G16" s="3">
        <v>21</v>
      </c>
    </row>
    <row r="17" spans="1:7" outlineLevel="3" x14ac:dyDescent="0.3">
      <c r="A17" s="8" t="s">
        <v>96</v>
      </c>
      <c r="B17" s="8" t="s">
        <v>97</v>
      </c>
      <c r="C17" s="8" t="s">
        <v>92</v>
      </c>
      <c r="D17" s="17">
        <v>45813</v>
      </c>
      <c r="E17" s="18">
        <v>25000</v>
      </c>
      <c r="F17" s="18">
        <v>66</v>
      </c>
      <c r="G17" s="18">
        <v>24</v>
      </c>
    </row>
    <row r="18" spans="1:7" outlineLevel="3" x14ac:dyDescent="0.3">
      <c r="A18" s="2" t="s">
        <v>123</v>
      </c>
      <c r="B18" s="2" t="s">
        <v>117</v>
      </c>
      <c r="C18" s="2" t="s">
        <v>116</v>
      </c>
      <c r="D18" s="17">
        <v>45905</v>
      </c>
      <c r="E18" s="3">
        <v>18000</v>
      </c>
      <c r="F18" s="3">
        <v>84</v>
      </c>
      <c r="G18" s="3">
        <v>18</v>
      </c>
    </row>
    <row r="19" spans="1:7" outlineLevel="3" x14ac:dyDescent="0.3">
      <c r="A19" s="8" t="s">
        <v>107</v>
      </c>
      <c r="B19" s="8" t="s">
        <v>108</v>
      </c>
      <c r="C19" s="8" t="s">
        <v>92</v>
      </c>
      <c r="D19" s="17">
        <v>45996</v>
      </c>
      <c r="E19" s="18">
        <v>32000</v>
      </c>
      <c r="F19" s="18">
        <v>32</v>
      </c>
      <c r="G19" s="18">
        <v>20</v>
      </c>
    </row>
    <row r="20" spans="1:7" s="7" customFormat="1" outlineLevel="2" x14ac:dyDescent="0.3">
      <c r="A20" s="6"/>
      <c r="B20" s="6"/>
      <c r="C20" s="31" t="s">
        <v>208</v>
      </c>
      <c r="D20" s="29"/>
      <c r="E20" s="30"/>
      <c r="F20" s="30">
        <f>SUBTOTAL(4,F14:F19)</f>
        <v>92</v>
      </c>
      <c r="G20" s="30"/>
    </row>
    <row r="21" spans="1:7" s="7" customFormat="1" outlineLevel="1" x14ac:dyDescent="0.3">
      <c r="A21" s="6"/>
      <c r="B21" s="6"/>
      <c r="C21" s="31" t="s">
        <v>129</v>
      </c>
      <c r="D21" s="29"/>
      <c r="E21" s="30">
        <f>SUBTOTAL(1,E14:E19)</f>
        <v>22666.666666666668</v>
      </c>
      <c r="F21" s="30"/>
      <c r="G21" s="30"/>
    </row>
    <row r="22" spans="1:7" s="7" customFormat="1" x14ac:dyDescent="0.3">
      <c r="A22" s="6"/>
      <c r="B22" s="6"/>
      <c r="C22" s="31" t="s">
        <v>131</v>
      </c>
      <c r="D22" s="29"/>
      <c r="E22" s="30"/>
      <c r="F22" s="30">
        <f>SUBTOTAL(4,F3:F19)</f>
        <v>92</v>
      </c>
      <c r="G22" s="30"/>
    </row>
    <row r="23" spans="1:7" s="7" customFormat="1" x14ac:dyDescent="0.3">
      <c r="A23" s="6"/>
      <c r="B23" s="6"/>
      <c r="C23" s="31" t="s">
        <v>130</v>
      </c>
      <c r="D23" s="29"/>
      <c r="E23" s="30">
        <f>SUBTOTAL(1,E3:E19)</f>
        <v>32346.153846153848</v>
      </c>
      <c r="F23" s="30"/>
      <c r="G23" s="30"/>
    </row>
  </sheetData>
  <sortState xmlns:xlrd2="http://schemas.microsoft.com/office/spreadsheetml/2017/richdata2" ref="A3:G15">
    <sortCondition ref="C3"/>
  </sortState>
  <phoneticPr fontId="1" type="noConversion"/>
  <dataValidations count="1">
    <dataValidation type="list" allowBlank="1" showInputMessage="1" showErrorMessage="1" errorTitle="입력오류" error="구분 목록을 확인하세요." promptTitle="구분 입력" prompt="허브차, 보이차, 녹차만 입력하세요." sqref="C8:C11 C3:C5 C14:C19" xr:uid="{00000000-0002-0000-0400-000000000000}">
      <formula1>"허브차,보이차,녹차"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G8"/>
  <sheetViews>
    <sheetView workbookViewId="0"/>
  </sheetViews>
  <sheetFormatPr defaultRowHeight="16.5" x14ac:dyDescent="0.3"/>
  <cols>
    <col min="2" max="2" width="12.375" bestFit="1" customWidth="1"/>
    <col min="4" max="4" width="10.75" bestFit="1" customWidth="1"/>
  </cols>
  <sheetData>
    <row r="2" spans="1:7" x14ac:dyDescent="0.3">
      <c r="A2" s="8" t="s">
        <v>86</v>
      </c>
      <c r="B2" s="8" t="s">
        <v>78</v>
      </c>
      <c r="C2" s="8" t="s">
        <v>87</v>
      </c>
      <c r="D2" s="8" t="s">
        <v>88</v>
      </c>
      <c r="E2" s="11" t="s">
        <v>109</v>
      </c>
      <c r="F2" s="11" t="s">
        <v>110</v>
      </c>
      <c r="G2" s="8" t="s">
        <v>89</v>
      </c>
    </row>
    <row r="3" spans="1:7" x14ac:dyDescent="0.3">
      <c r="A3" s="2" t="s">
        <v>120</v>
      </c>
      <c r="B3" s="2" t="s">
        <v>119</v>
      </c>
      <c r="C3" s="2" t="s">
        <v>112</v>
      </c>
      <c r="D3" s="19">
        <v>45662</v>
      </c>
      <c r="E3" s="3">
        <v>19000</v>
      </c>
      <c r="F3" s="3">
        <v>85</v>
      </c>
      <c r="G3" s="3">
        <v>31</v>
      </c>
    </row>
    <row r="4" spans="1:7" x14ac:dyDescent="0.3">
      <c r="A4" s="8" t="s">
        <v>90</v>
      </c>
      <c r="B4" s="8" t="s">
        <v>91</v>
      </c>
      <c r="C4" s="8" t="s">
        <v>92</v>
      </c>
      <c r="D4" s="17">
        <v>45721</v>
      </c>
      <c r="E4" s="18">
        <v>25000</v>
      </c>
      <c r="F4" s="18">
        <v>74</v>
      </c>
      <c r="G4" s="18">
        <v>37</v>
      </c>
    </row>
    <row r="5" spans="1:7" x14ac:dyDescent="0.3">
      <c r="A5" s="2" t="s">
        <v>122</v>
      </c>
      <c r="B5" s="2" t="s">
        <v>115</v>
      </c>
      <c r="C5" s="2" t="s">
        <v>112</v>
      </c>
      <c r="D5" s="19">
        <v>45782</v>
      </c>
      <c r="E5" s="3">
        <v>17000</v>
      </c>
      <c r="F5" s="3">
        <v>92</v>
      </c>
      <c r="G5" s="3">
        <v>21</v>
      </c>
    </row>
    <row r="6" spans="1:7" x14ac:dyDescent="0.3">
      <c r="A6" s="8" t="s">
        <v>96</v>
      </c>
      <c r="B6" s="8" t="s">
        <v>97</v>
      </c>
      <c r="C6" s="8" t="s">
        <v>92</v>
      </c>
      <c r="D6" s="17">
        <v>45813</v>
      </c>
      <c r="E6" s="18">
        <v>25000</v>
      </c>
      <c r="F6" s="18">
        <v>66</v>
      </c>
      <c r="G6" s="18">
        <v>24</v>
      </c>
    </row>
    <row r="7" spans="1:7" x14ac:dyDescent="0.3">
      <c r="A7" s="2" t="s">
        <v>123</v>
      </c>
      <c r="B7" s="2" t="s">
        <v>117</v>
      </c>
      <c r="C7" s="2" t="s">
        <v>112</v>
      </c>
      <c r="D7" s="17">
        <v>45905</v>
      </c>
      <c r="E7" s="3">
        <v>18000</v>
      </c>
      <c r="F7" s="3">
        <v>84</v>
      </c>
      <c r="G7" s="3">
        <v>18</v>
      </c>
    </row>
    <row r="8" spans="1:7" x14ac:dyDescent="0.3">
      <c r="A8" s="8" t="s">
        <v>107</v>
      </c>
      <c r="B8" s="8" t="s">
        <v>108</v>
      </c>
      <c r="C8" s="8" t="s">
        <v>92</v>
      </c>
      <c r="D8" s="17">
        <v>45996</v>
      </c>
      <c r="E8" s="18">
        <v>32000</v>
      </c>
      <c r="F8" s="18">
        <v>32</v>
      </c>
      <c r="G8" s="18">
        <v>20</v>
      </c>
    </row>
  </sheetData>
  <sortState xmlns:xlrd2="http://schemas.microsoft.com/office/spreadsheetml/2017/richdata2" ref="A3:G15">
    <sortCondition ref="C2"/>
  </sortState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G15"/>
  <sheetViews>
    <sheetView workbookViewId="0"/>
  </sheetViews>
  <sheetFormatPr defaultRowHeight="16.5" x14ac:dyDescent="0.3"/>
  <cols>
    <col min="2" max="2" width="12.375" bestFit="1" customWidth="1"/>
    <col min="4" max="4" width="10.75" bestFit="1" customWidth="1"/>
  </cols>
  <sheetData>
    <row r="2" spans="1:7" x14ac:dyDescent="0.3">
      <c r="A2" s="8" t="s">
        <v>86</v>
      </c>
      <c r="B2" s="8" t="s">
        <v>78</v>
      </c>
      <c r="C2" s="8" t="s">
        <v>87</v>
      </c>
      <c r="D2" s="8" t="s">
        <v>88</v>
      </c>
      <c r="E2" s="11" t="s">
        <v>109</v>
      </c>
      <c r="F2" s="11" t="s">
        <v>110</v>
      </c>
      <c r="G2" s="8" t="s">
        <v>89</v>
      </c>
    </row>
    <row r="3" spans="1:7" x14ac:dyDescent="0.3">
      <c r="A3" s="2" t="s">
        <v>120</v>
      </c>
      <c r="B3" s="2" t="s">
        <v>119</v>
      </c>
      <c r="C3" s="2" t="s">
        <v>118</v>
      </c>
      <c r="D3" s="19">
        <v>45662</v>
      </c>
      <c r="E3" s="3">
        <v>19000</v>
      </c>
      <c r="F3" s="3">
        <v>85</v>
      </c>
      <c r="G3" s="3">
        <v>31</v>
      </c>
    </row>
    <row r="4" spans="1:7" x14ac:dyDescent="0.3">
      <c r="A4" s="2" t="s">
        <v>121</v>
      </c>
      <c r="B4" s="2" t="s">
        <v>113</v>
      </c>
      <c r="C4" s="2" t="s">
        <v>111</v>
      </c>
      <c r="D4" s="19">
        <v>45693</v>
      </c>
      <c r="E4" s="3">
        <v>32000</v>
      </c>
      <c r="F4" s="3">
        <v>52</v>
      </c>
      <c r="G4" s="3">
        <v>25</v>
      </c>
    </row>
    <row r="5" spans="1:7" x14ac:dyDescent="0.3">
      <c r="A5" s="8" t="s">
        <v>90</v>
      </c>
      <c r="B5" s="8" t="s">
        <v>91</v>
      </c>
      <c r="C5" s="8" t="s">
        <v>92</v>
      </c>
      <c r="D5" s="17">
        <v>45721</v>
      </c>
      <c r="E5" s="18">
        <v>25000</v>
      </c>
      <c r="F5" s="18">
        <v>74</v>
      </c>
      <c r="G5" s="18">
        <v>37</v>
      </c>
    </row>
    <row r="6" spans="1:7" x14ac:dyDescent="0.3">
      <c r="A6" s="8" t="s">
        <v>93</v>
      </c>
      <c r="B6" s="8" t="s">
        <v>94</v>
      </c>
      <c r="C6" s="8" t="s">
        <v>95</v>
      </c>
      <c r="D6" s="19">
        <v>45752</v>
      </c>
      <c r="E6" s="18">
        <v>33500</v>
      </c>
      <c r="F6" s="18">
        <v>64</v>
      </c>
      <c r="G6" s="18">
        <v>16</v>
      </c>
    </row>
    <row r="7" spans="1:7" x14ac:dyDescent="0.3">
      <c r="A7" s="2" t="s">
        <v>122</v>
      </c>
      <c r="B7" s="2" t="s">
        <v>115</v>
      </c>
      <c r="C7" s="2" t="s">
        <v>112</v>
      </c>
      <c r="D7" s="19">
        <v>45782</v>
      </c>
      <c r="E7" s="3">
        <v>17000</v>
      </c>
      <c r="F7" s="3">
        <v>92</v>
      </c>
      <c r="G7" s="3">
        <v>21</v>
      </c>
    </row>
    <row r="8" spans="1:7" x14ac:dyDescent="0.3">
      <c r="A8" s="8" t="s">
        <v>96</v>
      </c>
      <c r="B8" s="8" t="s">
        <v>97</v>
      </c>
      <c r="C8" s="8" t="s">
        <v>92</v>
      </c>
      <c r="D8" s="17">
        <v>45813</v>
      </c>
      <c r="E8" s="18">
        <v>25000</v>
      </c>
      <c r="F8" s="18">
        <v>66</v>
      </c>
      <c r="G8" s="18">
        <v>24</v>
      </c>
    </row>
    <row r="9" spans="1:7" x14ac:dyDescent="0.3">
      <c r="A9" s="8" t="s">
        <v>98</v>
      </c>
      <c r="B9" s="8" t="s">
        <v>99</v>
      </c>
      <c r="C9" s="8" t="s">
        <v>100</v>
      </c>
      <c r="D9" s="19">
        <v>45843</v>
      </c>
      <c r="E9" s="18">
        <v>55000</v>
      </c>
      <c r="F9" s="18">
        <v>56</v>
      </c>
      <c r="G9" s="18">
        <v>29</v>
      </c>
    </row>
    <row r="10" spans="1:7" x14ac:dyDescent="0.3">
      <c r="A10" s="8" t="s">
        <v>101</v>
      </c>
      <c r="B10" s="8" t="s">
        <v>102</v>
      </c>
      <c r="C10" s="8" t="s">
        <v>95</v>
      </c>
      <c r="D10" s="19">
        <v>45874</v>
      </c>
      <c r="E10" s="18">
        <v>72000</v>
      </c>
      <c r="F10" s="18">
        <v>46</v>
      </c>
      <c r="G10" s="18">
        <v>35</v>
      </c>
    </row>
    <row r="11" spans="1:7" x14ac:dyDescent="0.3">
      <c r="A11" s="2" t="s">
        <v>123</v>
      </c>
      <c r="B11" s="2" t="s">
        <v>117</v>
      </c>
      <c r="C11" s="2" t="s">
        <v>116</v>
      </c>
      <c r="D11" s="17">
        <v>45905</v>
      </c>
      <c r="E11" s="3">
        <v>18000</v>
      </c>
      <c r="F11" s="3">
        <v>84</v>
      </c>
      <c r="G11" s="3">
        <v>18</v>
      </c>
    </row>
    <row r="12" spans="1:7" x14ac:dyDescent="0.3">
      <c r="A12" s="8" t="s">
        <v>103</v>
      </c>
      <c r="B12" s="8" t="s">
        <v>104</v>
      </c>
      <c r="C12" s="8" t="s">
        <v>100</v>
      </c>
      <c r="D12" s="19">
        <v>45935</v>
      </c>
      <c r="E12" s="18">
        <v>35000</v>
      </c>
      <c r="F12" s="18">
        <v>52</v>
      </c>
      <c r="G12" s="18">
        <v>31</v>
      </c>
    </row>
    <row r="13" spans="1:7" x14ac:dyDescent="0.3">
      <c r="A13" s="8" t="s">
        <v>105</v>
      </c>
      <c r="B13" s="8" t="s">
        <v>106</v>
      </c>
      <c r="C13" s="8" t="s">
        <v>100</v>
      </c>
      <c r="D13" s="19">
        <v>45966</v>
      </c>
      <c r="E13" s="18">
        <v>33000</v>
      </c>
      <c r="F13" s="18">
        <v>48</v>
      </c>
      <c r="G13" s="18">
        <v>27</v>
      </c>
    </row>
    <row r="14" spans="1:7" x14ac:dyDescent="0.3">
      <c r="A14" s="8" t="s">
        <v>107</v>
      </c>
      <c r="B14" s="8" t="s">
        <v>108</v>
      </c>
      <c r="C14" s="8" t="s">
        <v>92</v>
      </c>
      <c r="D14" s="17">
        <v>45996</v>
      </c>
      <c r="E14" s="18">
        <v>32000</v>
      </c>
      <c r="F14" s="18">
        <v>32</v>
      </c>
      <c r="G14" s="18">
        <v>20</v>
      </c>
    </row>
    <row r="15" spans="1:7" x14ac:dyDescent="0.3">
      <c r="A15" s="2" t="s">
        <v>124</v>
      </c>
      <c r="B15" s="2" t="s">
        <v>114</v>
      </c>
      <c r="C15" s="2" t="s">
        <v>111</v>
      </c>
      <c r="D15" s="19">
        <v>46016</v>
      </c>
      <c r="E15" s="3">
        <v>24000</v>
      </c>
      <c r="F15" s="3">
        <v>39</v>
      </c>
      <c r="G15" s="3">
        <v>14</v>
      </c>
    </row>
  </sheetData>
  <phoneticPr fontId="1" type="noConversion"/>
  <conditionalFormatting sqref="E3:E15">
    <cfRule type="dataBar" priority="2">
      <dataBar>
        <cfvo type="percentile" val="10"/>
        <cfvo type="percentile" val="90"/>
        <color rgb="FF00B050"/>
      </dataBar>
      <extLst>
        <ext xmlns:x14="http://schemas.microsoft.com/office/spreadsheetml/2009/9/main" uri="{B025F937-C7B1-47D3-B67F-A62EFF666E3E}">
          <x14:id>{C01EA9CA-309E-4610-8DB5-85FF2FAE4073}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1EA9CA-309E-4610-8DB5-85FF2FAE4073}">
            <x14:dataBar minLength="0" maxLength="100">
              <x14:cfvo type="percentile">
                <xm:f>10</xm:f>
              </x14:cfvo>
              <x14:cfvo type="percentile">
                <xm:f>90</xm:f>
              </x14:cfvo>
              <x14:negativeFillColor rgb="FFFF0000"/>
              <x14:axisColor rgb="FF000000"/>
            </x14:dataBar>
          </x14:cfRule>
          <xm:sqref>E3:E15</xm:sqref>
        </x14:conditionalFormatting>
        <x14:conditionalFormatting xmlns:xm="http://schemas.microsoft.com/office/excel/2006/main">
          <x14:cfRule type="iconSet" priority="1" id="{2A8E0255-B97F-4837-BDB2-7AA26DB1BF23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m:sqref>G3:G15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M17"/>
  <sheetViews>
    <sheetView workbookViewId="0"/>
  </sheetViews>
  <sheetFormatPr defaultRowHeight="16.5" x14ac:dyDescent="0.3"/>
  <cols>
    <col min="1" max="1" width="12.25" customWidth="1"/>
    <col min="2" max="2" width="10.375" customWidth="1"/>
    <col min="3" max="3" width="12.125" customWidth="1"/>
    <col min="4" max="4" width="11" customWidth="1"/>
    <col min="5" max="5" width="11.875" customWidth="1"/>
    <col min="6" max="6" width="12.75" customWidth="1"/>
    <col min="7" max="7" width="13.625" customWidth="1"/>
    <col min="8" max="8" width="1.625" customWidth="1"/>
    <col min="11" max="11" width="1.625" customWidth="1"/>
    <col min="12" max="13" width="12.375" customWidth="1"/>
  </cols>
  <sheetData>
    <row r="2" spans="1:13" x14ac:dyDescent="0.3">
      <c r="A2" t="s">
        <v>0</v>
      </c>
      <c r="F2" t="s">
        <v>13</v>
      </c>
      <c r="G2" s="5">
        <f ca="1">TODAY()</f>
        <v>45434</v>
      </c>
    </row>
    <row r="3" spans="1:13" x14ac:dyDescent="0.3">
      <c r="A3" s="1" t="s">
        <v>12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L3" s="2" t="s">
        <v>7</v>
      </c>
      <c r="M3" s="2" t="s">
        <v>8</v>
      </c>
    </row>
    <row r="4" spans="1:13" x14ac:dyDescent="0.3">
      <c r="A4" s="5">
        <v>45148</v>
      </c>
      <c r="B4" t="s">
        <v>132</v>
      </c>
      <c r="C4" t="s">
        <v>133</v>
      </c>
      <c r="D4">
        <v>5500</v>
      </c>
      <c r="E4">
        <v>1</v>
      </c>
      <c r="F4" t="s">
        <v>134</v>
      </c>
      <c r="G4" t="s">
        <v>135</v>
      </c>
      <c r="L4" s="2" t="s">
        <v>11</v>
      </c>
      <c r="M4" s="3">
        <v>78000</v>
      </c>
    </row>
    <row r="5" spans="1:13" x14ac:dyDescent="0.3">
      <c r="L5" s="2" t="s">
        <v>9</v>
      </c>
      <c r="M5" s="3">
        <v>5500</v>
      </c>
    </row>
    <row r="6" spans="1:13" x14ac:dyDescent="0.3">
      <c r="L6" s="2" t="s">
        <v>125</v>
      </c>
      <c r="M6" s="3">
        <v>46900</v>
      </c>
    </row>
    <row r="7" spans="1:13" x14ac:dyDescent="0.3">
      <c r="L7" s="2" t="s">
        <v>10</v>
      </c>
      <c r="M7" s="3">
        <v>9300</v>
      </c>
    </row>
    <row r="17" spans="11:11" x14ac:dyDescent="0.3">
      <c r="K17" s="4"/>
    </row>
  </sheetData>
  <phoneticPr fontId="1" type="noConversion"/>
  <pageMargins left="0.7" right="0.7" top="0.75" bottom="0.75" header="0.3" footer="0.3"/>
  <pageSetup paperSize="9" orientation="portrait" r:id="rId1"/>
  <ignoredErrors>
    <ignoredError sqref="F4" numberStoredAsText="1"/>
  </ignoredErrors>
  <drawing r:id="rId2"/>
  <legacyDrawing r:id="rId3"/>
  <controls>
    <mc:AlternateContent xmlns:mc="http://schemas.openxmlformats.org/markup-compatibility/2006">
      <mc:Choice Requires="x14">
        <control shapeId="1025" r:id="rId4" name="cmd물품구매">
          <controlPr defaultSize="0" autoLine="0" r:id="rId5">
            <anchor moveWithCells="1">
              <from>
                <xdr:col>8</xdr:col>
                <xdr:colOff>9525</xdr:colOff>
                <xdr:row>2</xdr:row>
                <xdr:rowOff>9525</xdr:rowOff>
              </from>
              <to>
                <xdr:col>10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5" r:id="rId4" name="cmd물품구매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2021-04-18T04:44:57Z</dcterms:created>
  <dcterms:modified xsi:type="dcterms:W3CDTF">2024-05-22T08:38:11Z</dcterms:modified>
</cp:coreProperties>
</file>