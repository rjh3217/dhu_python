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상시공략집\2024컴활1급(상시)\스프레드시트\상시공략문제\정답\"/>
    </mc:Choice>
  </mc:AlternateContent>
  <xr:revisionPtr revIDLastSave="0" documentId="13_ncr:1_{FACAC77E-38A3-4478-977B-1EC9714B69B2}" xr6:coauthVersionLast="47" xr6:coauthVersionMax="47" xr10:uidLastSave="{00000000-0000-0000-0000-000000000000}"/>
  <bookViews>
    <workbookView xWindow="18000" yWindow="60" windowWidth="20115" windowHeight="14985" tabRatio="865" xr2:uid="{00000000-000D-0000-FFFF-FFFF00000000}"/>
  </bookViews>
  <sheets>
    <sheet name="기본작업-1" sheetId="15" r:id="rId1"/>
    <sheet name="기본작업-2" sheetId="18" r:id="rId2"/>
    <sheet name="계산작업" sheetId="21" r:id="rId3"/>
    <sheet name="11월경기도" sheetId="22" r:id="rId4"/>
    <sheet name="분석작업-1" sheetId="11" r:id="rId5"/>
    <sheet name="분석작업-2" sheetId="13" r:id="rId6"/>
    <sheet name="기타작업-1" sheetId="16" r:id="rId7"/>
    <sheet name="기타작업-2" sheetId="17" r:id="rId8"/>
    <sheet name="기타작업-3" sheetId="8" r:id="rId9"/>
  </sheets>
  <functionGroups builtInGroupCount="19"/>
  <definedNames>
    <definedName name="_xlnm._FilterDatabase" localSheetId="0" hidden="1">'기본작업-1'!$A$2:$H$14</definedName>
    <definedName name="_xlnm.Criteria" localSheetId="0">'기본작업-1'!$A$17:$A$18</definedName>
    <definedName name="ExternalData_1" localSheetId="3" hidden="1">'11월경기도'!$A$3:$J$5</definedName>
    <definedName name="_xlnm.Extract" localSheetId="0">'기본작업-1'!$A$20:$D$20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대리점" name="대리점" connection="대리점"/>
        </x15:modelTables>
        <x15:extLst>
          <ext xmlns:x16="http://schemas.microsoft.com/office/spreadsheetml/2014/11/main" uri="{9835A34E-60A6-4A7C-AAB8-D5F71C897F49}">
            <x16:modelTimeGroupings>
              <x16:modelTimeGrouping tableName="대리점" columnName="오픈일자" columnId="오픈일자">
                <x16:calculatedTimeColumn columnName="오픈일자(연도)" columnId="오픈일자(연도)" contentType="years" isSelected="0"/>
                <x16:calculatedTimeColumn columnName="오픈일자(분기)" columnId="오픈일자(분기)" contentType="quarters" isSelected="0"/>
                <x16:calculatedTimeColumn columnName="오픈일자(월 인덱스)" columnId="오픈일자(월 인덱스)" contentType="monthsindex" isSelected="1"/>
                <x16:calculatedTimeColumn columnName="오픈일자(월)" columnId="오픈일자(월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21" l="1" a="1"/>
  <c r="E30" i="21" s="1"/>
  <c r="E31" i="21" a="1"/>
  <c r="E31" i="21" s="1"/>
  <c r="E32" i="21" a="1"/>
  <c r="E32" i="21" s="1"/>
  <c r="E33" i="21" a="1"/>
  <c r="E33" i="21" s="1"/>
  <c r="D31" i="21" a="1"/>
  <c r="D31" i="21" s="1"/>
  <c r="D32" i="21" a="1"/>
  <c r="D32" i="21" s="1"/>
  <c r="D33" i="21" a="1"/>
  <c r="D33" i="21" s="1"/>
  <c r="D30" i="21" a="1"/>
  <c r="D30" i="21" s="1"/>
  <c r="I20" i="21" a="1"/>
  <c r="I21" i="21" a="1"/>
  <c r="I22" i="21" a="1"/>
  <c r="I23" i="21" a="1"/>
  <c r="I5" i="21" a="1"/>
  <c r="I7" i="21" a="1"/>
  <c r="I3" i="21" a="1"/>
  <c r="I17" i="21" a="1"/>
  <c r="I9" i="21" a="1"/>
  <c r="I11" i="21" a="1"/>
  <c r="I13" i="21" a="1"/>
  <c r="I4" i="21" a="1"/>
  <c r="I24" i="21" a="1"/>
  <c r="I25" i="21" a="1"/>
  <c r="I6" i="21" a="1"/>
  <c r="I18" i="21" a="1"/>
  <c r="I10" i="21" a="1"/>
  <c r="I12" i="21" a="1"/>
  <c r="I15" i="21" a="1"/>
  <c r="I14" i="21" a="1"/>
  <c r="I16" i="21" a="1"/>
  <c r="I8" i="21" a="1"/>
  <c r="I19" i="21" a="1"/>
  <c r="I26" i="21" a="1"/>
  <c r="I14" i="21" l="1"/>
  <c r="I7" i="21"/>
  <c r="I24" i="21"/>
  <c r="I4" i="21"/>
  <c r="I23" i="21"/>
  <c r="I13" i="21"/>
  <c r="I22" i="21"/>
  <c r="I12" i="21"/>
  <c r="I21" i="21"/>
  <c r="I11" i="21"/>
  <c r="I20" i="21"/>
  <c r="I10" i="21"/>
  <c r="I19" i="21"/>
  <c r="I9" i="21"/>
  <c r="I18" i="21"/>
  <c r="I8" i="21"/>
  <c r="I17" i="21"/>
  <c r="I26" i="21"/>
  <c r="I16" i="21"/>
  <c r="I6" i="21"/>
  <c r="I25" i="21"/>
  <c r="I15" i="21"/>
  <c r="I5" i="21"/>
  <c r="I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3" i="21"/>
  <c r="B31" i="21" l="1" a="1"/>
  <c r="B31" i="21" s="1"/>
  <c r="B32" i="21" a="1"/>
  <c r="B32" i="21" s="1"/>
  <c r="B33" i="21" a="1"/>
  <c r="B33" i="21" s="1"/>
  <c r="B30" i="21" a="1"/>
  <c r="B30" i="21" s="1"/>
  <c r="H26" i="21" l="1"/>
  <c r="H25" i="21"/>
  <c r="H24" i="21"/>
  <c r="H23" i="21"/>
  <c r="H22" i="21"/>
  <c r="H21" i="21"/>
  <c r="H20" i="21"/>
  <c r="H19" i="21"/>
  <c r="H18" i="21"/>
  <c r="H17" i="21"/>
  <c r="H16" i="21"/>
  <c r="H15" i="21"/>
  <c r="H14" i="21"/>
  <c r="H13" i="21"/>
  <c r="H12" i="21"/>
  <c r="H11" i="21"/>
  <c r="H10" i="21"/>
  <c r="H9" i="21"/>
  <c r="H8" i="21"/>
  <c r="H7" i="21"/>
  <c r="H6" i="21"/>
  <c r="H5" i="21"/>
  <c r="H4" i="21"/>
  <c r="H3" i="21"/>
  <c r="H13" i="18" l="1"/>
  <c r="H14" i="18"/>
  <c r="H15" i="18"/>
  <c r="H5" i="18"/>
  <c r="H6" i="18"/>
  <c r="H7" i="18"/>
  <c r="H8" i="18"/>
  <c r="H9" i="18"/>
  <c r="H10" i="18"/>
  <c r="H11" i="18"/>
  <c r="H12" i="18"/>
  <c r="H4" i="18"/>
  <c r="A18" i="15" l="1"/>
  <c r="B25" i="13" l="1"/>
  <c r="B23" i="13"/>
  <c r="B26" i="13" l="1"/>
  <c r="B30" i="13" s="1"/>
  <c r="E21" i="1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06D58C-5C79-4B34-9D8D-5CE1EFC1BC3B}" keepAlive="1" name="ModelConnection_ExternalData_1" description="데이터 모델" type="5" refreshedVersion="7" minRefreshableVersion="5" saveData="1">
    <dbPr connection="Data Model Connection" command="DRILLTHROUGH MAXROWS 1000 SELECT FROM [Model] WHERE ((([Measures].[합계: 전년매출],[대리점].[오픈일자(월)].&amp;[11월]),[대리점].[지역].&amp;[경기])) RETURN [$대리점].[체인점명],[$대리점].[지역],[$대리점].[오픈일자],[$대리점].[등록고객수],[$대리점].[전년매출],[$대리점].[등급],[$대리점].[오픈일자(연도)],[$대리점].[오픈일자(분기)],[$대리점].[오픈일자(월)],[$대리점].[오픈일자(월 인덱스)]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D1E1E213-ED87-45FF-B2D0-0C9DF013CD88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662F9F9D-BAA4-407C-B0C5-1F8EAAB50700}" name="대리점" type="103" refreshedVersion="7" minRefreshableVersion="5">
    <extLst>
      <ext xmlns:x15="http://schemas.microsoft.com/office/spreadsheetml/2010/11/main" uri="{DE250136-89BD-433C-8126-D09CA5730AF9}">
        <x15:connection id="대리점" autoDelete="1">
          <x15:textPr prompt="0" codePage="949" sourceFile="C:\컴활1급\스프레드시트\상시공략문제\대리점.csv" tab="0" comma="1">
            <textFields count="8">
              <textField type="skip"/>
              <textField/>
              <textField/>
              <textField/>
              <textField type="skip"/>
              <textField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2">
    <s v="ThisWorkbookDataModel"/>
    <s v="{[대리점].[등급].[All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<sst xmlns="http://schemas.openxmlformats.org/spreadsheetml/2006/main" count="397" uniqueCount="184">
  <si>
    <t>[표1] 아파트 계약현황</t>
    <phoneticPr fontId="1" type="noConversion"/>
  </si>
  <si>
    <t>계약자</t>
    <phoneticPr fontId="1" type="noConversion"/>
  </si>
  <si>
    <t>동호수</t>
    <phoneticPr fontId="1" type="noConversion"/>
  </si>
  <si>
    <t>평형</t>
    <phoneticPr fontId="1" type="noConversion"/>
  </si>
  <si>
    <t>옵션금액</t>
    <phoneticPr fontId="1" type="noConversion"/>
  </si>
  <si>
    <t>35평</t>
    <phoneticPr fontId="1" type="noConversion"/>
  </si>
  <si>
    <t>40평</t>
    <phoneticPr fontId="1" type="noConversion"/>
  </si>
  <si>
    <t>50평</t>
    <phoneticPr fontId="1" type="noConversion"/>
  </si>
  <si>
    <t>30평</t>
    <phoneticPr fontId="1" type="noConversion"/>
  </si>
  <si>
    <t>25평</t>
    <phoneticPr fontId="1" type="noConversion"/>
  </si>
  <si>
    <t>출석</t>
    <phoneticPr fontId="1" type="noConversion"/>
  </si>
  <si>
    <t>서울</t>
  </si>
  <si>
    <t>경기</t>
  </si>
  <si>
    <t>인천</t>
  </si>
  <si>
    <t>총합계</t>
  </si>
  <si>
    <t>합계: 전년매출</t>
  </si>
  <si>
    <t>합계: 등록고객수</t>
  </si>
  <si>
    <t>All</t>
  </si>
  <si>
    <t>11월</t>
  </si>
  <si>
    <t>12월</t>
  </si>
  <si>
    <t>03월</t>
  </si>
  <si>
    <t>09월</t>
  </si>
  <si>
    <t>10월</t>
  </si>
  <si>
    <t>01월</t>
  </si>
  <si>
    <t>02월</t>
  </si>
  <si>
    <t>05월</t>
  </si>
  <si>
    <t>등급</t>
  </si>
  <si>
    <t>지역</t>
  </si>
  <si>
    <t>값</t>
  </si>
  <si>
    <t>오픈일자(월)</t>
  </si>
  <si>
    <t>오픈일자</t>
  </si>
  <si>
    <t>[표1]</t>
    <phoneticPr fontId="1" type="noConversion"/>
  </si>
  <si>
    <t>학번</t>
  </si>
  <si>
    <t>이름</t>
  </si>
  <si>
    <t>중간</t>
  </si>
  <si>
    <t>기말</t>
  </si>
  <si>
    <t>김대훈</t>
  </si>
  <si>
    <t>김세인</t>
  </si>
  <si>
    <t>김송희</t>
  </si>
  <si>
    <t>김은지</t>
  </si>
  <si>
    <t>김지수</t>
  </si>
  <si>
    <t>박병재</t>
  </si>
  <si>
    <t>박준희</t>
  </si>
  <si>
    <t>박하늘</t>
  </si>
  <si>
    <t>윤경문</t>
  </si>
  <si>
    <t>이다정</t>
  </si>
  <si>
    <t>이종희</t>
  </si>
  <si>
    <t>임천규</t>
  </si>
  <si>
    <t>임태헌</t>
  </si>
  <si>
    <t>최서현</t>
  </si>
  <si>
    <t>홍주희</t>
  </si>
  <si>
    <t>수행평가</t>
    <phoneticPr fontId="1" type="noConversion"/>
  </si>
  <si>
    <t>[표2]</t>
    <phoneticPr fontId="1" type="noConversion"/>
  </si>
  <si>
    <t>영업이익 계산시트</t>
    <phoneticPr fontId="7" type="noConversion"/>
  </si>
  <si>
    <t>판매량</t>
    <phoneticPr fontId="7" type="noConversion"/>
  </si>
  <si>
    <t>판매단가</t>
    <phoneticPr fontId="7" type="noConversion"/>
  </si>
  <si>
    <t xml:space="preserve">판매량 </t>
    <phoneticPr fontId="7" type="noConversion"/>
  </si>
  <si>
    <t>매출액</t>
    <phoneticPr fontId="7" type="noConversion"/>
  </si>
  <si>
    <t>판
매
단
가</t>
    <phoneticPr fontId="7" type="noConversion"/>
  </si>
  <si>
    <t>매출원가</t>
    <phoneticPr fontId="7" type="noConversion"/>
  </si>
  <si>
    <t>총이익</t>
    <phoneticPr fontId="7" type="noConversion"/>
  </si>
  <si>
    <t>판매비</t>
    <phoneticPr fontId="7" type="noConversion"/>
  </si>
  <si>
    <t>관리비</t>
    <phoneticPr fontId="7" type="noConversion"/>
  </si>
  <si>
    <t>영업이익</t>
    <phoneticPr fontId="7" type="noConversion"/>
  </si>
  <si>
    <t>상품코드</t>
  </si>
  <si>
    <t>상품명</t>
  </si>
  <si>
    <t>방송시간</t>
    <phoneticPr fontId="1" type="noConversion"/>
  </si>
  <si>
    <t>방송요일</t>
    <phoneticPr fontId="1" type="noConversion"/>
  </si>
  <si>
    <t>분류</t>
  </si>
  <si>
    <t>판매가격
(단위:천원)</t>
    <phoneticPr fontId="1" type="noConversion"/>
  </si>
  <si>
    <t>판매수량</t>
    <phoneticPr fontId="1" type="noConversion"/>
  </si>
  <si>
    <t>상품평</t>
    <phoneticPr fontId="1" type="noConversion"/>
  </si>
  <si>
    <t>R1210</t>
  </si>
  <si>
    <t>마운틴 4도어 냉장고</t>
  </si>
  <si>
    <t>월</t>
    <phoneticPr fontId="1" type="noConversion"/>
  </si>
  <si>
    <t>냉장고</t>
  </si>
  <si>
    <t>W2113</t>
  </si>
  <si>
    <t xml:space="preserve">글로리 드럼 세탁기 </t>
  </si>
  <si>
    <t>화</t>
    <phoneticPr fontId="1" type="noConversion"/>
  </si>
  <si>
    <t>세탁기</t>
  </si>
  <si>
    <t>D8471</t>
    <phoneticPr fontId="1" type="noConversion"/>
  </si>
  <si>
    <t>그랑데 건조기 17KG 블랙</t>
    <phoneticPr fontId="1" type="noConversion"/>
  </si>
  <si>
    <t>금</t>
    <phoneticPr fontId="1" type="noConversion"/>
  </si>
  <si>
    <t>건조기</t>
    <phoneticPr fontId="1" type="noConversion"/>
  </si>
  <si>
    <t>R1213</t>
  </si>
  <si>
    <t>리버 4도어 냉장고</t>
  </si>
  <si>
    <t>월</t>
    <phoneticPr fontId="1" type="noConversion"/>
  </si>
  <si>
    <t>C3115</t>
  </si>
  <si>
    <t>스카이 골드 안마의자</t>
  </si>
  <si>
    <t>수</t>
    <phoneticPr fontId="1" type="noConversion"/>
  </si>
  <si>
    <t>안마의자</t>
  </si>
  <si>
    <t>H1134</t>
    <phoneticPr fontId="1" type="noConversion"/>
  </si>
  <si>
    <t>휴롬 원액기</t>
    <phoneticPr fontId="1" type="noConversion"/>
  </si>
  <si>
    <t>목</t>
    <phoneticPr fontId="1" type="noConversion"/>
  </si>
  <si>
    <t>주방용품</t>
    <phoneticPr fontId="1" type="noConversion"/>
  </si>
  <si>
    <t>W2117</t>
  </si>
  <si>
    <t xml:space="preserve">모닝 드럼 세탁기 </t>
  </si>
  <si>
    <t>일</t>
    <phoneticPr fontId="1" type="noConversion"/>
  </si>
  <si>
    <t>A1092</t>
    <phoneticPr fontId="1" type="noConversion"/>
  </si>
  <si>
    <t>무풍에어컨 클래식 홈멀티형</t>
    <phoneticPr fontId="1" type="noConversion"/>
  </si>
  <si>
    <t>토</t>
    <phoneticPr fontId="1" type="noConversion"/>
  </si>
  <si>
    <t>에어컨</t>
    <phoneticPr fontId="1" type="noConversion"/>
  </si>
  <si>
    <t>R1215</t>
  </si>
  <si>
    <t>월드 5도어 냉장고</t>
  </si>
  <si>
    <t>T8465</t>
    <phoneticPr fontId="1" type="noConversion"/>
  </si>
  <si>
    <t>크리스탈 UHD TV 189cm</t>
    <phoneticPr fontId="1" type="noConversion"/>
  </si>
  <si>
    <t>화</t>
    <phoneticPr fontId="1" type="noConversion"/>
  </si>
  <si>
    <t>TV</t>
    <phoneticPr fontId="1" type="noConversion"/>
  </si>
  <si>
    <t>C3119</t>
  </si>
  <si>
    <t>랜드 실서 안마의자</t>
  </si>
  <si>
    <t>R1218</t>
  </si>
  <si>
    <t>AI 4도어 냉장고</t>
  </si>
  <si>
    <t>수</t>
    <phoneticPr fontId="1" type="noConversion"/>
  </si>
  <si>
    <t>조건</t>
    <phoneticPr fontId="1" type="noConversion"/>
  </si>
  <si>
    <t>홈쇼핑 가전 제품 판매 현황</t>
    <phoneticPr fontId="1" type="noConversion"/>
  </si>
  <si>
    <t>판매가격</t>
    <phoneticPr fontId="1" type="noConversion"/>
  </si>
  <si>
    <t>포인트</t>
    <phoneticPr fontId="1" type="noConversion"/>
  </si>
  <si>
    <t>대리점[체인점명]</t>
  </si>
  <si>
    <t>대리점[지역]</t>
  </si>
  <si>
    <t>대리점[오픈일자]</t>
  </si>
  <si>
    <t>대리점[등록고객수]</t>
  </si>
  <si>
    <t>대리점[전년매출]</t>
  </si>
  <si>
    <t>대리점[등급]</t>
  </si>
  <si>
    <t>대리점[오픈일자(연도)]</t>
  </si>
  <si>
    <t>대리점[오픈일자(분기)]</t>
  </si>
  <si>
    <t>대리점[오픈일자(월 인덱스)]</t>
  </si>
  <si>
    <t>대리점[오픈일자(월)]</t>
  </si>
  <si>
    <t>의왕점</t>
  </si>
  <si>
    <t>일반</t>
  </si>
  <si>
    <t>2020</t>
  </si>
  <si>
    <t>분기4</t>
  </si>
  <si>
    <t>고양점</t>
  </si>
  <si>
    <t>실버</t>
  </si>
  <si>
    <t>2015</t>
  </si>
  <si>
    <t>홍길동</t>
  </si>
  <si>
    <t>201동 101호</t>
  </si>
  <si>
    <t>35평</t>
  </si>
  <si>
    <t>판매금액</t>
    <phoneticPr fontId="1" type="noConversion"/>
  </si>
  <si>
    <t>연봉</t>
    <phoneticPr fontId="9" type="noConversion"/>
  </si>
  <si>
    <t>연봉계약종료일</t>
    <phoneticPr fontId="9" type="noConversion"/>
  </si>
  <si>
    <t>총예상수입</t>
    <phoneticPr fontId="9" type="noConversion"/>
  </si>
  <si>
    <t>직급</t>
    <phoneticPr fontId="9" type="noConversion"/>
  </si>
  <si>
    <t>판매실적</t>
    <phoneticPr fontId="9" type="noConversion"/>
  </si>
  <si>
    <t>영업소장</t>
    <phoneticPr fontId="9" type="noConversion"/>
  </si>
  <si>
    <t>기타직급</t>
    <phoneticPr fontId="9" type="noConversion"/>
  </si>
  <si>
    <t>인상률</t>
    <phoneticPr fontId="9" type="noConversion"/>
  </si>
  <si>
    <t>과장</t>
    <phoneticPr fontId="9" type="noConversion"/>
  </si>
  <si>
    <t>대리</t>
    <phoneticPr fontId="9" type="noConversion"/>
  </si>
  <si>
    <t>[표1]</t>
    <phoneticPr fontId="9" type="noConversion"/>
  </si>
  <si>
    <t>영업소</t>
    <phoneticPr fontId="9" type="noConversion"/>
  </si>
  <si>
    <t>연봉</t>
    <phoneticPr fontId="9" type="noConversion"/>
  </si>
  <si>
    <t>연봉계약일</t>
    <phoneticPr fontId="9" type="noConversion"/>
  </si>
  <si>
    <t>인상될연봉</t>
    <phoneticPr fontId="9" type="noConversion"/>
  </si>
  <si>
    <t>연소득</t>
    <phoneticPr fontId="9" type="noConversion"/>
  </si>
  <si>
    <t>서울강남</t>
    <phoneticPr fontId="9" type="noConversion"/>
  </si>
  <si>
    <t>영업소장</t>
    <phoneticPr fontId="9" type="noConversion"/>
  </si>
  <si>
    <t>서울강북</t>
    <phoneticPr fontId="9" type="noConversion"/>
  </si>
  <si>
    <t>과장</t>
    <phoneticPr fontId="9" type="noConversion"/>
  </si>
  <si>
    <t>인천</t>
    <phoneticPr fontId="9" type="noConversion"/>
  </si>
  <si>
    <t>부산</t>
    <phoneticPr fontId="9" type="noConversion"/>
  </si>
  <si>
    <t>광주</t>
    <phoneticPr fontId="9" type="noConversion"/>
  </si>
  <si>
    <t>대리</t>
    <phoneticPr fontId="9" type="noConversion"/>
  </si>
  <si>
    <t>서울강남</t>
    <phoneticPr fontId="9" type="noConversion"/>
  </si>
  <si>
    <t>인천</t>
    <phoneticPr fontId="9" type="noConversion"/>
  </si>
  <si>
    <t>사원</t>
    <phoneticPr fontId="9" type="noConversion"/>
  </si>
  <si>
    <t>광주</t>
    <phoneticPr fontId="9" type="noConversion"/>
  </si>
  <si>
    <t>대전</t>
    <phoneticPr fontId="9" type="noConversion"/>
  </si>
  <si>
    <t>과장</t>
    <phoneticPr fontId="9" type="noConversion"/>
  </si>
  <si>
    <t>사원</t>
    <phoneticPr fontId="9" type="noConversion"/>
  </si>
  <si>
    <t>서울강남</t>
    <phoneticPr fontId="9" type="noConversion"/>
  </si>
  <si>
    <t>대전</t>
    <phoneticPr fontId="9" type="noConversion"/>
  </si>
  <si>
    <t>서울강북</t>
    <phoneticPr fontId="9" type="noConversion"/>
  </si>
  <si>
    <t>부산</t>
    <phoneticPr fontId="9" type="noConversion"/>
  </si>
  <si>
    <t>서울강북</t>
    <phoneticPr fontId="9" type="noConversion"/>
  </si>
  <si>
    <t>인천</t>
    <phoneticPr fontId="9" type="noConversion"/>
  </si>
  <si>
    <t>[표2]</t>
    <phoneticPr fontId="9" type="noConversion"/>
  </si>
  <si>
    <t>연봉평균</t>
    <phoneticPr fontId="9" type="noConversion"/>
  </si>
  <si>
    <t>[표3]</t>
    <phoneticPr fontId="9" type="noConversion"/>
  </si>
  <si>
    <t>[표4]</t>
    <phoneticPr fontId="9" type="noConversion"/>
  </si>
  <si>
    <t>서울외지역</t>
    <phoneticPr fontId="9" type="noConversion"/>
  </si>
  <si>
    <t>판매실적</t>
    <phoneticPr fontId="9" type="noConversion"/>
  </si>
  <si>
    <t>영업소장</t>
    <phoneticPr fontId="9" type="noConversion"/>
  </si>
  <si>
    <t>인상률</t>
    <phoneticPr fontId="9" type="noConversion"/>
  </si>
  <si>
    <t>합계: 전년매출, 11월, 경기(처음 1000행)에 대한 데이터가 반환되었습니다.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</si>
</sst>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[$-412]AM/PM\ hh:mm;@"/>
    <numFmt numFmtId="177" formatCode="#,##0_ "/>
    <numFmt numFmtId="178" formatCode="[=0]0.0%;[Magenta][&gt;=10000]&quot;적립&quot;* #,##0;#,##0"/>
    <numFmt numFmtId="179" formatCode="#,##0&quot;천원&quot;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indexed="63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41" fontId="4" fillId="0" borderId="0" applyFont="0" applyFill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4" fillId="0" borderId="0"/>
    <xf numFmtId="41" fontId="2" fillId="0" borderId="0" applyFon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0" xfId="0" pivotButton="1">
      <alignment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9" fontId="0" fillId="0" borderId="1" xfId="2" applyFont="1" applyBorder="1">
      <alignment vertical="center"/>
    </xf>
    <xf numFmtId="0" fontId="3" fillId="0" borderId="0" xfId="0" applyFont="1">
      <alignment vertical="center"/>
    </xf>
    <xf numFmtId="0" fontId="5" fillId="0" borderId="0" xfId="12" applyFont="1"/>
    <xf numFmtId="0" fontId="5" fillId="0" borderId="0" xfId="12" applyFont="1" applyBorder="1"/>
    <xf numFmtId="0" fontId="3" fillId="0" borderId="2" xfId="0" applyFont="1" applyBorder="1">
      <alignment vertical="center"/>
    </xf>
    <xf numFmtId="0" fontId="5" fillId="0" borderId="4" xfId="12" applyFont="1" applyBorder="1"/>
    <xf numFmtId="0" fontId="8" fillId="0" borderId="1" xfId="0" applyFont="1" applyFill="1" applyBorder="1" applyAlignment="1">
      <alignment horizontal="center"/>
    </xf>
    <xf numFmtId="0" fontId="3" fillId="0" borderId="1" xfId="0" applyFont="1" applyBorder="1">
      <alignment vertical="center"/>
    </xf>
    <xf numFmtId="41" fontId="8" fillId="0" borderId="1" xfId="1" applyFont="1" applyFill="1" applyBorder="1">
      <alignment vertical="center"/>
    </xf>
    <xf numFmtId="41" fontId="8" fillId="0" borderId="1" xfId="1" applyFont="1" applyBorder="1">
      <alignment vertical="center"/>
    </xf>
    <xf numFmtId="41" fontId="8" fillId="0" borderId="1" xfId="1" applyFont="1" applyBorder="1" applyAlignment="1"/>
    <xf numFmtId="41" fontId="8" fillId="0" borderId="0" xfId="1" applyFont="1">
      <alignment vertical="center"/>
    </xf>
    <xf numFmtId="41" fontId="8" fillId="0" borderId="3" xfId="1" applyFont="1" applyBorder="1">
      <alignment vertical="center"/>
    </xf>
    <xf numFmtId="176" fontId="3" fillId="0" borderId="1" xfId="7" applyNumberFormat="1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vertical="center"/>
    </xf>
    <xf numFmtId="41" fontId="3" fillId="0" borderId="1" xfId="1" applyFont="1" applyFill="1" applyBorder="1" applyAlignment="1">
      <alignment vertical="center" wrapText="1"/>
    </xf>
    <xf numFmtId="176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14" fontId="6" fillId="0" borderId="0" xfId="0" applyNumberFormat="1" applyFont="1">
      <alignment vertical="center"/>
    </xf>
    <xf numFmtId="177" fontId="0" fillId="0" borderId="0" xfId="0" applyNumberFormat="1">
      <alignment vertical="center"/>
    </xf>
    <xf numFmtId="14" fontId="0" fillId="0" borderId="0" xfId="0" applyNumberFormat="1">
      <alignment vertical="center"/>
    </xf>
    <xf numFmtId="178" fontId="3" fillId="0" borderId="1" xfId="1" applyNumberFormat="1" applyFont="1" applyFill="1" applyBorder="1" applyAlignment="1">
      <alignment vertical="center"/>
    </xf>
    <xf numFmtId="178" fontId="3" fillId="0" borderId="1" xfId="1" applyNumberFormat="1" applyFont="1" applyFill="1" applyBorder="1" applyAlignment="1">
      <alignment vertical="center" wrapText="1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Protection="1">
      <alignment vertical="center"/>
      <protection hidden="1"/>
    </xf>
    <xf numFmtId="0" fontId="0" fillId="0" borderId="0" xfId="0" applyAlignment="1"/>
    <xf numFmtId="0" fontId="0" fillId="2" borderId="1" xfId="0" applyFill="1" applyBorder="1" applyAlignment="1">
      <alignment horizontal="center" vertical="center"/>
    </xf>
    <xf numFmtId="179" fontId="0" fillId="0" borderId="1" xfId="1" applyNumberFormat="1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9" fontId="0" fillId="3" borderId="1" xfId="0" applyNumberFormat="1" applyFill="1" applyBorder="1" applyAlignment="1">
      <alignment horizontal="right" vertical="center"/>
    </xf>
    <xf numFmtId="0" fontId="0" fillId="0" borderId="1" xfId="0" applyFill="1" applyBorder="1" applyAlignment="1">
      <alignment horizontal="center" vertical="center"/>
    </xf>
    <xf numFmtId="0" fontId="0" fillId="0" borderId="1" xfId="1" applyNumberFormat="1" applyFont="1" applyBorder="1" applyAlignment="1">
      <alignment horizontal="right" vertical="center"/>
    </xf>
    <xf numFmtId="41" fontId="0" fillId="0" borderId="1" xfId="1" applyFont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5" fillId="0" borderId="1" xfId="12" applyFont="1" applyBorder="1" applyAlignment="1">
      <alignment horizontal="center" vertical="center" wrapText="1"/>
    </xf>
    <xf numFmtId="0" fontId="5" fillId="0" borderId="1" xfId="12" applyFont="1" applyBorder="1" applyAlignment="1">
      <alignment horizontal="center" vertical="center"/>
    </xf>
  </cellXfs>
  <cellStyles count="14">
    <cellStyle name="백분율" xfId="2" builtinId="5"/>
    <cellStyle name="쉼표 [0]" xfId="1" builtinId="6"/>
    <cellStyle name="쉼표 [0] 2" xfId="4" xr:uid="{00000000-0005-0000-0000-000002000000}"/>
    <cellStyle name="쉼표 [0] 2 2" xfId="10" xr:uid="{00000000-0005-0000-0000-000003000000}"/>
    <cellStyle name="쉼표 [0] 3" xfId="7" xr:uid="{00000000-0005-0000-0000-000004000000}"/>
    <cellStyle name="쉼표 [0] 4" xfId="8" xr:uid="{00000000-0005-0000-0000-000005000000}"/>
    <cellStyle name="쉼표 [0] 5" xfId="9" xr:uid="{00000000-0005-0000-0000-000006000000}"/>
    <cellStyle name="쉼표 [0] 6" xfId="13" xr:uid="{00000000-0005-0000-0000-000007000000}"/>
    <cellStyle name="통화 [0] 2" xfId="11" xr:uid="{00000000-0005-0000-0000-000008000000}"/>
    <cellStyle name="표준" xfId="0" builtinId="0"/>
    <cellStyle name="표준 2" xfId="5" xr:uid="{00000000-0005-0000-0000-00000A000000}"/>
    <cellStyle name="표준 2 2" xfId="6" xr:uid="{00000000-0005-0000-0000-00000B000000}"/>
    <cellStyle name="표준 3" xfId="3" xr:uid="{00000000-0005-0000-0000-00000C000000}"/>
    <cellStyle name="표준_상공회의소문제" xfId="12" xr:uid="{00000000-0005-0000-0000-00000D000000}"/>
  </cellStyles>
  <dxfs count="2">
    <dxf>
      <numFmt numFmtId="19" formatCode="yyyy/mm/dd"/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'기타작업-1'!$B$2</c:f>
          <c:strCache>
            <c:ptCount val="1"/>
            <c:pt idx="0">
              <c:v>홈쇼핑 가전 제품 판매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'기타작업-1'!$G$3</c:f>
              <c:strCache>
                <c:ptCount val="1"/>
                <c:pt idx="0">
                  <c:v>판매가격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'기타작업-1'!$C$4:$C$12</c:f>
              <c:strCache>
                <c:ptCount val="9"/>
                <c:pt idx="0">
                  <c:v>마운틴 4도어 냉장고</c:v>
                </c:pt>
                <c:pt idx="1">
                  <c:v>글로리 드럼 세탁기 </c:v>
                </c:pt>
                <c:pt idx="2">
                  <c:v>그랑데 건조기 17KG 블랙</c:v>
                </c:pt>
                <c:pt idx="3">
                  <c:v>리버 4도어 냉장고</c:v>
                </c:pt>
                <c:pt idx="4">
                  <c:v>스카이 골드 안마의자</c:v>
                </c:pt>
                <c:pt idx="5">
                  <c:v>모닝 드럼 세탁기 </c:v>
                </c:pt>
                <c:pt idx="6">
                  <c:v>무풍에어컨 클래식 홈멀티형</c:v>
                </c:pt>
                <c:pt idx="7">
                  <c:v>월드 5도어 냉장고</c:v>
                </c:pt>
                <c:pt idx="8">
                  <c:v>랜드 실서 안마의자</c:v>
                </c:pt>
              </c:strCache>
            </c:strRef>
          </c:cat>
          <c:val>
            <c:numRef>
              <c:f>'기타작업-1'!$G$4:$G$12</c:f>
              <c:numCache>
                <c:formatCode>_(* #,##0_);_(* \(#,##0\);_(* "-"_);_(@_)</c:formatCode>
                <c:ptCount val="9"/>
                <c:pt idx="0">
                  <c:v>3525</c:v>
                </c:pt>
                <c:pt idx="1">
                  <c:v>1298</c:v>
                </c:pt>
                <c:pt idx="2">
                  <c:v>1149</c:v>
                </c:pt>
                <c:pt idx="3">
                  <c:v>3000</c:v>
                </c:pt>
                <c:pt idx="4">
                  <c:v>4580</c:v>
                </c:pt>
                <c:pt idx="5">
                  <c:v>1598</c:v>
                </c:pt>
                <c:pt idx="6">
                  <c:v>2489</c:v>
                </c:pt>
                <c:pt idx="7">
                  <c:v>4425</c:v>
                </c:pt>
                <c:pt idx="8">
                  <c:v>2985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A2-4880-B9A3-AE7C4F95D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4887023"/>
        <c:axId val="434885775"/>
      </c:barChart>
      <c:lineChart>
        <c:grouping val="standard"/>
        <c:varyColors val="0"/>
        <c:ser>
          <c:idx val="1"/>
          <c:order val="1"/>
          <c:tx>
            <c:strRef>
              <c:f>'기타작업-1'!$H$3</c:f>
              <c:strCache>
                <c:ptCount val="1"/>
                <c:pt idx="0">
                  <c:v>판매수량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'기타작업-1'!$C$4:$C$12</c:f>
              <c:strCache>
                <c:ptCount val="9"/>
                <c:pt idx="0">
                  <c:v>마운틴 4도어 냉장고</c:v>
                </c:pt>
                <c:pt idx="1">
                  <c:v>글로리 드럼 세탁기 </c:v>
                </c:pt>
                <c:pt idx="2">
                  <c:v>그랑데 건조기 17KG 블랙</c:v>
                </c:pt>
                <c:pt idx="3">
                  <c:v>리버 4도어 냉장고</c:v>
                </c:pt>
                <c:pt idx="4">
                  <c:v>스카이 골드 안마의자</c:v>
                </c:pt>
                <c:pt idx="5">
                  <c:v>모닝 드럼 세탁기 </c:v>
                </c:pt>
                <c:pt idx="6">
                  <c:v>무풍에어컨 클래식 홈멀티형</c:v>
                </c:pt>
                <c:pt idx="7">
                  <c:v>월드 5도어 냉장고</c:v>
                </c:pt>
                <c:pt idx="8">
                  <c:v>랜드 실서 안마의자</c:v>
                </c:pt>
              </c:strCache>
            </c:strRef>
          </c:cat>
          <c:val>
            <c:numRef>
              <c:f>'기타작업-1'!$H$4:$H$12</c:f>
              <c:numCache>
                <c:formatCode>_(* #,##0_);_(* \(#,##0\);_(* "-"_);_(@_)</c:formatCode>
                <c:ptCount val="9"/>
                <c:pt idx="0">
                  <c:v>1822</c:v>
                </c:pt>
                <c:pt idx="1">
                  <c:v>4456</c:v>
                </c:pt>
                <c:pt idx="2">
                  <c:v>250</c:v>
                </c:pt>
                <c:pt idx="3">
                  <c:v>2344</c:v>
                </c:pt>
                <c:pt idx="4">
                  <c:v>854</c:v>
                </c:pt>
                <c:pt idx="5">
                  <c:v>3012</c:v>
                </c:pt>
                <c:pt idx="6">
                  <c:v>1584</c:v>
                </c:pt>
                <c:pt idx="7">
                  <c:v>987</c:v>
                </c:pt>
                <c:pt idx="8">
                  <c:v>2167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A2-4880-B9A3-AE7C4F95D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045391"/>
        <c:axId val="536046639"/>
      </c:lineChart>
      <c:catAx>
        <c:axId val="434887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4885775"/>
        <c:crosses val="autoZero"/>
        <c:auto val="1"/>
        <c:lblAlgn val="ctr"/>
        <c:lblOffset val="100"/>
        <c:noMultiLvlLbl val="0"/>
      </c:catAx>
      <c:valAx>
        <c:axId val="43488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'기타작업-1'!$G$3</c:f>
              <c:strCache>
                <c:ptCount val="1"/>
                <c:pt idx="0">
                  <c:v>판매가격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4887023"/>
        <c:crosses val="autoZero"/>
        <c:crossBetween val="between"/>
      </c:valAx>
      <c:valAx>
        <c:axId val="536046639"/>
        <c:scaling>
          <c:orientation val="minMax"/>
        </c:scaling>
        <c:delete val="0"/>
        <c:axPos val="r"/>
        <c:title>
          <c:tx>
            <c:strRef>
              <c:f>'기타작업-1'!$H$3</c:f>
              <c:strCache>
                <c:ptCount val="1"/>
                <c:pt idx="0">
                  <c:v>판매수량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6045391"/>
        <c:crosses val="max"/>
        <c:crossBetween val="between"/>
      </c:valAx>
      <c:catAx>
        <c:axId val="5360453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604663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1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8</xdr:col>
      <xdr:colOff>0</xdr:colOff>
      <xdr:row>32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0</xdr:colOff>
      <xdr:row>3</xdr:row>
      <xdr:rowOff>0</xdr:rowOff>
    </xdr:to>
    <xdr:sp macro="[0]!아이콘보기" textlink="">
      <xdr:nvSpPr>
        <xdr:cNvPr id="2" name="빗면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616200" y="215900"/>
          <a:ext cx="141605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아이콘보기</a:t>
          </a:r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0</xdr:colOff>
      <xdr:row>3</xdr:row>
      <xdr:rowOff>0</xdr:rowOff>
    </xdr:to>
    <xdr:sp macro="[0]!서식적용" textlink="">
      <xdr:nvSpPr>
        <xdr:cNvPr id="3" name="빗면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92650" y="215900"/>
          <a:ext cx="159385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25" name="cmd계약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211.479326157409" backgroundQuery="1" createdVersion="7" refreshedVersion="7" minRefreshableVersion="3" recordCount="0" supportSubquery="1" supportAdvancedDrill="1" xr:uid="{D83BAF85-4335-4FAA-B6E7-BDC50B33C050}">
  <cacheSource type="external" connectionId="2"/>
  <cacheFields count="6">
    <cacheField name="[대리점].[등급].[등급]" caption="등급" numFmtId="0" hierarchy="5" level="1">
      <sharedItems containsSemiMixedTypes="0" containsNonDate="0" containsString="0"/>
    </cacheField>
    <cacheField name="[대리점].[지역].[지역]" caption="지역" numFmtId="0" hierarchy="1" level="1">
      <sharedItems count="3">
        <s v="경기"/>
        <s v="서울"/>
        <s v="인천"/>
      </sharedItems>
    </cacheField>
    <cacheField name="[대리점].[오픈일자].[오픈일자]" caption="오픈일자" numFmtId="0" hierarchy="2" level="1">
      <sharedItems containsSemiMixedTypes="0" containsNonDate="0" containsDate="1" containsString="0" minDate="2015-11-20T00:00:00" maxDate="2022-02-11T00:00:00" count="12">
        <d v="2017-01-20T00:00:00"/>
        <d v="2022-01-01T00:00:00"/>
        <d v="2017-02-10T00:00:00"/>
        <d v="2022-02-10T00:00:00"/>
        <d v="2016-03-10T00:00:00"/>
        <d v="2018-05-20T00:00:00"/>
        <d v="2016-09-10T00:00:00"/>
        <d v="2016-10-10T00:00:00"/>
        <d v="2021-10-19T00:00:00"/>
        <d v="2015-11-20T00:00:00"/>
        <d v="2020-11-01T00:00:00"/>
        <d v="2015-12-20T00:00:00"/>
      </sharedItems>
    </cacheField>
    <cacheField name="[대리점].[오픈일자(월)].[오픈일자(월)]" caption="오픈일자(월)" numFmtId="0" hierarchy="8" level="1">
      <sharedItems count="8">
        <s v="01월"/>
        <s v="02월"/>
        <s v="03월"/>
        <s v="05월"/>
        <s v="09월"/>
        <s v="10월"/>
        <s v="11월"/>
        <s v="12월"/>
      </sharedItems>
    </cacheField>
    <cacheField name="[Measures].[합계: 등록고객수]" caption="합계: 등록고객수" numFmtId="0" hierarchy="12" level="32767"/>
    <cacheField name="[Measures].[합계: 전년매출]" caption="합계: 전년매출" numFmtId="0" hierarchy="13" level="32767"/>
  </cacheFields>
  <cacheHierarchies count="14">
    <cacheHierarchy uniqueName="[대리점].[체인점명]" caption="체인점명" attribute="1" defaultMemberUniqueName="[대리점].[체인점명].[All]" allUniqueName="[대리점].[체인점명].[All]" dimensionUniqueName="[대리점]" displayFolder="" count="0" memberValueDatatype="130" unbalanced="0"/>
    <cacheHierarchy uniqueName="[대리점].[지역]" caption="지역" attribute="1" defaultMemberUniqueName="[대리점].[지역].[All]" allUniqueName="[대리점].[지역].[All]" dimensionUniqueName="[대리점]" displayFolder="" count="2" memberValueDatatype="130" unbalanced="0">
      <fieldsUsage count="2">
        <fieldUsage x="-1"/>
        <fieldUsage x="1"/>
      </fieldsUsage>
    </cacheHierarchy>
    <cacheHierarchy uniqueName="[대리점].[오픈일자]" caption="오픈일자" attribute="1" time="1" defaultMemberUniqueName="[대리점].[오픈일자].[All]" allUniqueName="[대리점].[오픈일자].[All]" dimensionUniqueName="[대리점]" displayFolder="" count="2" memberValueDatatype="7" unbalanced="0">
      <fieldsUsage count="2">
        <fieldUsage x="-1"/>
        <fieldUsage x="2"/>
      </fieldsUsage>
    </cacheHierarchy>
    <cacheHierarchy uniqueName="[대리점].[등록고객수]" caption="등록고객수" attribute="1" defaultMemberUniqueName="[대리점].[등록고객수].[All]" allUniqueName="[대리점].[등록고객수].[All]" dimensionUniqueName="[대리점]" displayFolder="" count="0" memberValueDatatype="20" unbalanced="0"/>
    <cacheHierarchy uniqueName="[대리점].[전년매출]" caption="전년매출" attribute="1" defaultMemberUniqueName="[대리점].[전년매출].[All]" allUniqueName="[대리점].[전년매출].[All]" dimensionUniqueName="[대리점]" displayFolder="" count="0" memberValueDatatype="20" unbalanced="0"/>
    <cacheHierarchy uniqueName="[대리점].[등급]" caption="등급" attribute="1" defaultMemberUniqueName="[대리점].[등급].[All]" allUniqueName="[대리점].[등급].[All]" dimensionUniqueName="[대리점]" displayFolder="" count="2" memberValueDatatype="130" unbalanced="0">
      <fieldsUsage count="2">
        <fieldUsage x="-1"/>
        <fieldUsage x="0"/>
      </fieldsUsage>
    </cacheHierarchy>
    <cacheHierarchy uniqueName="[대리점].[오픈일자(연도)]" caption="오픈일자(연도)" attribute="1" defaultMemberUniqueName="[대리점].[오픈일자(연도)].[All]" allUniqueName="[대리점].[오픈일자(연도)].[All]" dimensionUniqueName="[대리점]" displayFolder="" count="2" memberValueDatatype="130" unbalanced="0"/>
    <cacheHierarchy uniqueName="[대리점].[오픈일자(분기)]" caption="오픈일자(분기)" attribute="1" defaultMemberUniqueName="[대리점].[오픈일자(분기)].[All]" allUniqueName="[대리점].[오픈일자(분기)].[All]" dimensionUniqueName="[대리점]" displayFolder="" count="2" memberValueDatatype="130" unbalanced="0"/>
    <cacheHierarchy uniqueName="[대리점].[오픈일자(월)]" caption="오픈일자(월)" attribute="1" defaultMemberUniqueName="[대리점].[오픈일자(월)].[All]" allUniqueName="[대리점].[오픈일자(월)].[All]" dimensionUniqueName="[대리점]" displayFolder="" count="2" memberValueDatatype="130" unbalanced="0">
      <fieldsUsage count="2">
        <fieldUsage x="-1"/>
        <fieldUsage x="3"/>
      </fieldsUsage>
    </cacheHierarchy>
    <cacheHierarchy uniqueName="[대리점].[오픈일자(월 인덱스)]" caption="오픈일자(월 인덱스)" attribute="1" defaultMemberUniqueName="[대리점].[오픈일자(월 인덱스)].[All]" allUniqueName="[대리점].[오픈일자(월 인덱스)].[All]" dimensionUniqueName="[대리점]" displayFolder="" count="0" memberValueDatatype="20" unbalanced="0" hidden="1"/>
    <cacheHierarchy uniqueName="[Measures].[__XL_Count 대리점]" caption="__XL_Count 대리점" measure="1" displayFolder="" measureGroup="대리점" count="0" hidden="1"/>
    <cacheHierarchy uniqueName="[Measures].[__No measures defined]" caption="__No measures defined" measure="1" displayFolder="" count="0" hidden="1"/>
    <cacheHierarchy uniqueName="[Measures].[합계: 등록고객수]" caption="합계: 등록고객수" measure="1" displayFolder="" measureGroup="대리점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전년매출]" caption="합계: 전년매출" measure="1" displayFolder="" measureGroup="대리점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대리점" uniqueName="[대리점]" caption="대리점"/>
  </dimensions>
  <measureGroups count="1">
    <measureGroup name="대리점" caption="대리점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B9A4BC-A02E-4DD8-9B51-C034C58CA4A2}" name="피벗 테이블2" cacheId="0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outline="1" outlineData="1" compactData="0" multipleFieldFilters="0">
  <location ref="A4:H15" firstHeaderRow="1" firstDataRow="3" firstDataCol="2" rowPageCount="1" colPageCount="1"/>
  <pivotFields count="6">
    <pivotField axis="axisPage" compact="0" allDrilled="1" showAll="0" dataSourceSort="1" defaultSubtotal="0" defaultAttributeDrillState="1"/>
    <pivotField axis="axisCol" compact="0" allDrilled="1" showAll="0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Row" compact="0" allDrilled="1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compact="0" allDrilled="1" showAll="0" dataSourceSort="1" defaultSubtotal="0">
      <items count="8">
        <item x="0" e="0"/>
        <item x="1" e="0"/>
        <item x="2" e="0"/>
        <item x="3" e="0"/>
        <item x="4" e="0"/>
        <item x="5" e="0"/>
        <item x="6" e="0"/>
        <item x="7" e="0"/>
      </items>
    </pivotField>
    <pivotField dataField="1" compact="0" showAll="0" defaultSubtotal="0"/>
    <pivotField dataField="1" compact="0" showAll="0" defaultSubtotal="0"/>
  </pivotFields>
  <rowFields count="2">
    <field x="3"/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2">
    <field x="1"/>
    <field x="-2"/>
  </colFields>
  <colItems count="6">
    <i>
      <x v="1"/>
      <x/>
    </i>
    <i r="1" i="1">
      <x v="1"/>
    </i>
    <i>
      <x/>
      <x/>
    </i>
    <i r="1" i="1">
      <x v="1"/>
    </i>
    <i>
      <x v="2"/>
      <x/>
    </i>
    <i r="1" i="1">
      <x v="1"/>
    </i>
  </colItems>
  <pageFields count="1">
    <pageField fld="0" hier="5" name="[대리점].[등급].[All]" cap="All"/>
  </pageFields>
  <dataFields count="2">
    <dataField name="합계: 등록고객수" fld="4" baseField="3" baseItem="0" numFmtId="177"/>
    <dataField name="합계: 전년매출" fld="5" baseField="3" baseItem="0" numFmtId="177"/>
  </dataFields>
  <pivotHierarchies count="1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8"/>
    <rowHierarchyUsage hierarchyUsage="2"/>
  </rowHierarchiesUsage>
  <colHierarchiesUsage count="2">
    <colHierarchyUsage hierarchyUsage="1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대리점">
        <x15:activeTabTopLevelEntity name="[대리점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B3DB49FB-65A9-40FC-B377-D316A3225C52}" autoFormatId="16" applyNumberFormats="0" applyBorderFormats="0" applyFontFormats="0" applyPatternFormats="0" applyAlignmentFormats="0" applyWidthHeightFormats="0">
  <queryTableRefresh nextId="11">
    <queryTableFields count="10">
      <queryTableField id="1" name="대리점[체인점명]" tableColumnId="1"/>
      <queryTableField id="2" name="대리점[지역]" tableColumnId="2"/>
      <queryTableField id="3" name="대리점[오픈일자]" tableColumnId="3"/>
      <queryTableField id="4" name="대리점[등록고객수]" tableColumnId="4"/>
      <queryTableField id="5" name="대리점[전년매출]" tableColumnId="5"/>
      <queryTableField id="6" name="대리점[등급]" tableColumnId="6"/>
      <queryTableField id="7" name="대리점[오픈일자(연도)]" tableColumnId="7"/>
      <queryTableField id="8" name="대리점[오픈일자(분기)]" tableColumnId="8"/>
      <queryTableField id="9" name="대리점[오픈일자(월)]" tableColumnId="9"/>
      <queryTableField id="10" name="대리점[오픈일자(월 인덱스)]" tableColumnId="10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68DC2F-0BB0-4AD6-994E-48C9CFD7AD01}" name="표_ExternalData_1" displayName="표_ExternalData_1" ref="A3:J5" tableType="queryTable" totalsRowShown="0">
  <autoFilter ref="A3:J5" xr:uid="{DC68DC2F-0BB0-4AD6-994E-48C9CFD7AD01}"/>
  <tableColumns count="10">
    <tableColumn id="1" xr3:uid="{E117CBC2-91AF-48B2-BBD9-1536FE545A96}" uniqueName="1" name="대리점[체인점명]" queryTableFieldId="1"/>
    <tableColumn id="2" xr3:uid="{41AB13AC-92BA-4917-8F55-A743BDFF4547}" uniqueName="2" name="대리점[지역]" queryTableFieldId="2"/>
    <tableColumn id="3" xr3:uid="{DCE35390-B7F7-4F16-8A00-9F05C9713CF6}" uniqueName="3" name="대리점[오픈일자]" queryTableFieldId="3" dataDxfId="0"/>
    <tableColumn id="4" xr3:uid="{86BAB163-9D2A-43CC-9329-75D0EE68BF98}" uniqueName="4" name="대리점[등록고객수]" queryTableFieldId="4"/>
    <tableColumn id="5" xr3:uid="{7A0F28C0-83A6-4D2B-B558-68D2FBB67F2F}" uniqueName="5" name="대리점[전년매출]" queryTableFieldId="5"/>
    <tableColumn id="6" xr3:uid="{568AFC57-27AE-488C-9FA1-AA74E27CC5F7}" uniqueName="6" name="대리점[등급]" queryTableFieldId="6"/>
    <tableColumn id="7" xr3:uid="{BB6FDF56-1E5B-4AE4-B319-0B3B820B2BAF}" uniqueName="7" name="대리점[오픈일자(연도)]" queryTableFieldId="7"/>
    <tableColumn id="8" xr3:uid="{1CD6E245-960E-4817-80B0-65D2BEBFB145}" uniqueName="8" name="대리점[오픈일자(분기)]" queryTableFieldId="8"/>
    <tableColumn id="9" xr3:uid="{856A220C-E8FF-42BD-9B41-4B711F7E2D93}" uniqueName="9" name="대리점[오픈일자(월)]" queryTableFieldId="9"/>
    <tableColumn id="10" xr3:uid="{5C70CE41-31B1-430F-9764-6630A68CD457}" uniqueName="10" name="대리점[오픈일자(월 인덱스)]" queryTableField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3"/>
  <sheetViews>
    <sheetView tabSelected="1" workbookViewId="0"/>
  </sheetViews>
  <sheetFormatPr defaultColWidth="9.125" defaultRowHeight="16.5"/>
  <cols>
    <col min="1" max="1" width="18.375" style="10" bestFit="1" customWidth="1"/>
    <col min="2" max="2" width="25.625" style="10" bestFit="1" customWidth="1"/>
    <col min="3" max="3" width="13.375" style="10" bestFit="1" customWidth="1"/>
    <col min="4" max="4" width="8.625" style="10" bestFit="1" customWidth="1"/>
    <col min="5" max="5" width="10.375" style="10" customWidth="1"/>
    <col min="6" max="6" width="15.875" style="10" bestFit="1" customWidth="1"/>
    <col min="7" max="16384" width="9.125" style="10"/>
  </cols>
  <sheetData>
    <row r="1" spans="1:8">
      <c r="A1" s="10" t="s">
        <v>31</v>
      </c>
    </row>
    <row r="2" spans="1:8" ht="33">
      <c r="A2" s="4" t="s">
        <v>64</v>
      </c>
      <c r="B2" s="4" t="s">
        <v>65</v>
      </c>
      <c r="C2" s="5" t="s">
        <v>66</v>
      </c>
      <c r="D2" s="5" t="s">
        <v>67</v>
      </c>
      <c r="E2" s="5" t="s">
        <v>68</v>
      </c>
      <c r="F2" s="5" t="s">
        <v>69</v>
      </c>
      <c r="G2" s="5" t="s">
        <v>70</v>
      </c>
      <c r="H2" s="5" t="s">
        <v>71</v>
      </c>
    </row>
    <row r="3" spans="1:8">
      <c r="A3" s="4" t="s">
        <v>72</v>
      </c>
      <c r="B3" s="4" t="s">
        <v>73</v>
      </c>
      <c r="C3" s="22">
        <v>0.83333333333333337</v>
      </c>
      <c r="D3" s="22" t="s">
        <v>74</v>
      </c>
      <c r="E3" s="23" t="s">
        <v>75</v>
      </c>
      <c r="F3" s="24">
        <v>3525</v>
      </c>
      <c r="G3" s="24">
        <v>1822</v>
      </c>
      <c r="H3" s="24">
        <v>356</v>
      </c>
    </row>
    <row r="4" spans="1:8">
      <c r="A4" s="4" t="s">
        <v>76</v>
      </c>
      <c r="B4" s="4" t="s">
        <v>77</v>
      </c>
      <c r="C4" s="22">
        <v>0.875</v>
      </c>
      <c r="D4" s="22" t="s">
        <v>78</v>
      </c>
      <c r="E4" s="23" t="s">
        <v>79</v>
      </c>
      <c r="F4" s="24">
        <v>1298</v>
      </c>
      <c r="G4" s="24">
        <v>4456</v>
      </c>
      <c r="H4" s="24">
        <v>1657</v>
      </c>
    </row>
    <row r="5" spans="1:8">
      <c r="A5" s="4" t="s">
        <v>80</v>
      </c>
      <c r="B5" s="4" t="s">
        <v>81</v>
      </c>
      <c r="C5" s="22">
        <v>0.36805555555555558</v>
      </c>
      <c r="D5" s="22" t="s">
        <v>82</v>
      </c>
      <c r="E5" s="23" t="s">
        <v>83</v>
      </c>
      <c r="F5" s="24">
        <v>1149</v>
      </c>
      <c r="G5" s="24">
        <v>250</v>
      </c>
      <c r="H5" s="24">
        <v>51</v>
      </c>
    </row>
    <row r="6" spans="1:8">
      <c r="A6" s="4" t="s">
        <v>84</v>
      </c>
      <c r="B6" s="4" t="s">
        <v>85</v>
      </c>
      <c r="C6" s="22">
        <v>0.91666666666666663</v>
      </c>
      <c r="D6" s="22" t="s">
        <v>86</v>
      </c>
      <c r="E6" s="23" t="s">
        <v>75</v>
      </c>
      <c r="F6" s="24">
        <v>3000</v>
      </c>
      <c r="G6" s="24">
        <v>2344</v>
      </c>
      <c r="H6" s="24">
        <v>875</v>
      </c>
    </row>
    <row r="7" spans="1:8">
      <c r="A7" s="4" t="s">
        <v>87</v>
      </c>
      <c r="B7" s="4" t="s">
        <v>88</v>
      </c>
      <c r="C7" s="22">
        <v>0.95833333333333337</v>
      </c>
      <c r="D7" s="22" t="s">
        <v>89</v>
      </c>
      <c r="E7" s="23" t="s">
        <v>90</v>
      </c>
      <c r="F7" s="24">
        <v>4580</v>
      </c>
      <c r="G7" s="24">
        <v>854</v>
      </c>
      <c r="H7" s="24">
        <v>34</v>
      </c>
    </row>
    <row r="8" spans="1:8">
      <c r="A8" s="4" t="s">
        <v>91</v>
      </c>
      <c r="B8" s="4" t="s">
        <v>92</v>
      </c>
      <c r="C8" s="22">
        <v>0.77777777777777779</v>
      </c>
      <c r="D8" s="22" t="s">
        <v>93</v>
      </c>
      <c r="E8" s="23" t="s">
        <v>94</v>
      </c>
      <c r="F8" s="24">
        <v>459</v>
      </c>
      <c r="G8" s="24">
        <v>2587</v>
      </c>
      <c r="H8" s="24">
        <v>315</v>
      </c>
    </row>
    <row r="9" spans="1:8">
      <c r="A9" s="4" t="s">
        <v>95</v>
      </c>
      <c r="B9" s="4" t="s">
        <v>96</v>
      </c>
      <c r="C9" s="22">
        <v>0.41666666666666669</v>
      </c>
      <c r="D9" s="22" t="s">
        <v>97</v>
      </c>
      <c r="E9" s="23" t="s">
        <v>79</v>
      </c>
      <c r="F9" s="24">
        <v>1598</v>
      </c>
      <c r="G9" s="24">
        <v>3012</v>
      </c>
      <c r="H9" s="24">
        <v>1125</v>
      </c>
    </row>
    <row r="10" spans="1:8">
      <c r="A10" s="4" t="s">
        <v>98</v>
      </c>
      <c r="B10" s="4" t="s">
        <v>99</v>
      </c>
      <c r="C10" s="22">
        <v>0.53125</v>
      </c>
      <c r="D10" s="22" t="s">
        <v>100</v>
      </c>
      <c r="E10" s="5" t="s">
        <v>101</v>
      </c>
      <c r="F10" s="25">
        <v>2489</v>
      </c>
      <c r="G10" s="25">
        <v>1584</v>
      </c>
      <c r="H10" s="25">
        <v>501</v>
      </c>
    </row>
    <row r="11" spans="1:8">
      <c r="A11" s="4" t="s">
        <v>102</v>
      </c>
      <c r="B11" s="4" t="s">
        <v>103</v>
      </c>
      <c r="C11" s="22">
        <v>0.45833333333333331</v>
      </c>
      <c r="D11" s="22" t="s">
        <v>86</v>
      </c>
      <c r="E11" s="23" t="s">
        <v>75</v>
      </c>
      <c r="F11" s="24">
        <v>4425</v>
      </c>
      <c r="G11" s="24">
        <v>987</v>
      </c>
      <c r="H11" s="24">
        <v>67</v>
      </c>
    </row>
    <row r="12" spans="1:8">
      <c r="A12" s="4" t="s">
        <v>104</v>
      </c>
      <c r="B12" s="4" t="s">
        <v>105</v>
      </c>
      <c r="C12" s="22">
        <v>0.72569444444444453</v>
      </c>
      <c r="D12" s="22" t="s">
        <v>106</v>
      </c>
      <c r="E12" s="23" t="s">
        <v>107</v>
      </c>
      <c r="F12" s="24">
        <v>2149</v>
      </c>
      <c r="G12" s="24">
        <v>257</v>
      </c>
      <c r="H12" s="24">
        <v>158</v>
      </c>
    </row>
    <row r="13" spans="1:8">
      <c r="A13" s="4" t="s">
        <v>108</v>
      </c>
      <c r="B13" s="4" t="s">
        <v>109</v>
      </c>
      <c r="C13" s="22">
        <v>0.5</v>
      </c>
      <c r="D13" s="22" t="s">
        <v>82</v>
      </c>
      <c r="E13" s="23" t="s">
        <v>90</v>
      </c>
      <c r="F13" s="24">
        <v>2985</v>
      </c>
      <c r="G13" s="24">
        <v>2167</v>
      </c>
      <c r="H13" s="24">
        <v>785</v>
      </c>
    </row>
    <row r="14" spans="1:8">
      <c r="A14" s="4" t="s">
        <v>110</v>
      </c>
      <c r="B14" s="4" t="s">
        <v>111</v>
      </c>
      <c r="C14" s="26">
        <v>0.75</v>
      </c>
      <c r="D14" s="26" t="s">
        <v>112</v>
      </c>
      <c r="E14" s="23" t="s">
        <v>75</v>
      </c>
      <c r="F14" s="24">
        <v>2500</v>
      </c>
      <c r="G14" s="24">
        <v>1788</v>
      </c>
      <c r="H14" s="24">
        <v>895</v>
      </c>
    </row>
    <row r="17" spans="1:4">
      <c r="A17" s="27" t="s">
        <v>113</v>
      </c>
    </row>
    <row r="18" spans="1:4">
      <c r="A18" s="10" t="b">
        <f>AND(HOUR(C3)&gt;=15,H3&gt;=AVERAGE($H$3:$H$14))</f>
        <v>0</v>
      </c>
    </row>
    <row r="20" spans="1:4" ht="33">
      <c r="A20" s="4" t="s">
        <v>65</v>
      </c>
      <c r="B20" s="5" t="s">
        <v>66</v>
      </c>
      <c r="C20" s="5" t="s">
        <v>69</v>
      </c>
      <c r="D20" s="5" t="s">
        <v>71</v>
      </c>
    </row>
    <row r="21" spans="1:4">
      <c r="A21" s="4" t="s">
        <v>77</v>
      </c>
      <c r="B21" s="22">
        <v>0.875</v>
      </c>
      <c r="C21" s="24">
        <v>1298</v>
      </c>
      <c r="D21" s="24">
        <v>1657</v>
      </c>
    </row>
    <row r="22" spans="1:4">
      <c r="A22" s="4" t="s">
        <v>85</v>
      </c>
      <c r="B22" s="22">
        <v>0.91666666666666663</v>
      </c>
      <c r="C22" s="24">
        <v>3000</v>
      </c>
      <c r="D22" s="24">
        <v>875</v>
      </c>
    </row>
    <row r="23" spans="1:4">
      <c r="A23" s="4" t="s">
        <v>111</v>
      </c>
      <c r="B23" s="26">
        <v>0.75</v>
      </c>
      <c r="C23" s="24">
        <v>2500</v>
      </c>
      <c r="D23" s="24">
        <v>895</v>
      </c>
    </row>
  </sheetData>
  <phoneticPr fontId="1" type="noConversion"/>
  <conditionalFormatting sqref="A3:H14">
    <cfRule type="expression" dxfId="1" priority="1">
      <formula>ISODD(MOD(COLUMN(),2))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H15"/>
  <sheetViews>
    <sheetView zoomScaleNormal="100" workbookViewId="0"/>
  </sheetViews>
  <sheetFormatPr defaultRowHeight="16.5"/>
  <cols>
    <col min="2" max="2" width="25.625" bestFit="1" customWidth="1"/>
    <col min="3" max="3" width="12" customWidth="1"/>
    <col min="8" max="8" width="10.625" bestFit="1" customWidth="1"/>
  </cols>
  <sheetData>
    <row r="2" spans="1:8">
      <c r="A2" s="3" t="s">
        <v>114</v>
      </c>
      <c r="B2" s="3"/>
      <c r="C2" s="3"/>
      <c r="D2" s="3"/>
      <c r="E2" s="3"/>
      <c r="F2" s="3"/>
      <c r="G2" s="3"/>
    </row>
    <row r="3" spans="1:8">
      <c r="A3" s="4" t="s">
        <v>64</v>
      </c>
      <c r="B3" s="4" t="s">
        <v>65</v>
      </c>
      <c r="C3" s="5" t="s">
        <v>66</v>
      </c>
      <c r="D3" s="5" t="s">
        <v>67</v>
      </c>
      <c r="E3" s="5" t="s">
        <v>68</v>
      </c>
      <c r="F3" s="5" t="s">
        <v>115</v>
      </c>
      <c r="G3" s="5" t="s">
        <v>70</v>
      </c>
      <c r="H3" s="5" t="s">
        <v>137</v>
      </c>
    </row>
    <row r="4" spans="1:8">
      <c r="A4" s="4" t="s">
        <v>72</v>
      </c>
      <c r="B4" s="4" t="s">
        <v>73</v>
      </c>
      <c r="C4" s="22">
        <v>0.83333333333333337</v>
      </c>
      <c r="D4" s="22" t="s">
        <v>74</v>
      </c>
      <c r="E4" s="23" t="s">
        <v>75</v>
      </c>
      <c r="F4" s="24">
        <v>3525</v>
      </c>
      <c r="G4" s="24">
        <v>1822</v>
      </c>
      <c r="H4" s="34">
        <f>F4*G4</f>
        <v>6422550</v>
      </c>
    </row>
    <row r="5" spans="1:8">
      <c r="A5" s="4" t="s">
        <v>76</v>
      </c>
      <c r="B5" s="4" t="s">
        <v>77</v>
      </c>
      <c r="C5" s="22">
        <v>0.875</v>
      </c>
      <c r="D5" s="22" t="s">
        <v>78</v>
      </c>
      <c r="E5" s="23" t="s">
        <v>79</v>
      </c>
      <c r="F5" s="24">
        <v>1298</v>
      </c>
      <c r="G5" s="24">
        <v>4456</v>
      </c>
      <c r="H5" s="34">
        <f t="shared" ref="H5:H15" si="0">F5*G5</f>
        <v>5783888</v>
      </c>
    </row>
    <row r="6" spans="1:8">
      <c r="A6" s="4" t="s">
        <v>80</v>
      </c>
      <c r="B6" s="4" t="s">
        <v>81</v>
      </c>
      <c r="C6" s="22">
        <v>0.36805555555555558</v>
      </c>
      <c r="D6" s="22" t="s">
        <v>82</v>
      </c>
      <c r="E6" s="23" t="s">
        <v>83</v>
      </c>
      <c r="F6" s="24">
        <v>1149</v>
      </c>
      <c r="G6" s="24">
        <v>250</v>
      </c>
      <c r="H6" s="34">
        <f t="shared" si="0"/>
        <v>287250</v>
      </c>
    </row>
    <row r="7" spans="1:8">
      <c r="A7" s="4" t="s">
        <v>84</v>
      </c>
      <c r="B7" s="4" t="s">
        <v>85</v>
      </c>
      <c r="C7" s="22">
        <v>0.91666666666666663</v>
      </c>
      <c r="D7" s="22" t="s">
        <v>74</v>
      </c>
      <c r="E7" s="23" t="s">
        <v>75</v>
      </c>
      <c r="F7" s="24">
        <v>3000</v>
      </c>
      <c r="G7" s="24">
        <v>2344</v>
      </c>
      <c r="H7" s="34">
        <f t="shared" si="0"/>
        <v>7032000</v>
      </c>
    </row>
    <row r="8" spans="1:8">
      <c r="A8" s="4" t="s">
        <v>87</v>
      </c>
      <c r="B8" s="4" t="s">
        <v>88</v>
      </c>
      <c r="C8" s="22">
        <v>0.95833333333333337</v>
      </c>
      <c r="D8" s="22" t="s">
        <v>89</v>
      </c>
      <c r="E8" s="23" t="s">
        <v>90</v>
      </c>
      <c r="F8" s="24">
        <v>4580</v>
      </c>
      <c r="G8" s="24">
        <v>854</v>
      </c>
      <c r="H8" s="34">
        <f t="shared" si="0"/>
        <v>3911320</v>
      </c>
    </row>
    <row r="9" spans="1:8">
      <c r="A9" s="4" t="s">
        <v>95</v>
      </c>
      <c r="B9" s="4" t="s">
        <v>96</v>
      </c>
      <c r="C9" s="22">
        <v>0.41666666666666669</v>
      </c>
      <c r="D9" s="22" t="s">
        <v>97</v>
      </c>
      <c r="E9" s="23" t="s">
        <v>79</v>
      </c>
      <c r="F9" s="24">
        <v>1598</v>
      </c>
      <c r="G9" s="24">
        <v>3012</v>
      </c>
      <c r="H9" s="34">
        <f t="shared" si="0"/>
        <v>4813176</v>
      </c>
    </row>
    <row r="10" spans="1:8">
      <c r="A10" s="4" t="s">
        <v>98</v>
      </c>
      <c r="B10" s="4" t="s">
        <v>99</v>
      </c>
      <c r="C10" s="22">
        <v>0.53125</v>
      </c>
      <c r="D10" s="22" t="s">
        <v>100</v>
      </c>
      <c r="E10" s="5" t="s">
        <v>101</v>
      </c>
      <c r="F10" s="25">
        <v>2489</v>
      </c>
      <c r="G10" s="25">
        <v>1584</v>
      </c>
      <c r="H10" s="34">
        <f t="shared" si="0"/>
        <v>3942576</v>
      </c>
    </row>
    <row r="11" spans="1:8">
      <c r="A11" s="4" t="s">
        <v>102</v>
      </c>
      <c r="B11" s="4" t="s">
        <v>103</v>
      </c>
      <c r="C11" s="22">
        <v>0.45833333333333331</v>
      </c>
      <c r="D11" s="22" t="s">
        <v>74</v>
      </c>
      <c r="E11" s="23" t="s">
        <v>75</v>
      </c>
      <c r="F11" s="24">
        <v>4425</v>
      </c>
      <c r="G11" s="24">
        <v>987</v>
      </c>
      <c r="H11" s="34">
        <f t="shared" si="0"/>
        <v>4367475</v>
      </c>
    </row>
    <row r="12" spans="1:8">
      <c r="A12" s="4" t="s">
        <v>108</v>
      </c>
      <c r="B12" s="4" t="s">
        <v>109</v>
      </c>
      <c r="C12" s="22">
        <v>0.5</v>
      </c>
      <c r="D12" s="22" t="s">
        <v>82</v>
      </c>
      <c r="E12" s="23" t="s">
        <v>90</v>
      </c>
      <c r="F12" s="24">
        <v>2985</v>
      </c>
      <c r="G12" s="24">
        <v>2167</v>
      </c>
      <c r="H12" s="34">
        <f t="shared" si="0"/>
        <v>6468495</v>
      </c>
    </row>
    <row r="13" spans="1:8">
      <c r="A13" s="4" t="s">
        <v>91</v>
      </c>
      <c r="B13" s="4" t="s">
        <v>92</v>
      </c>
      <c r="C13" s="22">
        <v>0.77777777777777779</v>
      </c>
      <c r="D13" s="22" t="s">
        <v>93</v>
      </c>
      <c r="E13" s="23" t="s">
        <v>94</v>
      </c>
      <c r="F13" s="24">
        <v>459</v>
      </c>
      <c r="G13" s="24">
        <v>2587</v>
      </c>
      <c r="H13" s="34">
        <f t="shared" si="0"/>
        <v>1187433</v>
      </c>
    </row>
    <row r="14" spans="1:8">
      <c r="A14" s="4" t="s">
        <v>104</v>
      </c>
      <c r="B14" s="4" t="s">
        <v>105</v>
      </c>
      <c r="C14" s="22">
        <v>0.72569444444444453</v>
      </c>
      <c r="D14" s="22" t="s">
        <v>78</v>
      </c>
      <c r="E14" s="23" t="s">
        <v>107</v>
      </c>
      <c r="F14" s="24">
        <v>2149</v>
      </c>
      <c r="G14" s="24">
        <v>257</v>
      </c>
      <c r="H14" s="34">
        <f t="shared" si="0"/>
        <v>552293</v>
      </c>
    </row>
    <row r="15" spans="1:8">
      <c r="A15" s="4" t="s">
        <v>110</v>
      </c>
      <c r="B15" s="4" t="s">
        <v>111</v>
      </c>
      <c r="C15" s="26">
        <v>0.75</v>
      </c>
      <c r="D15" s="26" t="s">
        <v>89</v>
      </c>
      <c r="E15" s="23" t="s">
        <v>75</v>
      </c>
      <c r="F15" s="24">
        <v>2500</v>
      </c>
      <c r="G15" s="24">
        <v>1788</v>
      </c>
      <c r="H15" s="34">
        <f t="shared" si="0"/>
        <v>4470000</v>
      </c>
    </row>
  </sheetData>
  <sheetProtection sheet="1" objects="1" scenarios="1" formatCells="0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1:J34"/>
  <sheetViews>
    <sheetView topLeftCell="A10" workbookViewId="0">
      <selection activeCell="D30" sqref="D30:E33"/>
    </sheetView>
  </sheetViews>
  <sheetFormatPr defaultRowHeight="16.5"/>
  <cols>
    <col min="1" max="1" width="8.5" bestFit="1" customWidth="1"/>
    <col min="2" max="2" width="10.375" bestFit="1" customWidth="1"/>
    <col min="3" max="3" width="8.5" bestFit="1" customWidth="1"/>
    <col min="4" max="4" width="10.25" bestFit="1" customWidth="1"/>
    <col min="5" max="5" width="10.75" bestFit="1" customWidth="1"/>
    <col min="6" max="6" width="14.375" bestFit="1" customWidth="1"/>
    <col min="7" max="7" width="11.375" bestFit="1" customWidth="1"/>
    <col min="8" max="8" width="10.375" bestFit="1" customWidth="1"/>
    <col min="9" max="9" width="8.375" bestFit="1" customWidth="1"/>
  </cols>
  <sheetData>
    <row r="1" spans="1:10">
      <c r="A1" s="35" t="s">
        <v>148</v>
      </c>
      <c r="B1" s="35"/>
      <c r="C1" s="35"/>
      <c r="D1" s="35"/>
      <c r="E1" s="35"/>
      <c r="F1" s="35"/>
      <c r="G1" s="35"/>
      <c r="H1" s="35"/>
      <c r="I1" s="35"/>
      <c r="J1" s="35"/>
    </row>
    <row r="2" spans="1:10">
      <c r="A2" s="33" t="s">
        <v>149</v>
      </c>
      <c r="B2" s="33" t="s">
        <v>141</v>
      </c>
      <c r="C2" s="33" t="s">
        <v>142</v>
      </c>
      <c r="D2" s="33" t="s">
        <v>150</v>
      </c>
      <c r="E2" s="33" t="s">
        <v>151</v>
      </c>
      <c r="F2" s="33" t="s">
        <v>139</v>
      </c>
      <c r="G2" s="36" t="s">
        <v>140</v>
      </c>
      <c r="H2" s="36" t="s">
        <v>152</v>
      </c>
      <c r="I2" s="36" t="s">
        <v>153</v>
      </c>
      <c r="J2" s="35"/>
    </row>
    <row r="3" spans="1:10">
      <c r="A3" s="33" t="s">
        <v>154</v>
      </c>
      <c r="B3" s="33" t="s">
        <v>155</v>
      </c>
      <c r="C3" s="33">
        <v>255</v>
      </c>
      <c r="D3" s="37">
        <v>85000</v>
      </c>
      <c r="E3" s="1">
        <v>44562</v>
      </c>
      <c r="F3" s="1">
        <v>45657</v>
      </c>
      <c r="G3" s="42" t="str">
        <f>TEXT(QUOTIENT(_xlfn.DAYS(F3,E3),30)*(D3/12),"#,##0천원")</f>
        <v>255,000천원</v>
      </c>
      <c r="H3" s="38">
        <f>TRUNC(D3*(1+IF(B3="영업소장",VLOOKUP(C3,$F$31:$G$34,2),VLOOKUP(C3,$H$31:$I$34,2))),-3)</f>
        <v>93000</v>
      </c>
      <c r="I3" s="38" cm="1">
        <f t="array" ref="I3">fn연소득(B3,C3,D3)</f>
        <v>85000</v>
      </c>
      <c r="J3" s="35"/>
    </row>
    <row r="4" spans="1:10">
      <c r="A4" s="33" t="s">
        <v>156</v>
      </c>
      <c r="B4" s="33" t="s">
        <v>157</v>
      </c>
      <c r="C4" s="33">
        <v>53</v>
      </c>
      <c r="D4" s="37">
        <v>51000</v>
      </c>
      <c r="E4" s="1">
        <v>44409</v>
      </c>
      <c r="F4" s="1">
        <v>45503</v>
      </c>
      <c r="G4" s="42" t="str">
        <f t="shared" ref="G4:G26" si="0">TEXT(QUOTIENT(_xlfn.DAYS(F4,E4),30)*(D4/12),"#,##0천원")</f>
        <v>153,000천원</v>
      </c>
      <c r="H4" s="38">
        <f t="shared" ref="H4:H26" si="1">TRUNC(D4*(1+IF(B4="영업소장",VLOOKUP(C4,$F$31:$G$34,2),VLOOKUP(C4,$H$31:$I$34,2))),-3)</f>
        <v>56000</v>
      </c>
      <c r="I4" s="38" cm="1">
        <f t="array" ref="I4">fn연소득(B4,C4,D4)</f>
        <v>61000</v>
      </c>
      <c r="J4" s="35"/>
    </row>
    <row r="5" spans="1:10">
      <c r="A5" s="33" t="s">
        <v>158</v>
      </c>
      <c r="B5" s="33" t="s">
        <v>147</v>
      </c>
      <c r="C5" s="33">
        <v>33</v>
      </c>
      <c r="D5" s="37">
        <v>41000</v>
      </c>
      <c r="E5" s="1">
        <v>44743</v>
      </c>
      <c r="F5" s="1">
        <v>45657</v>
      </c>
      <c r="G5" s="42" t="str">
        <f t="shared" si="0"/>
        <v>102,500천원</v>
      </c>
      <c r="H5" s="38">
        <f t="shared" si="1"/>
        <v>43000</v>
      </c>
      <c r="I5" s="38" cm="1">
        <f t="array" ref="I5">fn연소득(B5,C5,D5)</f>
        <v>46000</v>
      </c>
      <c r="J5" s="35"/>
    </row>
    <row r="6" spans="1:10">
      <c r="A6" s="33" t="s">
        <v>158</v>
      </c>
      <c r="B6" s="33" t="s">
        <v>143</v>
      </c>
      <c r="C6" s="33">
        <v>195</v>
      </c>
      <c r="D6" s="37">
        <v>82000</v>
      </c>
      <c r="E6" s="1">
        <v>44682</v>
      </c>
      <c r="F6" s="1">
        <v>45657</v>
      </c>
      <c r="G6" s="42" t="str">
        <f t="shared" si="0"/>
        <v>218,667천원</v>
      </c>
      <c r="H6" s="38">
        <f t="shared" si="1"/>
        <v>86000</v>
      </c>
      <c r="I6" s="38" cm="1">
        <f t="array" ref="I6">fn연소득(B6,C6,D6)</f>
        <v>82000</v>
      </c>
      <c r="J6" s="35"/>
    </row>
    <row r="7" spans="1:10">
      <c r="A7" s="33" t="s">
        <v>159</v>
      </c>
      <c r="B7" s="33" t="s">
        <v>155</v>
      </c>
      <c r="C7" s="33">
        <v>126</v>
      </c>
      <c r="D7" s="37">
        <v>80000</v>
      </c>
      <c r="E7" s="1">
        <v>44805</v>
      </c>
      <c r="F7" s="1">
        <v>45657</v>
      </c>
      <c r="G7" s="42" t="str">
        <f t="shared" si="0"/>
        <v>186,667천원</v>
      </c>
      <c r="H7" s="38">
        <f t="shared" si="1"/>
        <v>84000</v>
      </c>
      <c r="I7" s="38" cm="1">
        <f t="array" ref="I7">fn연소득(B7,C7,D7)</f>
        <v>80000</v>
      </c>
      <c r="J7" s="35"/>
    </row>
    <row r="8" spans="1:10">
      <c r="A8" s="33" t="s">
        <v>160</v>
      </c>
      <c r="B8" s="33" t="s">
        <v>161</v>
      </c>
      <c r="C8" s="33">
        <v>22</v>
      </c>
      <c r="D8" s="37">
        <v>42000</v>
      </c>
      <c r="E8" s="1">
        <v>45047</v>
      </c>
      <c r="F8" s="1">
        <v>45657</v>
      </c>
      <c r="G8" s="42" t="str">
        <f t="shared" si="0"/>
        <v>70,000천원</v>
      </c>
      <c r="H8" s="38">
        <f t="shared" si="1"/>
        <v>44000</v>
      </c>
      <c r="I8" s="38" cm="1">
        <f t="array" ref="I8">fn연소득(B8,C8,D8)</f>
        <v>47000</v>
      </c>
      <c r="J8" s="35"/>
    </row>
    <row r="9" spans="1:10">
      <c r="A9" s="33" t="s">
        <v>162</v>
      </c>
      <c r="B9" s="33" t="s">
        <v>161</v>
      </c>
      <c r="C9" s="33">
        <v>31</v>
      </c>
      <c r="D9" s="37">
        <v>43000</v>
      </c>
      <c r="E9" s="1">
        <v>44805</v>
      </c>
      <c r="F9" s="1">
        <v>45535</v>
      </c>
      <c r="G9" s="42" t="str">
        <f t="shared" si="0"/>
        <v>86,000천원</v>
      </c>
      <c r="H9" s="38">
        <f t="shared" si="1"/>
        <v>45000</v>
      </c>
      <c r="I9" s="38" cm="1">
        <f t="array" ref="I9">fn연소득(B9,C9,D9)</f>
        <v>48000</v>
      </c>
      <c r="J9" s="35"/>
    </row>
    <row r="10" spans="1:10">
      <c r="A10" s="33" t="s">
        <v>156</v>
      </c>
      <c r="B10" s="33" t="s">
        <v>147</v>
      </c>
      <c r="C10" s="33">
        <v>25</v>
      </c>
      <c r="D10" s="37">
        <v>42000</v>
      </c>
      <c r="E10" s="1">
        <v>44805</v>
      </c>
      <c r="F10" s="1">
        <v>45657</v>
      </c>
      <c r="G10" s="42" t="str">
        <f t="shared" si="0"/>
        <v>98,000천원</v>
      </c>
      <c r="H10" s="38">
        <f t="shared" si="1"/>
        <v>44000</v>
      </c>
      <c r="I10" s="38" cm="1">
        <f t="array" ref="I10">fn연소득(B10,C10,D10)</f>
        <v>47000</v>
      </c>
      <c r="J10" s="35"/>
    </row>
    <row r="11" spans="1:10">
      <c r="A11" s="33" t="s">
        <v>163</v>
      </c>
      <c r="B11" s="33" t="s">
        <v>164</v>
      </c>
      <c r="C11" s="33">
        <v>21</v>
      </c>
      <c r="D11" s="37">
        <v>31000</v>
      </c>
      <c r="E11" s="1">
        <v>44743</v>
      </c>
      <c r="F11" s="1">
        <v>45657</v>
      </c>
      <c r="G11" s="42" t="str">
        <f t="shared" si="0"/>
        <v>77,500천원</v>
      </c>
      <c r="H11" s="38">
        <f t="shared" si="1"/>
        <v>32000</v>
      </c>
      <c r="I11" s="38" cm="1">
        <f t="array" ref="I11">fn연소득(B11,C11,D11)</f>
        <v>36000</v>
      </c>
      <c r="J11" s="35"/>
    </row>
    <row r="12" spans="1:10">
      <c r="A12" s="33" t="s">
        <v>159</v>
      </c>
      <c r="B12" s="33" t="s">
        <v>147</v>
      </c>
      <c r="C12" s="33">
        <v>19</v>
      </c>
      <c r="D12" s="37">
        <v>40000</v>
      </c>
      <c r="E12" s="1">
        <v>44986</v>
      </c>
      <c r="F12" s="1">
        <v>45657</v>
      </c>
      <c r="G12" s="42" t="str">
        <f t="shared" si="0"/>
        <v>73,333천원</v>
      </c>
      <c r="H12" s="38">
        <f t="shared" si="1"/>
        <v>40000</v>
      </c>
      <c r="I12" s="38" cm="1">
        <f t="array" ref="I12">fn연소득(B12,C12,D12)</f>
        <v>40000</v>
      </c>
      <c r="J12" s="35"/>
    </row>
    <row r="13" spans="1:10">
      <c r="A13" s="33" t="s">
        <v>165</v>
      </c>
      <c r="B13" s="33" t="s">
        <v>155</v>
      </c>
      <c r="C13" s="33">
        <v>221</v>
      </c>
      <c r="D13" s="37">
        <v>84000</v>
      </c>
      <c r="E13" s="1">
        <v>44927</v>
      </c>
      <c r="F13" s="1">
        <v>46022</v>
      </c>
      <c r="G13" s="42" t="str">
        <f t="shared" si="0"/>
        <v>252,000천원</v>
      </c>
      <c r="H13" s="38">
        <f t="shared" si="1"/>
        <v>92000</v>
      </c>
      <c r="I13" s="38" cm="1">
        <f t="array" ref="I13">fn연소득(B13,C13,D13)</f>
        <v>84000</v>
      </c>
      <c r="J13" s="35"/>
    </row>
    <row r="14" spans="1:10">
      <c r="A14" s="33" t="s">
        <v>166</v>
      </c>
      <c r="B14" s="33" t="s">
        <v>167</v>
      </c>
      <c r="C14" s="33">
        <v>38</v>
      </c>
      <c r="D14" s="37">
        <v>57000</v>
      </c>
      <c r="E14" s="1">
        <v>44805</v>
      </c>
      <c r="F14" s="1">
        <v>45657</v>
      </c>
      <c r="G14" s="42" t="str">
        <f t="shared" si="0"/>
        <v>133,000천원</v>
      </c>
      <c r="H14" s="38">
        <f t="shared" si="1"/>
        <v>59000</v>
      </c>
      <c r="I14" s="38" cm="1">
        <f t="array" ref="I14">fn연소득(B14,C14,D14)</f>
        <v>62000</v>
      </c>
      <c r="J14" s="35"/>
    </row>
    <row r="15" spans="1:10">
      <c r="A15" s="33" t="s">
        <v>165</v>
      </c>
      <c r="B15" s="33" t="s">
        <v>168</v>
      </c>
      <c r="C15" s="33">
        <v>18</v>
      </c>
      <c r="D15" s="37">
        <v>31000</v>
      </c>
      <c r="E15" s="1">
        <v>44986</v>
      </c>
      <c r="F15" s="1">
        <v>45716</v>
      </c>
      <c r="G15" s="42" t="str">
        <f t="shared" si="0"/>
        <v>62,000천원</v>
      </c>
      <c r="H15" s="38">
        <f t="shared" si="1"/>
        <v>31000</v>
      </c>
      <c r="I15" s="38" cm="1">
        <f t="array" ref="I15">fn연소득(B15,C15,D15)</f>
        <v>31000</v>
      </c>
      <c r="J15" s="35"/>
    </row>
    <row r="16" spans="1:10">
      <c r="A16" s="33" t="s">
        <v>160</v>
      </c>
      <c r="B16" s="33" t="s">
        <v>157</v>
      </c>
      <c r="C16" s="33">
        <v>32</v>
      </c>
      <c r="D16" s="37">
        <v>57000</v>
      </c>
      <c r="E16" s="1">
        <v>44986</v>
      </c>
      <c r="F16" s="1">
        <v>45716</v>
      </c>
      <c r="G16" s="42" t="str">
        <f t="shared" si="0"/>
        <v>114,000천원</v>
      </c>
      <c r="H16" s="38">
        <f t="shared" si="1"/>
        <v>59000</v>
      </c>
      <c r="I16" s="38" cm="1">
        <f t="array" ref="I16">fn연소득(B16,C16,D16)</f>
        <v>62000</v>
      </c>
      <c r="J16" s="35"/>
    </row>
    <row r="17" spans="1:10">
      <c r="A17" s="33" t="s">
        <v>169</v>
      </c>
      <c r="B17" s="33" t="s">
        <v>164</v>
      </c>
      <c r="C17" s="33">
        <v>18</v>
      </c>
      <c r="D17" s="37">
        <v>32000</v>
      </c>
      <c r="E17" s="1">
        <v>44986</v>
      </c>
      <c r="F17" s="1">
        <v>45716</v>
      </c>
      <c r="G17" s="42" t="str">
        <f t="shared" si="0"/>
        <v>64,000천원</v>
      </c>
      <c r="H17" s="38">
        <f t="shared" si="1"/>
        <v>32000</v>
      </c>
      <c r="I17" s="38" cm="1">
        <f t="array" ref="I17">fn연소득(B17,C17,D17)</f>
        <v>32000</v>
      </c>
      <c r="J17" s="35"/>
    </row>
    <row r="18" spans="1:10">
      <c r="A18" s="33" t="s">
        <v>170</v>
      </c>
      <c r="B18" s="33" t="s">
        <v>155</v>
      </c>
      <c r="C18" s="33">
        <v>183</v>
      </c>
      <c r="D18" s="37">
        <v>84000</v>
      </c>
      <c r="E18" s="1">
        <v>44743</v>
      </c>
      <c r="F18" s="1">
        <v>45657</v>
      </c>
      <c r="G18" s="42" t="str">
        <f t="shared" si="0"/>
        <v>210,000천원</v>
      </c>
      <c r="H18" s="38">
        <f t="shared" si="1"/>
        <v>88000</v>
      </c>
      <c r="I18" s="38" cm="1">
        <f t="array" ref="I18">fn연소득(B18,C18,D18)</f>
        <v>84000</v>
      </c>
      <c r="J18" s="35"/>
    </row>
    <row r="19" spans="1:10">
      <c r="A19" s="33" t="s">
        <v>171</v>
      </c>
      <c r="B19" s="33" t="s">
        <v>168</v>
      </c>
      <c r="C19" s="33">
        <v>13</v>
      </c>
      <c r="D19" s="37">
        <v>29000</v>
      </c>
      <c r="E19" s="1">
        <v>44986</v>
      </c>
      <c r="F19" s="1">
        <v>45657</v>
      </c>
      <c r="G19" s="42" t="str">
        <f t="shared" si="0"/>
        <v>53,167천원</v>
      </c>
      <c r="H19" s="38">
        <f t="shared" si="1"/>
        <v>29000</v>
      </c>
      <c r="I19" s="38" cm="1">
        <f t="array" ref="I19">fn연소득(B19,C19,D19)</f>
        <v>29000</v>
      </c>
      <c r="J19" s="35"/>
    </row>
    <row r="20" spans="1:10">
      <c r="A20" s="33" t="s">
        <v>172</v>
      </c>
      <c r="B20" s="33" t="s">
        <v>167</v>
      </c>
      <c r="C20" s="33">
        <v>42</v>
      </c>
      <c r="D20" s="37">
        <v>55000</v>
      </c>
      <c r="E20" s="1">
        <v>44986</v>
      </c>
      <c r="F20" s="1">
        <v>45716</v>
      </c>
      <c r="G20" s="42" t="str">
        <f t="shared" si="0"/>
        <v>110,000천원</v>
      </c>
      <c r="H20" s="38">
        <f t="shared" si="1"/>
        <v>60000</v>
      </c>
      <c r="I20" s="38" cm="1">
        <f t="array" ref="I20">fn연소득(B20,C20,D20)</f>
        <v>60000</v>
      </c>
      <c r="J20" s="35"/>
    </row>
    <row r="21" spans="1:10">
      <c r="A21" s="33" t="s">
        <v>173</v>
      </c>
      <c r="B21" s="33" t="s">
        <v>155</v>
      </c>
      <c r="C21" s="33">
        <v>293</v>
      </c>
      <c r="D21" s="37">
        <v>75000</v>
      </c>
      <c r="E21" s="1">
        <v>44835</v>
      </c>
      <c r="F21" s="1">
        <v>45565</v>
      </c>
      <c r="G21" s="42" t="str">
        <f t="shared" si="0"/>
        <v>150,000천원</v>
      </c>
      <c r="H21" s="38">
        <f t="shared" si="1"/>
        <v>82000</v>
      </c>
      <c r="I21" s="38" cm="1">
        <f t="array" ref="I21">fn연소득(B21,C21,D21)</f>
        <v>75000</v>
      </c>
      <c r="J21" s="35"/>
    </row>
    <row r="22" spans="1:10">
      <c r="A22" s="33" t="s">
        <v>166</v>
      </c>
      <c r="B22" s="33" t="s">
        <v>161</v>
      </c>
      <c r="C22" s="33">
        <v>13</v>
      </c>
      <c r="D22" s="37">
        <v>38000</v>
      </c>
      <c r="E22" s="1">
        <v>44986</v>
      </c>
      <c r="F22" s="1">
        <v>45716</v>
      </c>
      <c r="G22" s="42" t="str">
        <f t="shared" si="0"/>
        <v>76,000천원</v>
      </c>
      <c r="H22" s="38">
        <f t="shared" si="1"/>
        <v>38000</v>
      </c>
      <c r="I22" s="38" cm="1">
        <f t="array" ref="I22">fn연소득(B22,C22,D22)</f>
        <v>38000</v>
      </c>
      <c r="J22" s="35"/>
    </row>
    <row r="23" spans="1:10">
      <c r="A23" s="33" t="s">
        <v>169</v>
      </c>
      <c r="B23" s="33" t="s">
        <v>146</v>
      </c>
      <c r="C23" s="33">
        <v>55</v>
      </c>
      <c r="D23" s="37">
        <v>56000</v>
      </c>
      <c r="E23" s="1">
        <v>44562</v>
      </c>
      <c r="F23" s="1">
        <v>45657</v>
      </c>
      <c r="G23" s="42" t="str">
        <f t="shared" si="0"/>
        <v>168,000천원</v>
      </c>
      <c r="H23" s="38">
        <f t="shared" si="1"/>
        <v>61000</v>
      </c>
      <c r="I23" s="38" cm="1">
        <f t="array" ref="I23">fn연소득(B23,C23,D23)</f>
        <v>66000</v>
      </c>
      <c r="J23" s="35"/>
    </row>
    <row r="24" spans="1:10">
      <c r="A24" s="33" t="s">
        <v>174</v>
      </c>
      <c r="B24" s="33" t="s">
        <v>167</v>
      </c>
      <c r="C24" s="33">
        <v>52</v>
      </c>
      <c r="D24" s="37">
        <v>53000</v>
      </c>
      <c r="E24" s="1">
        <v>44835</v>
      </c>
      <c r="F24" s="1">
        <v>45626</v>
      </c>
      <c r="G24" s="42" t="str">
        <f t="shared" si="0"/>
        <v>114,833천원</v>
      </c>
      <c r="H24" s="38">
        <f t="shared" si="1"/>
        <v>58000</v>
      </c>
      <c r="I24" s="38" cm="1">
        <f t="array" ref="I24">fn연소득(B24,C24,D24)</f>
        <v>63000</v>
      </c>
      <c r="J24" s="35"/>
    </row>
    <row r="25" spans="1:10">
      <c r="A25" s="33" t="s">
        <v>159</v>
      </c>
      <c r="B25" s="33" t="s">
        <v>168</v>
      </c>
      <c r="C25" s="33">
        <v>15</v>
      </c>
      <c r="D25" s="37">
        <v>30000</v>
      </c>
      <c r="E25" s="1">
        <v>45200</v>
      </c>
      <c r="F25" s="1">
        <v>45626</v>
      </c>
      <c r="G25" s="42" t="str">
        <f t="shared" si="0"/>
        <v>35,000천원</v>
      </c>
      <c r="H25" s="38">
        <f t="shared" si="1"/>
        <v>30000</v>
      </c>
      <c r="I25" s="38" cm="1">
        <f t="array" ref="I25">fn연소득(B25,C25,D25)</f>
        <v>30000</v>
      </c>
      <c r="J25" s="35"/>
    </row>
    <row r="26" spans="1:10">
      <c r="A26" s="33" t="s">
        <v>166</v>
      </c>
      <c r="B26" s="33" t="s">
        <v>164</v>
      </c>
      <c r="C26" s="33">
        <v>8</v>
      </c>
      <c r="D26" s="37">
        <v>28000</v>
      </c>
      <c r="E26" s="1">
        <v>45047</v>
      </c>
      <c r="F26" s="1">
        <v>45777</v>
      </c>
      <c r="G26" s="42" t="str">
        <f t="shared" si="0"/>
        <v>56,000천원</v>
      </c>
      <c r="H26" s="38">
        <f t="shared" si="1"/>
        <v>28000</v>
      </c>
      <c r="I26" s="38" cm="1">
        <f t="array" ref="I26">fn연소득(B26,C26,D26)</f>
        <v>28000</v>
      </c>
      <c r="J26" s="35"/>
    </row>
    <row r="27" spans="1:10">
      <c r="A27" s="2"/>
      <c r="B27" s="2"/>
      <c r="C27" s="2"/>
      <c r="D27" s="2"/>
      <c r="E27" s="2"/>
      <c r="F27" s="2"/>
      <c r="G27" s="2"/>
      <c r="H27" s="2"/>
      <c r="I27" s="2"/>
      <c r="J27" s="35"/>
    </row>
    <row r="28" spans="1:10">
      <c r="A28" s="44" t="s">
        <v>175</v>
      </c>
      <c r="B28" s="2" t="s">
        <v>176</v>
      </c>
      <c r="C28" s="2" t="s">
        <v>177</v>
      </c>
      <c r="D28" s="2"/>
      <c r="E28" s="2"/>
      <c r="F28" s="2" t="s">
        <v>178</v>
      </c>
      <c r="G28" s="2"/>
      <c r="H28" s="2"/>
      <c r="I28" s="2"/>
      <c r="J28" s="35"/>
    </row>
    <row r="29" spans="1:10">
      <c r="A29" s="41" t="s">
        <v>141</v>
      </c>
      <c r="B29" s="36" t="s">
        <v>179</v>
      </c>
      <c r="C29" s="33" t="s">
        <v>141</v>
      </c>
      <c r="D29" s="36" t="s">
        <v>180</v>
      </c>
      <c r="E29" s="36" t="s">
        <v>138</v>
      </c>
      <c r="F29" s="45" t="s">
        <v>155</v>
      </c>
      <c r="G29" s="45"/>
      <c r="H29" s="45" t="s">
        <v>144</v>
      </c>
      <c r="I29" s="45"/>
      <c r="J29" s="35"/>
    </row>
    <row r="30" spans="1:10">
      <c r="A30" s="33" t="s">
        <v>181</v>
      </c>
      <c r="B30" s="43">
        <f t="array" ref="B30">AVERAGE(IF((LEFT($A$3:$A$26,2)&lt;&gt;"서울")*($B$3:$B$26=A30),$D$3:$D$26))</f>
        <v>82500</v>
      </c>
      <c r="C30" s="33" t="s">
        <v>155</v>
      </c>
      <c r="D30" s="43">
        <f t="array" ref="D30">INDEX(C$3:C$26,MATCH(MAX(($B$3:$B$26=$C30)*C$3:C$26),($B$3:$B$26=$C30)*C$3:C$26,0))</f>
        <v>293</v>
      </c>
      <c r="E30" s="43">
        <f t="array" ref="E30">INDEX(D$3:D$26,MATCH(MAX(($B$3:$B$26=$C30)*D$3:D$26),($B$3:$B$26=$C30)*D$3:D$26,0))</f>
        <v>85000</v>
      </c>
      <c r="F30" s="39" t="s">
        <v>180</v>
      </c>
      <c r="G30" s="39" t="s">
        <v>182</v>
      </c>
      <c r="H30" s="39" t="s">
        <v>142</v>
      </c>
      <c r="I30" s="39" t="s">
        <v>145</v>
      </c>
      <c r="J30" s="35"/>
    </row>
    <row r="31" spans="1:10">
      <c r="A31" s="33" t="s">
        <v>157</v>
      </c>
      <c r="B31" s="43">
        <f t="array" ref="B31">AVERAGE(IF((LEFT($A$3:$A$26,2)&lt;&gt;"서울")*($B$3:$B$26=A31),$D$3:$D$26))</f>
        <v>55500</v>
      </c>
      <c r="C31" s="33" t="s">
        <v>157</v>
      </c>
      <c r="D31" s="43">
        <f t="array" ref="D31">INDEX(C$3:C$26,MATCH(MAX(($B$3:$B$26=$C31)*C$3:C$26),($B$3:$B$26=$C31)*C$3:C$26,0))</f>
        <v>55</v>
      </c>
      <c r="E31" s="43">
        <f t="array" ref="E31">INDEX(D$3:D$26,MATCH(MAX(($B$3:$B$26=$C31)*D$3:D$26),($B$3:$B$26=$C31)*D$3:D$26,0))</f>
        <v>57000</v>
      </c>
      <c r="F31" s="39">
        <v>0</v>
      </c>
      <c r="G31" s="40">
        <v>0</v>
      </c>
      <c r="H31" s="39">
        <v>0</v>
      </c>
      <c r="I31" s="40">
        <v>0</v>
      </c>
      <c r="J31" s="35"/>
    </row>
    <row r="32" spans="1:10">
      <c r="A32" s="33" t="s">
        <v>161</v>
      </c>
      <c r="B32" s="43">
        <f t="array" ref="B32">AVERAGE(IF((LEFT($A$3:$A$26,2)&lt;&gt;"서울")*($B$3:$B$26=A32),$D$3:$D$26))</f>
        <v>40250</v>
      </c>
      <c r="C32" s="33" t="s">
        <v>161</v>
      </c>
      <c r="D32" s="43">
        <f t="array" ref="D32">INDEX(C$3:C$26,MATCH(MAX(($B$3:$B$26=$C32)*C$3:C$26),($B$3:$B$26=$C32)*C$3:C$26,0))</f>
        <v>33</v>
      </c>
      <c r="E32" s="43">
        <f t="array" ref="E32">INDEX(D$3:D$26,MATCH(MAX(($B$3:$B$26=$C32)*D$3:D$26),($B$3:$B$26=$C32)*D$3:D$26,0))</f>
        <v>43000</v>
      </c>
      <c r="F32" s="39">
        <v>100</v>
      </c>
      <c r="G32" s="40">
        <v>0.05</v>
      </c>
      <c r="H32" s="39">
        <v>20</v>
      </c>
      <c r="I32" s="40">
        <v>0.05</v>
      </c>
      <c r="J32" s="35"/>
    </row>
    <row r="33" spans="1:10">
      <c r="A33" s="33" t="s">
        <v>168</v>
      </c>
      <c r="B33" s="43">
        <f t="array" ref="B33">AVERAGE(IF((LEFT($A$3:$A$26,2)&lt;&gt;"서울")*($B$3:$B$26=A33),$D$3:$D$26))</f>
        <v>30000</v>
      </c>
      <c r="C33" s="33" t="s">
        <v>168</v>
      </c>
      <c r="D33" s="43">
        <f t="array" ref="D33">INDEX(C$3:C$26,MATCH(MAX(($B$3:$B$26=$C33)*C$3:C$26),($B$3:$B$26=$C33)*C$3:C$26,0))</f>
        <v>21</v>
      </c>
      <c r="E33" s="43">
        <f t="array" ref="E33">INDEX(D$3:D$26,MATCH(MAX(($B$3:$B$26=$C33)*D$3:D$26),($B$3:$B$26=$C33)*D$3:D$26,0))</f>
        <v>32000</v>
      </c>
      <c r="F33" s="39">
        <v>200</v>
      </c>
      <c r="G33" s="40">
        <v>0.1</v>
      </c>
      <c r="H33" s="39">
        <v>40</v>
      </c>
      <c r="I33" s="40">
        <v>0.1</v>
      </c>
      <c r="J33" s="35"/>
    </row>
    <row r="34" spans="1:10">
      <c r="A34" s="35"/>
      <c r="B34" s="35"/>
      <c r="C34" s="35"/>
      <c r="D34" s="35"/>
      <c r="E34" s="35"/>
      <c r="F34" s="39">
        <v>300</v>
      </c>
      <c r="G34" s="40">
        <v>0.15</v>
      </c>
      <c r="H34" s="39">
        <v>60</v>
      </c>
      <c r="I34" s="40">
        <v>0.15</v>
      </c>
      <c r="J34" s="35"/>
    </row>
  </sheetData>
  <mergeCells count="2">
    <mergeCell ref="F29:G29"/>
    <mergeCell ref="H29:I2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86263-6FF5-41A0-8469-57EF116B00DF}">
  <sheetPr codeName="Sheet3"/>
  <dimension ref="A1:J5"/>
  <sheetViews>
    <sheetView workbookViewId="0"/>
  </sheetViews>
  <sheetFormatPr defaultRowHeight="16.5"/>
  <cols>
    <col min="1" max="10" width="10.875" customWidth="1"/>
  </cols>
  <sheetData>
    <row r="1" spans="1:10">
      <c r="A1" t="s">
        <v>183</v>
      </c>
    </row>
    <row r="3" spans="1:10">
      <c r="A3" t="s">
        <v>117</v>
      </c>
      <c r="B3" t="s">
        <v>118</v>
      </c>
      <c r="C3" t="s">
        <v>119</v>
      </c>
      <c r="D3" t="s">
        <v>120</v>
      </c>
      <c r="E3" t="s">
        <v>121</v>
      </c>
      <c r="F3" t="s">
        <v>122</v>
      </c>
      <c r="G3" t="s">
        <v>123</v>
      </c>
      <c r="H3" t="s">
        <v>124</v>
      </c>
      <c r="I3" t="s">
        <v>126</v>
      </c>
      <c r="J3" t="s">
        <v>125</v>
      </c>
    </row>
    <row r="4" spans="1:10">
      <c r="A4" t="s">
        <v>131</v>
      </c>
      <c r="B4" t="s">
        <v>12</v>
      </c>
      <c r="C4" s="30">
        <v>42328</v>
      </c>
      <c r="D4">
        <v>1023</v>
      </c>
      <c r="E4">
        <v>60800</v>
      </c>
      <c r="F4" t="s">
        <v>132</v>
      </c>
      <c r="G4" t="s">
        <v>133</v>
      </c>
      <c r="H4" t="s">
        <v>130</v>
      </c>
      <c r="I4" t="s">
        <v>18</v>
      </c>
      <c r="J4">
        <v>11</v>
      </c>
    </row>
    <row r="5" spans="1:10">
      <c r="A5" t="s">
        <v>127</v>
      </c>
      <c r="B5" t="s">
        <v>12</v>
      </c>
      <c r="C5" s="30">
        <v>44136</v>
      </c>
      <c r="D5">
        <v>945</v>
      </c>
      <c r="E5">
        <v>48950</v>
      </c>
      <c r="F5" t="s">
        <v>128</v>
      </c>
      <c r="G5" t="s">
        <v>129</v>
      </c>
      <c r="H5" t="s">
        <v>130</v>
      </c>
      <c r="I5" t="s">
        <v>18</v>
      </c>
      <c r="J5">
        <v>11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H15"/>
  <sheetViews>
    <sheetView workbookViewId="0">
      <selection activeCell="F13" sqref="F13"/>
    </sheetView>
  </sheetViews>
  <sheetFormatPr defaultRowHeight="16.5"/>
  <cols>
    <col min="1" max="1" width="11.875" bestFit="1" customWidth="1"/>
    <col min="2" max="2" width="11.25" bestFit="1" customWidth="1"/>
    <col min="3" max="8" width="16.625" bestFit="1" customWidth="1"/>
    <col min="9" max="9" width="21.5" bestFit="1" customWidth="1"/>
    <col min="10" max="10" width="19.375" bestFit="1" customWidth="1"/>
    <col min="11" max="11" width="21.5" bestFit="1" customWidth="1"/>
    <col min="12" max="12" width="19.375" bestFit="1" customWidth="1"/>
  </cols>
  <sheetData>
    <row r="2" spans="1:8">
      <c r="A2" s="6" t="s">
        <v>26</v>
      </c>
      <c r="B2" s="3" t="s" vm="1">
        <v>17</v>
      </c>
    </row>
    <row r="4" spans="1:8">
      <c r="C4" s="6" t="s">
        <v>27</v>
      </c>
      <c r="D4" s="6" t="s">
        <v>28</v>
      </c>
    </row>
    <row r="5" spans="1:8">
      <c r="C5" s="3" t="s">
        <v>11</v>
      </c>
      <c r="E5" s="3" t="s">
        <v>12</v>
      </c>
      <c r="G5" s="3" t="s">
        <v>13</v>
      </c>
    </row>
    <row r="6" spans="1:8">
      <c r="A6" s="6" t="s">
        <v>29</v>
      </c>
      <c r="B6" s="6" t="s">
        <v>30</v>
      </c>
      <c r="C6" s="3" t="s">
        <v>16</v>
      </c>
      <c r="D6" s="3" t="s">
        <v>15</v>
      </c>
      <c r="E6" s="3" t="s">
        <v>16</v>
      </c>
      <c r="F6" s="3" t="s">
        <v>15</v>
      </c>
      <c r="G6" s="3" t="s">
        <v>16</v>
      </c>
      <c r="H6" s="3" t="s">
        <v>15</v>
      </c>
    </row>
    <row r="7" spans="1:8">
      <c r="A7" s="3" t="s">
        <v>23</v>
      </c>
      <c r="C7" s="29">
        <v>1895</v>
      </c>
      <c r="D7" s="29">
        <v>110800</v>
      </c>
      <c r="E7" s="29">
        <v>589</v>
      </c>
      <c r="F7" s="29">
        <v>58700</v>
      </c>
      <c r="G7" s="29"/>
      <c r="H7" s="29"/>
    </row>
    <row r="8" spans="1:8">
      <c r="A8" s="3" t="s">
        <v>24</v>
      </c>
      <c r="C8" s="29"/>
      <c r="D8" s="29"/>
      <c r="E8" s="29">
        <v>650</v>
      </c>
      <c r="F8" s="29">
        <v>78500</v>
      </c>
      <c r="G8" s="29">
        <v>1587</v>
      </c>
      <c r="H8" s="29">
        <v>157800</v>
      </c>
    </row>
    <row r="9" spans="1:8">
      <c r="A9" s="3" t="s">
        <v>20</v>
      </c>
      <c r="C9" s="29"/>
      <c r="D9" s="29"/>
      <c r="E9" s="29"/>
      <c r="F9" s="29"/>
      <c r="G9" s="29">
        <v>885</v>
      </c>
      <c r="H9" s="29">
        <v>71500</v>
      </c>
    </row>
    <row r="10" spans="1:8">
      <c r="A10" s="3" t="s">
        <v>25</v>
      </c>
      <c r="C10" s="29">
        <v>2335</v>
      </c>
      <c r="D10" s="29">
        <v>125300</v>
      </c>
      <c r="E10" s="29"/>
      <c r="F10" s="29"/>
      <c r="G10" s="29"/>
      <c r="H10" s="29"/>
    </row>
    <row r="11" spans="1:8">
      <c r="A11" s="3" t="s">
        <v>21</v>
      </c>
      <c r="C11" s="29"/>
      <c r="D11" s="29"/>
      <c r="E11" s="29">
        <v>1277</v>
      </c>
      <c r="F11" s="29">
        <v>96300</v>
      </c>
      <c r="G11" s="29"/>
      <c r="H11" s="29"/>
    </row>
    <row r="12" spans="1:8">
      <c r="A12" s="3" t="s">
        <v>22</v>
      </c>
      <c r="C12" s="29">
        <v>2614</v>
      </c>
      <c r="D12" s="29">
        <v>208870</v>
      </c>
      <c r="E12" s="29"/>
      <c r="F12" s="29"/>
      <c r="G12" s="29"/>
      <c r="H12" s="29"/>
    </row>
    <row r="13" spans="1:8">
      <c r="A13" s="3" t="s">
        <v>18</v>
      </c>
      <c r="C13" s="29"/>
      <c r="D13" s="29"/>
      <c r="E13" s="29">
        <v>1968</v>
      </c>
      <c r="F13" s="29">
        <v>109750</v>
      </c>
      <c r="G13" s="29"/>
      <c r="H13" s="29"/>
    </row>
    <row r="14" spans="1:8">
      <c r="A14" s="3" t="s">
        <v>19</v>
      </c>
      <c r="C14" s="29"/>
      <c r="D14" s="29"/>
      <c r="E14" s="29"/>
      <c r="F14" s="29"/>
      <c r="G14" s="29">
        <v>953</v>
      </c>
      <c r="H14" s="29">
        <v>87600</v>
      </c>
    </row>
    <row r="15" spans="1:8">
      <c r="A15" s="3" t="s">
        <v>14</v>
      </c>
      <c r="C15" s="29">
        <v>6844</v>
      </c>
      <c r="D15" s="29">
        <v>444970</v>
      </c>
      <c r="E15" s="29">
        <v>4484</v>
      </c>
      <c r="F15" s="29">
        <v>343250</v>
      </c>
      <c r="G15" s="29">
        <v>3425</v>
      </c>
      <c r="H15" s="29">
        <v>316900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2"/>
  <sheetViews>
    <sheetView workbookViewId="0">
      <selection activeCell="E21" sqref="E21:J30"/>
    </sheetView>
  </sheetViews>
  <sheetFormatPr defaultRowHeight="16.5"/>
  <cols>
    <col min="1" max="1" width="12.375" customWidth="1"/>
    <col min="4" max="4" width="9.375" customWidth="1"/>
  </cols>
  <sheetData>
    <row r="1" spans="1:6">
      <c r="A1" t="s">
        <v>31</v>
      </c>
    </row>
    <row r="2" spans="1:6">
      <c r="A2" s="8" t="s">
        <v>32</v>
      </c>
      <c r="B2" s="8" t="s">
        <v>33</v>
      </c>
      <c r="C2" s="8" t="s">
        <v>34</v>
      </c>
      <c r="D2" s="8" t="s">
        <v>51</v>
      </c>
      <c r="E2" s="8" t="s">
        <v>35</v>
      </c>
      <c r="F2" s="8" t="s">
        <v>10</v>
      </c>
    </row>
    <row r="3" spans="1:6">
      <c r="A3" s="7">
        <v>202213056</v>
      </c>
      <c r="B3" s="7" t="s">
        <v>36</v>
      </c>
      <c r="C3" s="9">
        <v>0.25</v>
      </c>
      <c r="D3" s="9">
        <v>0.32</v>
      </c>
      <c r="E3" s="9">
        <v>0.25</v>
      </c>
      <c r="F3" s="9">
        <v>0.18</v>
      </c>
    </row>
    <row r="4" spans="1:6">
      <c r="A4" s="7">
        <v>202309060</v>
      </c>
      <c r="B4" s="7" t="s">
        <v>37</v>
      </c>
      <c r="C4" s="9">
        <v>0.2</v>
      </c>
      <c r="D4" s="9">
        <v>0.37</v>
      </c>
      <c r="E4" s="9">
        <v>0.23</v>
      </c>
      <c r="F4" s="9">
        <v>0.2</v>
      </c>
    </row>
    <row r="5" spans="1:6">
      <c r="A5" s="7">
        <v>202121010</v>
      </c>
      <c r="B5" s="7" t="s">
        <v>38</v>
      </c>
      <c r="C5" s="9">
        <v>0.15</v>
      </c>
      <c r="D5" s="9">
        <v>0.39</v>
      </c>
      <c r="E5" s="9">
        <v>0.25</v>
      </c>
      <c r="F5" s="9">
        <v>0.21</v>
      </c>
    </row>
    <row r="6" spans="1:6">
      <c r="A6" s="7">
        <v>202118036</v>
      </c>
      <c r="B6" s="7" t="s">
        <v>39</v>
      </c>
      <c r="C6" s="9">
        <v>0.18</v>
      </c>
      <c r="D6" s="9">
        <v>0.41</v>
      </c>
      <c r="E6" s="9">
        <v>0.21</v>
      </c>
      <c r="F6" s="9">
        <v>0.2</v>
      </c>
    </row>
    <row r="7" spans="1:6">
      <c r="A7" s="7">
        <v>202415093</v>
      </c>
      <c r="B7" s="7" t="s">
        <v>40</v>
      </c>
      <c r="C7" s="9">
        <v>0.19</v>
      </c>
      <c r="D7" s="9">
        <v>0.39</v>
      </c>
      <c r="E7" s="9">
        <v>0.22</v>
      </c>
      <c r="F7" s="9">
        <v>0.2</v>
      </c>
    </row>
    <row r="8" spans="1:6">
      <c r="A8" s="7">
        <v>202214036</v>
      </c>
      <c r="B8" s="7" t="s">
        <v>41</v>
      </c>
      <c r="C8" s="9">
        <v>0.23</v>
      </c>
      <c r="D8" s="9">
        <v>0.36</v>
      </c>
      <c r="E8" s="9">
        <v>0.23</v>
      </c>
      <c r="F8" s="9">
        <v>0.18</v>
      </c>
    </row>
    <row r="9" spans="1:6">
      <c r="A9" s="7">
        <v>202330056</v>
      </c>
      <c r="B9" s="7" t="s">
        <v>42</v>
      </c>
      <c r="C9" s="9">
        <v>0.22</v>
      </c>
      <c r="D9" s="9">
        <v>0.38</v>
      </c>
      <c r="E9" s="9">
        <v>0.24</v>
      </c>
      <c r="F9" s="9">
        <v>0.16</v>
      </c>
    </row>
    <row r="10" spans="1:6">
      <c r="A10" s="7">
        <v>202309025</v>
      </c>
      <c r="B10" s="7" t="s">
        <v>43</v>
      </c>
      <c r="C10" s="9">
        <v>0.17</v>
      </c>
      <c r="D10" s="9">
        <v>0.42</v>
      </c>
      <c r="E10" s="9">
        <v>0.25</v>
      </c>
      <c r="F10" s="9">
        <v>0.16</v>
      </c>
    </row>
    <row r="11" spans="1:6">
      <c r="A11" s="7">
        <v>202406050</v>
      </c>
      <c r="B11" s="7" t="s">
        <v>44</v>
      </c>
      <c r="C11" s="9">
        <v>0.16</v>
      </c>
      <c r="D11" s="9">
        <v>0.45</v>
      </c>
      <c r="E11" s="9">
        <v>0.23</v>
      </c>
      <c r="F11" s="9">
        <v>0.16</v>
      </c>
    </row>
    <row r="12" spans="1:6">
      <c r="A12" s="7">
        <v>202118046</v>
      </c>
      <c r="B12" s="7" t="s">
        <v>45</v>
      </c>
      <c r="C12" s="9">
        <v>0.21</v>
      </c>
      <c r="D12" s="9">
        <v>0.35</v>
      </c>
      <c r="E12" s="9">
        <v>0.24</v>
      </c>
      <c r="F12" s="9">
        <v>0.2</v>
      </c>
    </row>
    <row r="13" spans="1:6">
      <c r="A13" s="7">
        <v>202415058</v>
      </c>
      <c r="B13" s="7" t="s">
        <v>46</v>
      </c>
      <c r="C13" s="9">
        <v>0.22</v>
      </c>
      <c r="D13" s="9">
        <v>0.4</v>
      </c>
      <c r="E13" s="9">
        <v>0.2</v>
      </c>
      <c r="F13" s="9">
        <v>0.18</v>
      </c>
    </row>
    <row r="14" spans="1:6">
      <c r="A14" s="7">
        <v>202415087</v>
      </c>
      <c r="B14" s="7" t="s">
        <v>47</v>
      </c>
      <c r="C14" s="9">
        <v>0.24</v>
      </c>
      <c r="D14" s="9">
        <v>0.35</v>
      </c>
      <c r="E14" s="9">
        <v>0.21</v>
      </c>
      <c r="F14" s="9">
        <v>0.2</v>
      </c>
    </row>
    <row r="15" spans="1:6">
      <c r="A15" s="7">
        <v>202202375</v>
      </c>
      <c r="B15" s="7" t="s">
        <v>48</v>
      </c>
      <c r="C15" s="9">
        <v>0.16</v>
      </c>
      <c r="D15" s="9">
        <v>0.42</v>
      </c>
      <c r="E15" s="9">
        <v>0.22</v>
      </c>
      <c r="F15" s="9">
        <v>0.2</v>
      </c>
    </row>
    <row r="16" spans="1:6">
      <c r="A16" s="7">
        <v>202415065</v>
      </c>
      <c r="B16" s="7" t="s">
        <v>49</v>
      </c>
      <c r="C16" s="9">
        <v>0.19</v>
      </c>
      <c r="D16" s="9">
        <v>0.38</v>
      </c>
      <c r="E16" s="9">
        <v>0.23</v>
      </c>
      <c r="F16" s="9">
        <v>0.2</v>
      </c>
    </row>
    <row r="17" spans="1:10">
      <c r="A17" s="7">
        <v>202320030</v>
      </c>
      <c r="B17" s="7" t="s">
        <v>50</v>
      </c>
      <c r="C17" s="9">
        <v>0.21</v>
      </c>
      <c r="D17" s="9">
        <v>0.43</v>
      </c>
      <c r="E17" s="9">
        <v>0.2</v>
      </c>
      <c r="F17" s="9">
        <v>0.16</v>
      </c>
    </row>
    <row r="19" spans="1:10">
      <c r="A19" t="s">
        <v>52</v>
      </c>
      <c r="B19" s="10"/>
      <c r="C19" s="10"/>
      <c r="D19" s="11"/>
      <c r="E19" s="11"/>
      <c r="F19" s="11"/>
      <c r="G19" s="11"/>
      <c r="H19" s="11"/>
      <c r="I19" s="11"/>
      <c r="J19" s="11"/>
    </row>
    <row r="20" spans="1:10">
      <c r="A20" s="10" t="s">
        <v>53</v>
      </c>
      <c r="B20" s="10"/>
      <c r="C20" s="10"/>
      <c r="D20" s="12"/>
      <c r="E20" s="13"/>
      <c r="F20" s="46" t="s">
        <v>56</v>
      </c>
      <c r="G20" s="46"/>
      <c r="H20" s="46"/>
      <c r="I20" s="46"/>
      <c r="J20" s="46"/>
    </row>
    <row r="21" spans="1:10">
      <c r="A21" s="16" t="s">
        <v>54</v>
      </c>
      <c r="B21" s="18">
        <v>30</v>
      </c>
      <c r="C21" s="10"/>
      <c r="D21" s="14"/>
      <c r="E21" s="21">
        <f>B30</f>
        <v>16750</v>
      </c>
      <c r="F21" s="15">
        <v>10</v>
      </c>
      <c r="G21" s="15">
        <v>20</v>
      </c>
      <c r="H21" s="15">
        <v>30</v>
      </c>
      <c r="I21" s="15">
        <v>40</v>
      </c>
      <c r="J21" s="15">
        <v>50</v>
      </c>
    </row>
    <row r="22" spans="1:10">
      <c r="A22" s="16" t="s">
        <v>55</v>
      </c>
      <c r="B22" s="18">
        <v>1500</v>
      </c>
      <c r="C22" s="10"/>
      <c r="D22" s="47" t="s">
        <v>58</v>
      </c>
      <c r="E22" s="17">
        <v>1200</v>
      </c>
      <c r="F22" s="17">
        <f t="dataTable" ref="F22:J30" dt2D="1" dtr="1" r1="B21" r2="B22"/>
        <v>-1400</v>
      </c>
      <c r="G22" s="17">
        <v>5200</v>
      </c>
      <c r="H22" s="17">
        <v>11800</v>
      </c>
      <c r="I22" s="17">
        <v>18400</v>
      </c>
      <c r="J22" s="17">
        <v>25000</v>
      </c>
    </row>
    <row r="23" spans="1:10">
      <c r="A23" s="16" t="s">
        <v>57</v>
      </c>
      <c r="B23" s="19">
        <f>B21*B22</f>
        <v>45000</v>
      </c>
      <c r="C23" s="10"/>
      <c r="D23" s="48"/>
      <c r="E23" s="17">
        <v>1300</v>
      </c>
      <c r="F23" s="17">
        <v>-850</v>
      </c>
      <c r="G23" s="17">
        <v>6300</v>
      </c>
      <c r="H23" s="17">
        <v>13450</v>
      </c>
      <c r="I23" s="17">
        <v>20600</v>
      </c>
      <c r="J23" s="17">
        <v>27750</v>
      </c>
    </row>
    <row r="24" spans="1:10">
      <c r="A24" s="10"/>
      <c r="B24" s="20"/>
      <c r="C24" s="10"/>
      <c r="D24" s="48"/>
      <c r="E24" s="17">
        <v>1400</v>
      </c>
      <c r="F24" s="17">
        <v>-300</v>
      </c>
      <c r="G24" s="17">
        <v>7400</v>
      </c>
      <c r="H24" s="17">
        <v>15100</v>
      </c>
      <c r="I24" s="17">
        <v>22800</v>
      </c>
      <c r="J24" s="17">
        <v>30500</v>
      </c>
    </row>
    <row r="25" spans="1:10">
      <c r="A25" s="16" t="s">
        <v>59</v>
      </c>
      <c r="B25" s="18">
        <f>B21*B22*45%</f>
        <v>20250</v>
      </c>
      <c r="C25" s="10"/>
      <c r="D25" s="48"/>
      <c r="E25" s="17">
        <v>1500</v>
      </c>
      <c r="F25" s="17">
        <v>250</v>
      </c>
      <c r="G25" s="17">
        <v>8500</v>
      </c>
      <c r="H25" s="17">
        <v>16750</v>
      </c>
      <c r="I25" s="17">
        <v>25000</v>
      </c>
      <c r="J25" s="17">
        <v>33250</v>
      </c>
    </row>
    <row r="26" spans="1:10">
      <c r="A26" s="16" t="s">
        <v>60</v>
      </c>
      <c r="B26" s="18">
        <f>B23-B25</f>
        <v>24750</v>
      </c>
      <c r="C26" s="10"/>
      <c r="D26" s="48"/>
      <c r="E26" s="17">
        <v>1600</v>
      </c>
      <c r="F26" s="17">
        <v>800</v>
      </c>
      <c r="G26" s="17">
        <v>9600</v>
      </c>
      <c r="H26" s="17">
        <v>18400</v>
      </c>
      <c r="I26" s="17">
        <v>27200</v>
      </c>
      <c r="J26" s="17">
        <v>36000</v>
      </c>
    </row>
    <row r="27" spans="1:10">
      <c r="A27" s="10"/>
      <c r="B27" s="20"/>
      <c r="C27" s="10"/>
      <c r="D27" s="48"/>
      <c r="E27" s="17">
        <v>1700</v>
      </c>
      <c r="F27" s="17">
        <v>1350</v>
      </c>
      <c r="G27" s="17">
        <v>10700</v>
      </c>
      <c r="H27" s="17">
        <v>20050</v>
      </c>
      <c r="I27" s="17">
        <v>29400</v>
      </c>
      <c r="J27" s="17">
        <v>38750</v>
      </c>
    </row>
    <row r="28" spans="1:10">
      <c r="A28" s="16" t="s">
        <v>61</v>
      </c>
      <c r="B28" s="18">
        <v>5000</v>
      </c>
      <c r="C28" s="10"/>
      <c r="D28" s="48"/>
      <c r="E28" s="17">
        <v>1800</v>
      </c>
      <c r="F28" s="17">
        <v>1900</v>
      </c>
      <c r="G28" s="17">
        <v>11800</v>
      </c>
      <c r="H28" s="17">
        <v>21700</v>
      </c>
      <c r="I28" s="17">
        <v>31600</v>
      </c>
      <c r="J28" s="17">
        <v>41500</v>
      </c>
    </row>
    <row r="29" spans="1:10">
      <c r="A29" s="16" t="s">
        <v>62</v>
      </c>
      <c r="B29" s="18">
        <v>3000</v>
      </c>
      <c r="C29" s="10"/>
      <c r="D29" s="48"/>
      <c r="E29" s="17">
        <v>1900</v>
      </c>
      <c r="F29" s="17">
        <v>2450</v>
      </c>
      <c r="G29" s="17">
        <v>12900</v>
      </c>
      <c r="H29" s="17">
        <v>23350</v>
      </c>
      <c r="I29" s="17">
        <v>33800</v>
      </c>
      <c r="J29" s="17">
        <v>44250</v>
      </c>
    </row>
    <row r="30" spans="1:10">
      <c r="A30" s="16" t="s">
        <v>63</v>
      </c>
      <c r="B30" s="18">
        <f>B26-B28-B29</f>
        <v>16750</v>
      </c>
      <c r="C30" s="10"/>
      <c r="D30" s="48"/>
      <c r="E30" s="17">
        <v>2000</v>
      </c>
      <c r="F30" s="17">
        <v>3000</v>
      </c>
      <c r="G30" s="17">
        <v>14000</v>
      </c>
      <c r="H30" s="17">
        <v>25000</v>
      </c>
      <c r="I30" s="17">
        <v>36000</v>
      </c>
      <c r="J30" s="17">
        <v>47000</v>
      </c>
    </row>
    <row r="31" spans="1:10">
      <c r="A31" s="11"/>
      <c r="B31" s="11"/>
      <c r="C31" s="11"/>
    </row>
    <row r="32" spans="1:10">
      <c r="A32" s="11"/>
      <c r="B32" s="11"/>
      <c r="C32" s="11"/>
    </row>
  </sheetData>
  <mergeCells count="2">
    <mergeCell ref="F20:J20"/>
    <mergeCell ref="D22:D30"/>
  </mergeCells>
  <phoneticPr fontId="1" type="noConversion"/>
  <dataValidations count="1">
    <dataValidation type="custom" allowBlank="1" showInputMessage="1" showErrorMessage="1" sqref="C3:F17" xr:uid="{00000000-0002-0000-0500-000000000000}">
      <formula1>SUM($C3:$F3)=100%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H12"/>
  <sheetViews>
    <sheetView workbookViewId="0">
      <selection activeCell="J22" sqref="J22"/>
    </sheetView>
  </sheetViews>
  <sheetFormatPr defaultRowHeight="16.5"/>
  <cols>
    <col min="3" max="3" width="25.625" bestFit="1" customWidth="1"/>
    <col min="4" max="4" width="9.875" bestFit="1" customWidth="1"/>
    <col min="7" max="7" width="14.625" customWidth="1"/>
  </cols>
  <sheetData>
    <row r="1" spans="2:8" s="3" customFormat="1"/>
    <row r="2" spans="2:8">
      <c r="B2" t="s">
        <v>114</v>
      </c>
    </row>
    <row r="3" spans="2:8">
      <c r="B3" s="4" t="s">
        <v>64</v>
      </c>
      <c r="C3" s="4" t="s">
        <v>65</v>
      </c>
      <c r="D3" s="5" t="s">
        <v>66</v>
      </c>
      <c r="E3" s="5" t="s">
        <v>67</v>
      </c>
      <c r="F3" s="5" t="s">
        <v>68</v>
      </c>
      <c r="G3" s="5" t="s">
        <v>115</v>
      </c>
      <c r="H3" s="5" t="s">
        <v>70</v>
      </c>
    </row>
    <row r="4" spans="2:8">
      <c r="B4" s="4" t="s">
        <v>72</v>
      </c>
      <c r="C4" s="4" t="s">
        <v>73</v>
      </c>
      <c r="D4" s="22">
        <v>0.83333333333333337</v>
      </c>
      <c r="E4" s="22" t="s">
        <v>74</v>
      </c>
      <c r="F4" s="23" t="s">
        <v>75</v>
      </c>
      <c r="G4" s="24">
        <v>3525</v>
      </c>
      <c r="H4" s="24">
        <v>1822</v>
      </c>
    </row>
    <row r="5" spans="2:8">
      <c r="B5" s="4" t="s">
        <v>76</v>
      </c>
      <c r="C5" s="4" t="s">
        <v>77</v>
      </c>
      <c r="D5" s="22">
        <v>0.875</v>
      </c>
      <c r="E5" s="22" t="s">
        <v>78</v>
      </c>
      <c r="F5" s="23" t="s">
        <v>79</v>
      </c>
      <c r="G5" s="24">
        <v>1298</v>
      </c>
      <c r="H5" s="24">
        <v>4456</v>
      </c>
    </row>
    <row r="6" spans="2:8">
      <c r="B6" s="4" t="s">
        <v>80</v>
      </c>
      <c r="C6" s="4" t="s">
        <v>81</v>
      </c>
      <c r="D6" s="22">
        <v>0.36805555555555558</v>
      </c>
      <c r="E6" s="22" t="s">
        <v>82</v>
      </c>
      <c r="F6" s="23" t="s">
        <v>83</v>
      </c>
      <c r="G6" s="24">
        <v>1149</v>
      </c>
      <c r="H6" s="24">
        <v>250</v>
      </c>
    </row>
    <row r="7" spans="2:8">
      <c r="B7" s="4" t="s">
        <v>84</v>
      </c>
      <c r="C7" s="4" t="s">
        <v>85</v>
      </c>
      <c r="D7" s="22">
        <v>0.91666666666666663</v>
      </c>
      <c r="E7" s="22" t="s">
        <v>86</v>
      </c>
      <c r="F7" s="23" t="s">
        <v>75</v>
      </c>
      <c r="G7" s="24">
        <v>3000</v>
      </c>
      <c r="H7" s="24">
        <v>2344</v>
      </c>
    </row>
    <row r="8" spans="2:8">
      <c r="B8" s="4" t="s">
        <v>87</v>
      </c>
      <c r="C8" s="4" t="s">
        <v>88</v>
      </c>
      <c r="D8" s="22">
        <v>0.95833333333333337</v>
      </c>
      <c r="E8" s="22" t="s">
        <v>89</v>
      </c>
      <c r="F8" s="23" t="s">
        <v>90</v>
      </c>
      <c r="G8" s="24">
        <v>4580</v>
      </c>
      <c r="H8" s="24">
        <v>854</v>
      </c>
    </row>
    <row r="9" spans="2:8">
      <c r="B9" s="4" t="s">
        <v>95</v>
      </c>
      <c r="C9" s="4" t="s">
        <v>96</v>
      </c>
      <c r="D9" s="22">
        <v>0.41666666666666669</v>
      </c>
      <c r="E9" s="22" t="s">
        <v>97</v>
      </c>
      <c r="F9" s="23" t="s">
        <v>79</v>
      </c>
      <c r="G9" s="24">
        <v>1598</v>
      </c>
      <c r="H9" s="24">
        <v>3012</v>
      </c>
    </row>
    <row r="10" spans="2:8">
      <c r="B10" s="4" t="s">
        <v>98</v>
      </c>
      <c r="C10" s="4" t="s">
        <v>99</v>
      </c>
      <c r="D10" s="22">
        <v>0.53125</v>
      </c>
      <c r="E10" s="22" t="s">
        <v>100</v>
      </c>
      <c r="F10" s="5" t="s">
        <v>101</v>
      </c>
      <c r="G10" s="25">
        <v>2489</v>
      </c>
      <c r="H10" s="25">
        <v>1584</v>
      </c>
    </row>
    <row r="11" spans="2:8">
      <c r="B11" s="4" t="s">
        <v>102</v>
      </c>
      <c r="C11" s="4" t="s">
        <v>103</v>
      </c>
      <c r="D11" s="22">
        <v>0.45833333333333331</v>
      </c>
      <c r="E11" s="22" t="s">
        <v>86</v>
      </c>
      <c r="F11" s="23" t="s">
        <v>75</v>
      </c>
      <c r="G11" s="24">
        <v>4425</v>
      </c>
      <c r="H11" s="24">
        <v>987</v>
      </c>
    </row>
    <row r="12" spans="2:8">
      <c r="B12" s="4" t="s">
        <v>108</v>
      </c>
      <c r="C12" s="4" t="s">
        <v>109</v>
      </c>
      <c r="D12" s="22">
        <v>0.5</v>
      </c>
      <c r="E12" s="22" t="s">
        <v>82</v>
      </c>
      <c r="F12" s="23" t="s">
        <v>90</v>
      </c>
      <c r="G12" s="24">
        <v>2985</v>
      </c>
      <c r="H12" s="24">
        <v>2167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2:H17"/>
  <sheetViews>
    <sheetView workbookViewId="0"/>
  </sheetViews>
  <sheetFormatPr defaultRowHeight="16.5"/>
  <cols>
    <col min="2" max="2" width="25.625" bestFit="1" customWidth="1"/>
    <col min="3" max="3" width="9.875" bestFit="1" customWidth="1"/>
    <col min="6" max="6" width="12.25" customWidth="1"/>
    <col min="8" max="8" width="14.125" bestFit="1" customWidth="1"/>
  </cols>
  <sheetData>
    <row r="2" spans="1:8" s="3" customFormat="1"/>
    <row r="5" spans="1:8">
      <c r="A5" s="4" t="s">
        <v>64</v>
      </c>
      <c r="B5" s="4" t="s">
        <v>65</v>
      </c>
      <c r="C5" s="5" t="s">
        <v>66</v>
      </c>
      <c r="D5" s="5" t="s">
        <v>67</v>
      </c>
      <c r="E5" s="5" t="s">
        <v>68</v>
      </c>
      <c r="F5" s="5" t="s">
        <v>115</v>
      </c>
      <c r="G5" s="5" t="s">
        <v>70</v>
      </c>
      <c r="H5" s="5" t="s">
        <v>116</v>
      </c>
    </row>
    <row r="6" spans="1:8">
      <c r="A6" s="4" t="s">
        <v>72</v>
      </c>
      <c r="B6" s="4" t="s">
        <v>73</v>
      </c>
      <c r="C6" s="22">
        <v>0.83333333333333337</v>
      </c>
      <c r="D6" s="22" t="s">
        <v>74</v>
      </c>
      <c r="E6" s="23" t="s">
        <v>75</v>
      </c>
      <c r="F6" s="25">
        <v>3525000</v>
      </c>
      <c r="G6" s="24">
        <v>1822</v>
      </c>
      <c r="H6" s="31">
        <v>17625</v>
      </c>
    </row>
    <row r="7" spans="1:8">
      <c r="A7" s="4" t="s">
        <v>76</v>
      </c>
      <c r="B7" s="4" t="s">
        <v>77</v>
      </c>
      <c r="C7" s="22">
        <v>0.875</v>
      </c>
      <c r="D7" s="22" t="s">
        <v>78</v>
      </c>
      <c r="E7" s="23" t="s">
        <v>79</v>
      </c>
      <c r="F7" s="25">
        <v>1298000</v>
      </c>
      <c r="G7" s="24">
        <v>4456</v>
      </c>
      <c r="H7" s="31">
        <v>6490</v>
      </c>
    </row>
    <row r="8" spans="1:8">
      <c r="A8" s="4" t="s">
        <v>80</v>
      </c>
      <c r="B8" s="4" t="s">
        <v>81</v>
      </c>
      <c r="C8" s="22">
        <v>0.36805555555555558</v>
      </c>
      <c r="D8" s="22" t="s">
        <v>82</v>
      </c>
      <c r="E8" s="23" t="s">
        <v>83</v>
      </c>
      <c r="F8" s="25">
        <v>1149000</v>
      </c>
      <c r="G8" s="24">
        <v>250</v>
      </c>
      <c r="H8" s="31">
        <v>5745</v>
      </c>
    </row>
    <row r="9" spans="1:8">
      <c r="A9" s="4" t="s">
        <v>84</v>
      </c>
      <c r="B9" s="4" t="s">
        <v>85</v>
      </c>
      <c r="C9" s="22">
        <v>0.91666666666666663</v>
      </c>
      <c r="D9" s="22" t="s">
        <v>74</v>
      </c>
      <c r="E9" s="23" t="s">
        <v>75</v>
      </c>
      <c r="F9" s="25">
        <v>3000000</v>
      </c>
      <c r="G9" s="24">
        <v>2344</v>
      </c>
      <c r="H9" s="31">
        <v>15000</v>
      </c>
    </row>
    <row r="10" spans="1:8">
      <c r="A10" s="4" t="s">
        <v>87</v>
      </c>
      <c r="B10" s="4" t="s">
        <v>88</v>
      </c>
      <c r="C10" s="22">
        <v>0.95833333333333337</v>
      </c>
      <c r="D10" s="22" t="s">
        <v>89</v>
      </c>
      <c r="E10" s="23" t="s">
        <v>90</v>
      </c>
      <c r="F10" s="25">
        <v>4580000</v>
      </c>
      <c r="G10" s="24">
        <v>854</v>
      </c>
      <c r="H10" s="31">
        <v>22900</v>
      </c>
    </row>
    <row r="11" spans="1:8">
      <c r="A11" s="4" t="s">
        <v>91</v>
      </c>
      <c r="B11" s="4" t="s">
        <v>92</v>
      </c>
      <c r="C11" s="22">
        <v>0.77777777777777779</v>
      </c>
      <c r="D11" s="22" t="s">
        <v>93</v>
      </c>
      <c r="E11" s="23" t="s">
        <v>94</v>
      </c>
      <c r="F11" s="25">
        <v>459000</v>
      </c>
      <c r="G11" s="24">
        <v>2587</v>
      </c>
      <c r="H11" s="31">
        <v>2295</v>
      </c>
    </row>
    <row r="12" spans="1:8">
      <c r="A12" s="4" t="s">
        <v>95</v>
      </c>
      <c r="B12" s="4" t="s">
        <v>96</v>
      </c>
      <c r="C12" s="22">
        <v>0.41666666666666669</v>
      </c>
      <c r="D12" s="22" t="s">
        <v>97</v>
      </c>
      <c r="E12" s="23" t="s">
        <v>79</v>
      </c>
      <c r="F12" s="25">
        <v>1598000</v>
      </c>
      <c r="G12" s="24">
        <v>3012</v>
      </c>
      <c r="H12" s="31">
        <v>7990</v>
      </c>
    </row>
    <row r="13" spans="1:8">
      <c r="A13" s="4" t="s">
        <v>98</v>
      </c>
      <c r="B13" s="4" t="s">
        <v>99</v>
      </c>
      <c r="C13" s="22">
        <v>0.53125</v>
      </c>
      <c r="D13" s="22" t="s">
        <v>100</v>
      </c>
      <c r="E13" s="5" t="s">
        <v>101</v>
      </c>
      <c r="F13" s="25">
        <v>2489000</v>
      </c>
      <c r="G13" s="25">
        <v>1584</v>
      </c>
      <c r="H13" s="32">
        <v>12445</v>
      </c>
    </row>
    <row r="14" spans="1:8">
      <c r="A14" s="4" t="s">
        <v>102</v>
      </c>
      <c r="B14" s="4" t="s">
        <v>103</v>
      </c>
      <c r="C14" s="22">
        <v>0.45833333333333331</v>
      </c>
      <c r="D14" s="22" t="s">
        <v>74</v>
      </c>
      <c r="E14" s="23" t="s">
        <v>75</v>
      </c>
      <c r="F14" s="25">
        <v>4425000</v>
      </c>
      <c r="G14" s="24">
        <v>987</v>
      </c>
      <c r="H14" s="31">
        <v>22125</v>
      </c>
    </row>
    <row r="15" spans="1:8">
      <c r="A15" s="4" t="s">
        <v>104</v>
      </c>
      <c r="B15" s="4" t="s">
        <v>105</v>
      </c>
      <c r="C15" s="22">
        <v>0.72569444444444453</v>
      </c>
      <c r="D15" s="22" t="s">
        <v>78</v>
      </c>
      <c r="E15" s="23" t="s">
        <v>107</v>
      </c>
      <c r="F15" s="25">
        <v>2149000</v>
      </c>
      <c r="G15" s="24">
        <v>257</v>
      </c>
      <c r="H15" s="31">
        <v>0</v>
      </c>
    </row>
    <row r="16" spans="1:8">
      <c r="A16" s="4" t="s">
        <v>108</v>
      </c>
      <c r="B16" s="4" t="s">
        <v>109</v>
      </c>
      <c r="C16" s="22">
        <v>0.5</v>
      </c>
      <c r="D16" s="22" t="s">
        <v>82</v>
      </c>
      <c r="E16" s="23" t="s">
        <v>90</v>
      </c>
      <c r="F16" s="25">
        <v>2985000</v>
      </c>
      <c r="G16" s="24">
        <v>2167</v>
      </c>
      <c r="H16" s="31">
        <v>14925</v>
      </c>
    </row>
    <row r="17" spans="1:8">
      <c r="A17" s="4" t="s">
        <v>110</v>
      </c>
      <c r="B17" s="4" t="s">
        <v>111</v>
      </c>
      <c r="C17" s="26">
        <v>0.75</v>
      </c>
      <c r="D17" s="26" t="s">
        <v>112</v>
      </c>
      <c r="E17" s="23" t="s">
        <v>75</v>
      </c>
      <c r="F17" s="25">
        <v>2500000</v>
      </c>
      <c r="G17" s="24">
        <v>1788</v>
      </c>
      <c r="H17" s="31">
        <v>0</v>
      </c>
    </row>
  </sheetData>
  <phoneticPr fontId="1" type="noConversion"/>
  <conditionalFormatting sqref="G6:G17">
    <cfRule type="iconSet" priority="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I7"/>
  <sheetViews>
    <sheetView workbookViewId="0">
      <selection activeCell="H18" sqref="H18"/>
    </sheetView>
  </sheetViews>
  <sheetFormatPr defaultRowHeight="16.5"/>
  <cols>
    <col min="2" max="2" width="15.125" customWidth="1"/>
    <col min="3" max="3" width="13.125" customWidth="1"/>
    <col min="4" max="4" width="13.25" customWidth="1"/>
  </cols>
  <sheetData>
    <row r="1" spans="1:9">
      <c r="A1" t="s">
        <v>0</v>
      </c>
      <c r="D1" s="28">
        <v>45211</v>
      </c>
    </row>
    <row r="3" spans="1:9">
      <c r="A3" t="s">
        <v>1</v>
      </c>
      <c r="B3" t="s">
        <v>2</v>
      </c>
      <c r="C3" t="s">
        <v>3</v>
      </c>
      <c r="D3" t="s">
        <v>4</v>
      </c>
      <c r="I3" t="s">
        <v>9</v>
      </c>
    </row>
    <row r="4" spans="1:9">
      <c r="A4" t="s">
        <v>134</v>
      </c>
      <c r="B4" t="s">
        <v>135</v>
      </c>
      <c r="C4" t="s">
        <v>136</v>
      </c>
      <c r="D4">
        <v>3500</v>
      </c>
      <c r="I4" t="s">
        <v>8</v>
      </c>
    </row>
    <row r="5" spans="1:9">
      <c r="I5" t="s">
        <v>5</v>
      </c>
    </row>
    <row r="6" spans="1:9">
      <c r="I6" t="s">
        <v>6</v>
      </c>
    </row>
    <row r="7" spans="1:9">
      <c r="I7" t="s">
        <v>7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계약">
          <controlPr defaultSize="0" autoLine="0" autoPict="0" r:id="rId4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7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5" r:id="rId3" name="cmd계약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2</vt:i4>
      </vt:variant>
    </vt:vector>
  </HeadingPairs>
  <TitlesOfParts>
    <vt:vector size="11" baseType="lpstr">
      <vt:lpstr>기본작업-1</vt:lpstr>
      <vt:lpstr>기본작업-2</vt:lpstr>
      <vt:lpstr>계산작업</vt:lpstr>
      <vt:lpstr>11월경기도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2021-04-18T04:44:57Z</dcterms:created>
  <dcterms:modified xsi:type="dcterms:W3CDTF">2024-01-07T07:35:30Z</dcterms:modified>
</cp:coreProperties>
</file>