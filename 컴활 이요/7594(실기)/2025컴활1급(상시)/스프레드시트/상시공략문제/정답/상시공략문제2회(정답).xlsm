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상시공략집\2024컴활1급(상시)\스프레드시트\상시공략문제\정답\"/>
    </mc:Choice>
  </mc:AlternateContent>
  <xr:revisionPtr revIDLastSave="0" documentId="13_ncr:1_{72240529-AA8F-4BAE-BF60-43FC70787AE9}" xr6:coauthVersionLast="47" xr6:coauthVersionMax="47" xr10:uidLastSave="{00000000-0000-0000-0000-000000000000}"/>
  <bookViews>
    <workbookView xWindow="165" yWindow="630" windowWidth="19500" windowHeight="14055" tabRatio="894" activeTab="2" xr2:uid="{00000000-000D-0000-FFFF-FFFF00000000}"/>
  </bookViews>
  <sheets>
    <sheet name="기본작업-1" sheetId="1" r:id="rId1"/>
    <sheet name="기본작업-2" sheetId="20" r:id="rId2"/>
    <sheet name="계산작업" sheetId="9" r:id="rId3"/>
    <sheet name="5월제주공항" sheetId="21" r:id="rId4"/>
    <sheet name="분석작업-1" sheetId="10" r:id="rId5"/>
    <sheet name="분석작업-2" sheetId="5" r:id="rId6"/>
    <sheet name="기타작업-1" sheetId="6" r:id="rId7"/>
    <sheet name="기타작업-2" sheetId="7" r:id="rId8"/>
    <sheet name="기타작업-3" sheetId="8" r:id="rId9"/>
  </sheets>
  <functionGroups builtInGroupCount="19"/>
  <definedNames>
    <definedName name="_xlnm._FilterDatabase" localSheetId="0" hidden="1">'기본작업-1'!$A$2:$G$32</definedName>
    <definedName name="_xlnm.Criteria" localSheetId="0">'기본작업-1'!$I$2:$I$3</definedName>
    <definedName name="ExternalData_1" localSheetId="3" hidden="1">'5월제주공항'!$A$3:$I$6</definedName>
    <definedName name="_xlnm.Extract" localSheetId="0">'기본작업-1'!$I$6:$L$6</definedName>
    <definedName name="_xlnm.Print_Area" localSheetId="1">'기본작업-2'!$A$2:$J$99</definedName>
    <definedName name="_xlnm.Print_Titles" localSheetId="1">'기본작업-2'!$2:$2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항공현황_22232b5b-ad06-426a-9b40-301d9617f361" name="항공현황" connection="쿼리 - 항공현황"/>
        </x15:modelTables>
        <x15:extLst>
          <ext xmlns:x16="http://schemas.microsoft.com/office/spreadsheetml/2014/11/main" uri="{9835A34E-60A6-4A7C-AAB8-D5F71C897F49}">
            <x16:modelTimeGroupings>
              <x16:modelTimeGrouping tableName="항공현황" columnName="항공월" columnId="항공월">
                <x16:calculatedTimeColumn columnName="항공월(월 인덱스)" columnId="항공월(월 인덱스)" contentType="monthsindex" isSelected="1"/>
                <x16:calculatedTimeColumn columnName="항공월(월)" columnId="항공월(월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9" l="1" a="1"/>
  <c r="H4" i="9" s="1"/>
  <c r="H5" i="9" a="1"/>
  <c r="H5" i="9" s="1"/>
  <c r="H6" i="9" a="1"/>
  <c r="H6" i="9" s="1"/>
  <c r="H7" i="9" a="1"/>
  <c r="H7" i="9" s="1"/>
  <c r="H8" i="9" a="1"/>
  <c r="H8" i="9"/>
  <c r="H9" i="9" a="1"/>
  <c r="H9" i="9" s="1"/>
  <c r="H10" i="9" a="1"/>
  <c r="H10" i="9"/>
  <c r="H11" i="9" a="1"/>
  <c r="H11" i="9" s="1"/>
  <c r="H12" i="9" a="1"/>
  <c r="H12" i="9" s="1"/>
  <c r="H13" i="9" a="1"/>
  <c r="H13" i="9" s="1"/>
  <c r="H14" i="9" a="1"/>
  <c r="H14" i="9" s="1"/>
  <c r="H15" i="9" a="1"/>
  <c r="H15" i="9"/>
  <c r="H16" i="9" a="1"/>
  <c r="H16" i="9" s="1"/>
  <c r="H17" i="9" a="1"/>
  <c r="H17" i="9" s="1"/>
  <c r="H18" i="9" a="1"/>
  <c r="H18" i="9" s="1"/>
  <c r="H19" i="9" a="1"/>
  <c r="H19" i="9"/>
  <c r="H20" i="9" a="1"/>
  <c r="H20" i="9"/>
  <c r="H21" i="9" a="1"/>
  <c r="H21" i="9" s="1"/>
  <c r="H22" i="9" a="1"/>
  <c r="H22" i="9" s="1"/>
  <c r="H23" i="9" a="1"/>
  <c r="H23" i="9" s="1"/>
  <c r="H24" i="9" a="1"/>
  <c r="H24" i="9" s="1"/>
  <c r="H25" i="9" a="1"/>
  <c r="H25" i="9"/>
  <c r="H26" i="9" a="1"/>
  <c r="H26" i="9" s="1"/>
  <c r="H27" i="9" a="1"/>
  <c r="H27" i="9" s="1"/>
  <c r="H28" i="9" a="1"/>
  <c r="H28" i="9"/>
  <c r="H29" i="9" a="1"/>
  <c r="H29" i="9"/>
  <c r="H30" i="9" a="1"/>
  <c r="H30" i="9" s="1"/>
  <c r="H3" i="9" a="1"/>
  <c r="H3" i="9" s="1"/>
  <c r="I3" i="1"/>
  <c r="M13" i="9" a="1"/>
  <c r="M13" i="9" s="1"/>
  <c r="O9" i="9" a="1"/>
  <c r="O9" i="9" s="1"/>
  <c r="I29" i="9" a="1"/>
  <c r="I10" i="9" a="1"/>
  <c r="I4" i="9" a="1"/>
  <c r="I14" i="9" a="1"/>
  <c r="I24" i="9" a="1"/>
  <c r="I5" i="9" a="1"/>
  <c r="I12" i="9" a="1"/>
  <c r="I15" i="9" a="1"/>
  <c r="I25" i="9" a="1"/>
  <c r="I6" i="9" a="1"/>
  <c r="I16" i="9" a="1"/>
  <c r="I26" i="9" a="1"/>
  <c r="I7" i="9" a="1"/>
  <c r="I21" i="9" a="1"/>
  <c r="I17" i="9" a="1"/>
  <c r="I27" i="9" a="1"/>
  <c r="I30" i="9" a="1"/>
  <c r="I3" i="9" a="1"/>
  <c r="I8" i="9" a="1"/>
  <c r="I18" i="9" a="1"/>
  <c r="I11" i="9" a="1"/>
  <c r="I13" i="9" a="1"/>
  <c r="I28" i="9" a="1"/>
  <c r="I23" i="9" a="1"/>
  <c r="I9" i="9" a="1"/>
  <c r="I19" i="9" a="1"/>
  <c r="I20" i="9" a="1"/>
  <c r="I22" i="9" a="1"/>
  <c r="I23" i="9" l="1"/>
  <c r="I13" i="9"/>
  <c r="I22" i="9"/>
  <c r="I12" i="9"/>
  <c r="I21" i="9"/>
  <c r="I11" i="9"/>
  <c r="I30" i="9"/>
  <c r="I20" i="9"/>
  <c r="I10" i="9"/>
  <c r="I29" i="9"/>
  <c r="I19" i="9"/>
  <c r="I9" i="9"/>
  <c r="I28" i="9"/>
  <c r="I18" i="9"/>
  <c r="I8" i="9"/>
  <c r="I27" i="9"/>
  <c r="I17" i="9"/>
  <c r="I7" i="9"/>
  <c r="I26" i="9"/>
  <c r="I16" i="9"/>
  <c r="I6" i="9"/>
  <c r="I25" i="9"/>
  <c r="I15" i="9"/>
  <c r="I5" i="9"/>
  <c r="I24" i="9"/>
  <c r="I14" i="9"/>
  <c r="I4" i="9"/>
  <c r="I3" i="9"/>
  <c r="M18" i="9"/>
  <c r="M17" i="9"/>
  <c r="M16" i="9"/>
  <c r="M15" i="9"/>
  <c r="M14" i="9"/>
  <c r="F4" i="9" l="1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9A71B32-B13D-4ED4-B0BC-EB673954BE47}" keepAlive="1" name="ModelConnection_ExternalData_1" description="데이터 모델" type="5" refreshedVersion="7" minRefreshableVersion="5" saveData="1">
    <dbPr connection="Data Model Connection" command="DRILLTHROUGH MAXROWS 1000 SELECT FROM [Model] WHERE ((([Measures].[평균: 여객],[항공현황].[항공월(월)].&amp;[05월]),[항공현황].[출발공항].&amp;[제주])) RETURN [$항공현황].[출발공항],[$항공현황].[공항코드],[$항공현황].[항공월],[$항공현황].[항공편명],[$항공현황].[항공코드],[$항공현황].[여객],[$항공현황].[화물],[$항공현황].[항공월(월)],[$항공현황].[항공월(월 인덱스)]" commandType="4"/>
    <extLst>
      <ext xmlns:x15="http://schemas.microsoft.com/office/spreadsheetml/2010/11/main" uri="{DE250136-89BD-433C-8126-D09CA5730AF9}">
        <x15:connection id="" model="1"/>
      </ext>
    </extLst>
  </connection>
  <connection id="2" xr16:uid="{07D71CA9-B90F-40C4-8B5E-630D8A6519C0}" keepAlive="1" name="ThisWorkbookDataModel" description="데이터 모델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5B91DCC2-3B64-4955-BBC7-982D79AA4BC7}" name="쿼리 - 항공현황" description="통합 문서의 '항공현황' 쿼리에 대한 연결입니다." type="100" refreshedVersion="7" minRefreshableVersion="5">
    <extLst>
      <ext xmlns:x15="http://schemas.microsoft.com/office/spreadsheetml/2010/11/main" uri="{DE250136-89BD-433C-8126-D09CA5730AF9}">
        <x15:connection id="6b72b154-6669-4e8e-a060-3c2da71ae9dd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<sst xmlns="http://schemas.openxmlformats.org/spreadsheetml/2006/main" count="1028" uniqueCount="443">
  <si>
    <t>공항명</t>
  </si>
  <si>
    <t>공항코드</t>
  </si>
  <si>
    <t>항공월</t>
  </si>
  <si>
    <t>항공코드</t>
  </si>
  <si>
    <t>여객</t>
  </si>
  <si>
    <t>화물</t>
  </si>
  <si>
    <t>제주</t>
  </si>
  <si>
    <t>인천</t>
  </si>
  <si>
    <t>김포</t>
  </si>
  <si>
    <t>부산</t>
  </si>
  <si>
    <t>[표1]</t>
  </si>
  <si>
    <t>[표2]</t>
  </si>
  <si>
    <t>[표3]</t>
  </si>
  <si>
    <t>[표4]</t>
  </si>
  <si>
    <t>[표5]</t>
  </si>
  <si>
    <t>구분</t>
  </si>
  <si>
    <t>번호</t>
  </si>
  <si>
    <t>이름</t>
  </si>
  <si>
    <t>성별</t>
  </si>
  <si>
    <t>생년월일</t>
  </si>
  <si>
    <t>나이</t>
  </si>
  <si>
    <t>BMI</t>
  </si>
  <si>
    <t>홍길동</t>
  </si>
  <si>
    <t>신청번호</t>
  </si>
  <si>
    <t>잡지명</t>
  </si>
  <si>
    <t>신청구분</t>
  </si>
  <si>
    <t>구독기간</t>
  </si>
  <si>
    <t>구독완료</t>
  </si>
  <si>
    <t>구독부수</t>
  </si>
  <si>
    <t>구독금액</t>
  </si>
  <si>
    <t>사은품</t>
  </si>
  <si>
    <t>정가</t>
  </si>
  <si>
    <t>신청구분</t>
    <phoneticPr fontId="1" type="noConversion"/>
  </si>
  <si>
    <t>신규</t>
  </si>
  <si>
    <t>재구독</t>
  </si>
  <si>
    <t>구독</t>
  </si>
  <si>
    <t>신청도표</t>
  </si>
  <si>
    <t>1월</t>
  </si>
  <si>
    <t>3월</t>
  </si>
  <si>
    <t>5월</t>
  </si>
  <si>
    <t>7월</t>
  </si>
  <si>
    <t>9월</t>
  </si>
  <si>
    <t>11월</t>
  </si>
  <si>
    <t>우등논술</t>
  </si>
  <si>
    <t>기자원정대</t>
  </si>
  <si>
    <t>기자원정대</t>
    <phoneticPr fontId="1" type="noConversion"/>
  </si>
  <si>
    <t>월간뉴런</t>
  </si>
  <si>
    <t>월간뉴런</t>
    <phoneticPr fontId="1" type="noConversion"/>
  </si>
  <si>
    <t>수학동학</t>
  </si>
  <si>
    <t>수학동학</t>
    <phoneticPr fontId="1" type="noConversion"/>
  </si>
  <si>
    <t>우등논술과 월간뉴런의 구독기간 합계</t>
  </si>
  <si>
    <t>JA001</t>
  </si>
  <si>
    <t>JA002</t>
  </si>
  <si>
    <t>JA003</t>
  </si>
  <si>
    <t>JA004</t>
  </si>
  <si>
    <t>JA005</t>
  </si>
  <si>
    <t>JA006</t>
  </si>
  <si>
    <t>JA007</t>
  </si>
  <si>
    <t>JA008</t>
  </si>
  <si>
    <t>JA009</t>
  </si>
  <si>
    <t>JA010</t>
  </si>
  <si>
    <t>JA011</t>
  </si>
  <si>
    <t>JA012</t>
  </si>
  <si>
    <t>JA013</t>
  </si>
  <si>
    <t>JA014</t>
  </si>
  <si>
    <t>JA015</t>
  </si>
  <si>
    <t>JA016</t>
  </si>
  <si>
    <t>JA017</t>
  </si>
  <si>
    <t>JA018</t>
  </si>
  <si>
    <t>JA019</t>
  </si>
  <si>
    <t>JA020</t>
  </si>
  <si>
    <t>JA021</t>
  </si>
  <si>
    <t>JA022</t>
  </si>
  <si>
    <t>JA023</t>
  </si>
  <si>
    <t>JA024</t>
  </si>
  <si>
    <t>JA025</t>
  </si>
  <si>
    <t>JA026</t>
  </si>
  <si>
    <t>JA027</t>
  </si>
  <si>
    <t>JA037</t>
  </si>
  <si>
    <t>신청일</t>
    <phoneticPr fontId="1" type="noConversion"/>
  </si>
  <si>
    <t>일반검진</t>
    <phoneticPr fontId="1" type="noConversion"/>
  </si>
  <si>
    <t>특수검진</t>
    <phoneticPr fontId="1" type="noConversion"/>
  </si>
  <si>
    <t>학생검진</t>
    <phoneticPr fontId="1" type="noConversion"/>
  </si>
  <si>
    <t>영유아검진</t>
    <phoneticPr fontId="1" type="noConversion"/>
  </si>
  <si>
    <t>종합검진</t>
    <phoneticPr fontId="1" type="noConversion"/>
  </si>
  <si>
    <t>외국인검진</t>
    <phoneticPr fontId="1" type="noConversion"/>
  </si>
  <si>
    <t>일반검진</t>
    <phoneticPr fontId="1" type="noConversion"/>
  </si>
  <si>
    <t>분류</t>
    <phoneticPr fontId="1" type="noConversion"/>
  </si>
  <si>
    <t>분류</t>
    <phoneticPr fontId="1" type="noConversion"/>
  </si>
  <si>
    <t>기타검진</t>
    <phoneticPr fontId="1" type="noConversion"/>
  </si>
  <si>
    <t>남자</t>
    <phoneticPr fontId="1" type="noConversion"/>
  </si>
  <si>
    <t>키</t>
    <phoneticPr fontId="1" type="noConversion"/>
  </si>
  <si>
    <t>몸무게</t>
    <phoneticPr fontId="1" type="noConversion"/>
  </si>
  <si>
    <t>오늘 날짜 :</t>
    <phoneticPr fontId="1" type="noConversion"/>
  </si>
  <si>
    <t>아파트동호수</t>
    <phoneticPr fontId="1" type="noConversion"/>
  </si>
  <si>
    <t>연락처</t>
    <phoneticPr fontId="1" type="noConversion"/>
  </si>
  <si>
    <t>이름</t>
    <phoneticPr fontId="1" type="noConversion"/>
  </si>
  <si>
    <t>전기사용량</t>
    <phoneticPr fontId="1" type="noConversion"/>
  </si>
  <si>
    <t>수도사용량</t>
    <phoneticPr fontId="1" type="noConversion"/>
  </si>
  <si>
    <t>김민지</t>
    <phoneticPr fontId="1" type="noConversion"/>
  </si>
  <si>
    <t>김순자</t>
    <phoneticPr fontId="1" type="noConversion"/>
  </si>
  <si>
    <t>이지현</t>
    <phoneticPr fontId="1" type="noConversion"/>
  </si>
  <si>
    <t>이지훈</t>
    <phoneticPr fontId="1" type="noConversion"/>
  </si>
  <si>
    <t>최미경</t>
    <phoneticPr fontId="1" type="noConversion"/>
  </si>
  <si>
    <t>한주원</t>
    <phoneticPr fontId="1" type="noConversion"/>
  </si>
  <si>
    <t>황서연</t>
    <phoneticPr fontId="1" type="noConversion"/>
  </si>
  <si>
    <t>국영수</t>
    <phoneticPr fontId="1" type="noConversion"/>
  </si>
  <si>
    <t>박동현</t>
    <phoneticPr fontId="1" type="noConversion"/>
  </si>
  <si>
    <t>유지민</t>
    <phoneticPr fontId="1" type="noConversion"/>
  </si>
  <si>
    <t>홍준호</t>
    <phoneticPr fontId="1" type="noConversion"/>
  </si>
  <si>
    <t>강서윤</t>
    <phoneticPr fontId="1" type="noConversion"/>
  </si>
  <si>
    <t>김하준</t>
    <phoneticPr fontId="1" type="noConversion"/>
  </si>
  <si>
    <t>신미숙</t>
    <phoneticPr fontId="1" type="noConversion"/>
  </si>
  <si>
    <t>010-2222-4444</t>
    <phoneticPr fontId="1" type="noConversion"/>
  </si>
  <si>
    <t>010-3456-9874</t>
    <phoneticPr fontId="1" type="noConversion"/>
  </si>
  <si>
    <t>010-2587-9632</t>
    <phoneticPr fontId="1" type="noConversion"/>
  </si>
  <si>
    <t>010-8520-3697</t>
    <phoneticPr fontId="1" type="noConversion"/>
  </si>
  <si>
    <t>010-9134-7850</t>
    <phoneticPr fontId="1" type="noConversion"/>
  </si>
  <si>
    <t>010-7412-8520</t>
    <phoneticPr fontId="1" type="noConversion"/>
  </si>
  <si>
    <t>010-9510-3574</t>
    <phoneticPr fontId="1" type="noConversion"/>
  </si>
  <si>
    <t>010-4561-3217</t>
    <phoneticPr fontId="1" type="noConversion"/>
  </si>
  <si>
    <t>010-7891-6543</t>
    <phoneticPr fontId="1" type="noConversion"/>
  </si>
  <si>
    <t>010-3697-7410</t>
    <phoneticPr fontId="1" type="noConversion"/>
  </si>
  <si>
    <t>010-7418-8574</t>
    <phoneticPr fontId="1" type="noConversion"/>
  </si>
  <si>
    <t>010-4862-9571</t>
    <phoneticPr fontId="1" type="noConversion"/>
  </si>
  <si>
    <t>010-3678-9742</t>
    <phoneticPr fontId="1" type="noConversion"/>
  </si>
  <si>
    <t>010-3020-9874</t>
    <phoneticPr fontId="1" type="noConversion"/>
  </si>
  <si>
    <t>[표2]</t>
    <phoneticPr fontId="1" type="noConversion"/>
  </si>
  <si>
    <t>현역</t>
    <phoneticPr fontId="1" type="noConversion"/>
  </si>
  <si>
    <t>보충역</t>
    <phoneticPr fontId="1" type="noConversion"/>
  </si>
  <si>
    <t>전시근로역</t>
    <phoneticPr fontId="1" type="noConversion"/>
  </si>
  <si>
    <t>병역 판정검사 현황</t>
    <phoneticPr fontId="1" type="noConversion"/>
  </si>
  <si>
    <t>출발공항</t>
  </si>
  <si>
    <t>항공편명</t>
  </si>
  <si>
    <t>CJU</t>
  </si>
  <si>
    <t>KE021</t>
  </si>
  <si>
    <t>GMPKE021</t>
  </si>
  <si>
    <t>김해</t>
  </si>
  <si>
    <t>PUS</t>
  </si>
  <si>
    <t>GMPBX074</t>
  </si>
  <si>
    <t>대구</t>
  </si>
  <si>
    <t>TAE</t>
  </si>
  <si>
    <t>JL055</t>
  </si>
  <si>
    <t>GMPJL055</t>
  </si>
  <si>
    <t>광주</t>
  </si>
  <si>
    <t>KWJ</t>
  </si>
  <si>
    <t>KE056</t>
  </si>
  <si>
    <t>CJUKE056</t>
  </si>
  <si>
    <t>KWJTW061</t>
  </si>
  <si>
    <t>KE035</t>
  </si>
  <si>
    <t>CJUKE035</t>
  </si>
  <si>
    <t>GMP</t>
  </si>
  <si>
    <t>KE022</t>
  </si>
  <si>
    <t>CJUKE022</t>
  </si>
  <si>
    <t>PUSCJ041</t>
  </si>
  <si>
    <t>CJUOZ046</t>
  </si>
  <si>
    <t>TAEBX086</t>
  </si>
  <si>
    <t>GMPTW064</t>
  </si>
  <si>
    <t>PUSTW042</t>
  </si>
  <si>
    <t>JL081</t>
  </si>
  <si>
    <t>GMPJL081</t>
  </si>
  <si>
    <t>KWJBX072</t>
  </si>
  <si>
    <t>JL051</t>
  </si>
  <si>
    <t>PUSJL051</t>
  </si>
  <si>
    <t>GMPTW076</t>
  </si>
  <si>
    <t>GMPBX065</t>
  </si>
  <si>
    <t>CJUOZ044</t>
  </si>
  <si>
    <t>GMPBX084</t>
  </si>
  <si>
    <t>RS071</t>
  </si>
  <si>
    <t>KWJRS071</t>
  </si>
  <si>
    <t>GMPOZ031</t>
  </si>
  <si>
    <t>JL052</t>
  </si>
  <si>
    <t>PUSJL052</t>
  </si>
  <si>
    <t>JL066</t>
  </si>
  <si>
    <t>GMPJL066</t>
  </si>
  <si>
    <t>KWJTW075</t>
  </si>
  <si>
    <t>KE054</t>
  </si>
  <si>
    <t>CJUKE054</t>
  </si>
  <si>
    <t>CJUOZ032</t>
  </si>
  <si>
    <t>KE082</t>
  </si>
  <si>
    <t>TAEKE082</t>
  </si>
  <si>
    <t>CJU7C034</t>
  </si>
  <si>
    <t>CJUOZ045</t>
  </si>
  <si>
    <t>KWJC7062</t>
  </si>
  <si>
    <t>조건</t>
    <phoneticPr fontId="1" type="noConversion"/>
  </si>
  <si>
    <t>4J041</t>
  </si>
  <si>
    <t>구독신청일</t>
    <phoneticPr fontId="1" type="noConversion"/>
  </si>
  <si>
    <t>항공편</t>
  </si>
  <si>
    <t>INC</t>
  </si>
  <si>
    <t>L242</t>
  </si>
  <si>
    <t>INCL242</t>
  </si>
  <si>
    <t>BUS</t>
  </si>
  <si>
    <t>GIP4500</t>
  </si>
  <si>
    <t>JEJ</t>
  </si>
  <si>
    <t>INC1729</t>
  </si>
  <si>
    <t>K384</t>
  </si>
  <si>
    <t>INCK384</t>
  </si>
  <si>
    <t>BUS5126</t>
  </si>
  <si>
    <t>JEJ7586</t>
  </si>
  <si>
    <t>JEJ4465</t>
  </si>
  <si>
    <t>GIP</t>
  </si>
  <si>
    <t>K022</t>
  </si>
  <si>
    <t>GIPK022</t>
  </si>
  <si>
    <t>INC1685</t>
  </si>
  <si>
    <t>GIP6938</t>
  </si>
  <si>
    <t>INC1355</t>
  </si>
  <si>
    <t>GIP2892</t>
  </si>
  <si>
    <t>BUS6187</t>
  </si>
  <si>
    <t>BUS1902</t>
  </si>
  <si>
    <t>K577</t>
  </si>
  <si>
    <t>JEJK577</t>
  </si>
  <si>
    <t>L060</t>
  </si>
  <si>
    <t>JEJL060</t>
  </si>
  <si>
    <t>S501</t>
  </si>
  <si>
    <t>BUSS501</t>
  </si>
  <si>
    <t>GIP5383</t>
  </si>
  <si>
    <t>BUS7743</t>
  </si>
  <si>
    <t>INC7492</t>
  </si>
  <si>
    <t>GIP2318</t>
  </si>
  <si>
    <t>INC6181</t>
  </si>
  <si>
    <t>2022년</t>
    <phoneticPr fontId="1" type="noConversion"/>
  </si>
  <si>
    <t>2021년</t>
    <phoneticPr fontId="1" type="noConversion"/>
  </si>
  <si>
    <t>05월</t>
  </si>
  <si>
    <t>06월</t>
  </si>
  <si>
    <t>07월</t>
  </si>
  <si>
    <t>전체 평균: 여객</t>
  </si>
  <si>
    <t>평균: 여객</t>
  </si>
  <si>
    <t>전체 평균: 화물</t>
  </si>
  <si>
    <t>평균: 화물</t>
  </si>
  <si>
    <t>값</t>
  </si>
  <si>
    <t>항공월(월)</t>
  </si>
  <si>
    <t>항공현황[출발공항]</t>
  </si>
  <si>
    <t>항공현황[공항코드]</t>
  </si>
  <si>
    <t>항공현황[항공월]</t>
  </si>
  <si>
    <t>항공현황[항공편명]</t>
  </si>
  <si>
    <t>항공현황[항공코드]</t>
  </si>
  <si>
    <t>항공현황[여객]</t>
  </si>
  <si>
    <t>항공현황[화물]</t>
  </si>
  <si>
    <t>항공현황[항공월(월 인덱스)]</t>
  </si>
  <si>
    <t>항공현황[항공월(월)]</t>
  </si>
  <si>
    <t>2031</t>
  </si>
  <si>
    <t>평균: 여객, 05월, 제주(처음 1000행)에 대한 데이터가 반환되었습니다.</t>
  </si>
  <si>
    <t>수강생코드</t>
  </si>
  <si>
    <t>수강생명</t>
  </si>
  <si>
    <t>주소</t>
  </si>
  <si>
    <t>강좌코드</t>
  </si>
  <si>
    <t>강좌명</t>
  </si>
  <si>
    <t>강사명</t>
  </si>
  <si>
    <t>수강료</t>
  </si>
  <si>
    <t>수강료합계</t>
  </si>
  <si>
    <t>납부액</t>
  </si>
  <si>
    <t>미납액</t>
  </si>
  <si>
    <t>민유아</t>
  </si>
  <si>
    <t>서대문구</t>
  </si>
  <si>
    <t>VF01</t>
  </si>
  <si>
    <t>피트니스1</t>
  </si>
  <si>
    <t>한류민</t>
  </si>
  <si>
    <t>AC01</t>
  </si>
  <si>
    <t>바리스타기초</t>
  </si>
  <si>
    <t>최문하</t>
  </si>
  <si>
    <t>강지음</t>
  </si>
  <si>
    <t>성북구</t>
  </si>
  <si>
    <t>CP02</t>
  </si>
  <si>
    <t>한지공예(오후)</t>
  </si>
  <si>
    <t>이윤호</t>
  </si>
  <si>
    <t>VJ03</t>
  </si>
  <si>
    <t>종이접기(고)</t>
  </si>
  <si>
    <t>정윤로</t>
  </si>
  <si>
    <t>김미현</t>
  </si>
  <si>
    <t>도봉구</t>
  </si>
  <si>
    <t>CC02</t>
  </si>
  <si>
    <t>중식요리</t>
  </si>
  <si>
    <t>하민수</t>
  </si>
  <si>
    <t>TR01</t>
  </si>
  <si>
    <t>바이올린초급</t>
  </si>
  <si>
    <t>유지영</t>
  </si>
  <si>
    <t>이윤하</t>
  </si>
  <si>
    <t>강남구</t>
  </si>
  <si>
    <t>VM03</t>
  </si>
  <si>
    <t>오카리나(고)</t>
  </si>
  <si>
    <t>윤지윤</t>
  </si>
  <si>
    <t>AM03</t>
  </si>
  <si>
    <t>트로트배우기3</t>
  </si>
  <si>
    <t>하지민</t>
  </si>
  <si>
    <t>최연지</t>
  </si>
  <si>
    <t>VH02</t>
  </si>
  <si>
    <t>손바느질2</t>
  </si>
  <si>
    <t>하진아</t>
  </si>
  <si>
    <t>VP01</t>
  </si>
  <si>
    <t>수채화그리기(초)</t>
  </si>
  <si>
    <t>장하민</t>
  </si>
  <si>
    <t>이민지</t>
  </si>
  <si>
    <t>광진구</t>
  </si>
  <si>
    <t>CC01</t>
  </si>
  <si>
    <t>일식요리</t>
  </si>
  <si>
    <t>안영웅</t>
  </si>
  <si>
    <t>노원구</t>
  </si>
  <si>
    <t>김사윤</t>
  </si>
  <si>
    <t>마포구</t>
  </si>
  <si>
    <t>AM02</t>
  </si>
  <si>
    <t>트로트배우기2</t>
  </si>
  <si>
    <t>김사랑</t>
  </si>
  <si>
    <t>AM01</t>
  </si>
  <si>
    <t>트로트배우기1</t>
  </si>
  <si>
    <t>정아진</t>
  </si>
  <si>
    <t>중랑구</t>
  </si>
  <si>
    <t>VJ01</t>
  </si>
  <si>
    <t>종이접기(초)</t>
  </si>
  <si>
    <t>VM02</t>
  </si>
  <si>
    <t>오카리나(중)</t>
  </si>
  <si>
    <t>민유리</t>
  </si>
  <si>
    <t>VH01</t>
  </si>
  <si>
    <t>손바느질1</t>
  </si>
  <si>
    <t>CP01</t>
  </si>
  <si>
    <t>한지공예(오전)</t>
  </si>
  <si>
    <t>박서진</t>
  </si>
  <si>
    <t>동작구</t>
  </si>
  <si>
    <t>CE02</t>
  </si>
  <si>
    <t>영어회화중급</t>
  </si>
  <si>
    <t>김윤하</t>
  </si>
  <si>
    <t>박서후</t>
  </si>
  <si>
    <t>서초구</t>
  </si>
  <si>
    <t>CR02</t>
  </si>
  <si>
    <t>로봇코딩(오후)</t>
  </si>
  <si>
    <t>강윤아</t>
  </si>
  <si>
    <t>TR02</t>
  </si>
  <si>
    <t>바이올린중급</t>
  </si>
  <si>
    <t>지수아</t>
  </si>
  <si>
    <t>관악구</t>
  </si>
  <si>
    <t>CD02</t>
  </si>
  <si>
    <t>방송댄스(자격증)</t>
  </si>
  <si>
    <t>이미나</t>
  </si>
  <si>
    <t>지영훈</t>
  </si>
  <si>
    <t>윤하진</t>
  </si>
  <si>
    <t>종로구</t>
  </si>
  <si>
    <t>AC02</t>
  </si>
  <si>
    <t>바리스타중급</t>
  </si>
  <si>
    <t>윤하율</t>
  </si>
  <si>
    <t>중구</t>
  </si>
  <si>
    <t>지민서</t>
  </si>
  <si>
    <t>은평구</t>
  </si>
  <si>
    <t>장주영</t>
  </si>
  <si>
    <t>용산구</t>
  </si>
  <si>
    <t>VP02</t>
  </si>
  <si>
    <t>수채화그리기(중)</t>
  </si>
  <si>
    <t>하미정</t>
  </si>
  <si>
    <t>금천구</t>
  </si>
  <si>
    <t>한서윤</t>
  </si>
  <si>
    <t>강동구</t>
  </si>
  <si>
    <t>CE03</t>
  </si>
  <si>
    <t>영어회화고급</t>
  </si>
  <si>
    <t>송파구</t>
  </si>
  <si>
    <t>송창희</t>
  </si>
  <si>
    <t>강서구</t>
  </si>
  <si>
    <t>나민우</t>
  </si>
  <si>
    <t>강북구</t>
  </si>
  <si>
    <t>민지후</t>
  </si>
  <si>
    <t>홍기영</t>
  </si>
  <si>
    <t>동대문구</t>
  </si>
  <si>
    <t>황미음</t>
  </si>
  <si>
    <t>VF02</t>
  </si>
  <si>
    <t>피트니스2</t>
  </si>
  <si>
    <t>진하민</t>
  </si>
  <si>
    <t>영등포구</t>
  </si>
  <si>
    <t>TR03</t>
  </si>
  <si>
    <t>바이올린고급</t>
  </si>
  <si>
    <t>유하수</t>
  </si>
  <si>
    <t>CR01</t>
  </si>
  <si>
    <t>로봇코딩(오전)</t>
  </si>
  <si>
    <t>윤미래</t>
  </si>
  <si>
    <t>도미라</t>
  </si>
  <si>
    <t>유진희</t>
  </si>
  <si>
    <t>하창수</t>
  </si>
  <si>
    <t>하창희</t>
  </si>
  <si>
    <t>민윤서</t>
  </si>
  <si>
    <t>정의진</t>
  </si>
  <si>
    <t>서미라</t>
  </si>
  <si>
    <t>서정윤</t>
  </si>
  <si>
    <t>사미영</t>
  </si>
  <si>
    <t>VJ02</t>
  </si>
  <si>
    <t>종이접기(중)</t>
  </si>
  <si>
    <t>한동수</t>
  </si>
  <si>
    <t>최진이</t>
  </si>
  <si>
    <t>이미리</t>
  </si>
  <si>
    <t>VM01</t>
  </si>
  <si>
    <t>오카리나(초)</t>
  </si>
  <si>
    <t>임영진</t>
  </si>
  <si>
    <t>강미현</t>
  </si>
  <si>
    <t>민서율</t>
  </si>
  <si>
    <t>한지후</t>
  </si>
  <si>
    <t>도은서</t>
  </si>
  <si>
    <t>장한서</t>
  </si>
  <si>
    <t>TQ-023</t>
  </si>
  <si>
    <t>TQ-024</t>
  </si>
  <si>
    <t>TQ-025</t>
  </si>
  <si>
    <t>TQ-026</t>
  </si>
  <si>
    <t>TQ-027</t>
  </si>
  <si>
    <t>TQ-028</t>
  </si>
  <si>
    <t>TQ-029</t>
  </si>
  <si>
    <t>TQ-030</t>
  </si>
  <si>
    <t>TQ-031</t>
  </si>
  <si>
    <t>TQ-032</t>
  </si>
  <si>
    <t>TQ-033</t>
  </si>
  <si>
    <t>PT-003</t>
  </si>
  <si>
    <t>PT-004</t>
  </si>
  <si>
    <t>PT-005</t>
  </si>
  <si>
    <t>PT-006</t>
  </si>
  <si>
    <t>PT-007</t>
  </si>
  <si>
    <t>PT-008</t>
  </si>
  <si>
    <t>PT-009</t>
  </si>
  <si>
    <t>PT-010</t>
  </si>
  <si>
    <t>PT-011</t>
  </si>
  <si>
    <t>PT-012</t>
  </si>
  <si>
    <t>PT-013</t>
  </si>
  <si>
    <t>BO-009</t>
  </si>
  <si>
    <t>BO-010</t>
  </si>
  <si>
    <t>BO-011</t>
  </si>
  <si>
    <t>BO-012</t>
  </si>
  <si>
    <t>BO-013</t>
  </si>
  <si>
    <t>BO-014</t>
  </si>
  <si>
    <t>BO-015</t>
  </si>
  <si>
    <t>BO-016</t>
  </si>
  <si>
    <t>BO-017</t>
  </si>
  <si>
    <t>BO-018</t>
  </si>
  <si>
    <t>LB-021</t>
  </si>
  <si>
    <t>LB-022</t>
  </si>
  <si>
    <t>LB-023</t>
  </si>
  <si>
    <t>LB-024</t>
  </si>
  <si>
    <t>LB-025</t>
  </si>
  <si>
    <t>LB-026</t>
  </si>
  <si>
    <t>LB-027</t>
  </si>
  <si>
    <t>LB-028</t>
  </si>
  <si>
    <t>LB-029</t>
  </si>
  <si>
    <t>LB-030</t>
  </si>
  <si>
    <t>LB-031</t>
  </si>
  <si>
    <t>NX-014</t>
  </si>
  <si>
    <t>NX-015</t>
  </si>
  <si>
    <t>NX-016</t>
  </si>
  <si>
    <t>NX-017</t>
  </si>
  <si>
    <t>NX-018</t>
  </si>
  <si>
    <t>[표1]</t>
    <phoneticPr fontId="1" type="noConversion"/>
  </si>
  <si>
    <t>2023년</t>
  </si>
  <si>
    <t>2024년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</si>
</sst>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\~\ #&quot;월&quot;"/>
    <numFmt numFmtId="177" formatCode="[&gt;=10000]0&quot;단지 &quot;0000&quot;호&quot;;0&quot;단지 &quot;000&quot;호&quot;"/>
    <numFmt numFmtId="178" formatCode="[Red][&gt;=1000]\★#,##0;[Blue][&lt;150]\☆0;0"/>
    <numFmt numFmtId="179" formatCode="#,##0.0_ 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/>
        <bgColor theme="9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2" xfId="0" applyBorder="1">
      <alignment vertical="center"/>
    </xf>
    <xf numFmtId="14" fontId="0" fillId="0" borderId="2" xfId="0" applyNumberFormat="1" applyBorder="1">
      <alignment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1" applyNumberFormat="1" applyFon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78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 wrapText="1"/>
    </xf>
    <xf numFmtId="41" fontId="4" fillId="3" borderId="8" xfId="1" applyNumberFormat="1" applyFont="1" applyFill="1" applyBorder="1" applyAlignment="1">
      <alignment horizontal="right" vertical="center" wrapText="1"/>
    </xf>
    <xf numFmtId="41" fontId="4" fillId="3" borderId="7" xfId="1" applyNumberFormat="1" applyFont="1" applyFill="1" applyBorder="1" applyAlignment="1">
      <alignment horizontal="right" vertical="center" wrapText="1"/>
    </xf>
    <xf numFmtId="0" fontId="4" fillId="0" borderId="8" xfId="0" applyFont="1" applyBorder="1" applyAlignment="1">
      <alignment horizontal="center" vertical="center" wrapText="1"/>
    </xf>
    <xf numFmtId="41" fontId="4" fillId="0" borderId="8" xfId="1" applyNumberFormat="1" applyFont="1" applyBorder="1" applyAlignment="1">
      <alignment horizontal="right" vertical="center" wrapText="1"/>
    </xf>
    <xf numFmtId="41" fontId="4" fillId="0" borderId="7" xfId="1" applyNumberFormat="1" applyFont="1" applyBorder="1" applyAlignment="1">
      <alignment horizontal="right" vertical="center" wrapText="1"/>
    </xf>
    <xf numFmtId="0" fontId="4" fillId="3" borderId="3" xfId="0" applyFont="1" applyFill="1" applyBorder="1" applyAlignment="1">
      <alignment horizontal="center" vertical="center" wrapText="1"/>
    </xf>
    <xf numFmtId="41" fontId="4" fillId="3" borderId="3" xfId="1" applyNumberFormat="1" applyFont="1" applyFill="1" applyBorder="1" applyAlignment="1">
      <alignment horizontal="right" vertical="center" wrapText="1"/>
    </xf>
    <xf numFmtId="41" fontId="4" fillId="3" borderId="1" xfId="1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left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2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쉼표 [0]" xfId="1" builtinId="6"/>
    <cellStyle name="표준" xfId="0" builtinId="0"/>
  </cellStyles>
  <dxfs count="2">
    <dxf>
      <numFmt numFmtId="19" formatCode="yyyy/mm/dd"/>
    </dxf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'기타작업-1'!$B$2</c:f>
          <c:strCache>
            <c:ptCount val="1"/>
            <c:pt idx="0">
              <c:v>병역 판정검사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'기타작업-1'!$B$6</c:f>
              <c:strCache>
                <c:ptCount val="1"/>
                <c:pt idx="0">
                  <c:v>보충역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'기타작업-1'!$D$4:$F$4</c:f>
              <c:strCache>
                <c:ptCount val="3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</c:strCache>
            </c:strRef>
          </c:cat>
          <c:val>
            <c:numRef>
              <c:f>'기타작업-1'!$D$6:$F$6</c:f>
              <c:numCache>
                <c:formatCode>_(* #,##0_);_(* \(#,##0\);_(* "-"_);_(@_)</c:formatCode>
                <c:ptCount val="3"/>
                <c:pt idx="0">
                  <c:v>3592</c:v>
                </c:pt>
                <c:pt idx="1">
                  <c:v>2621</c:v>
                </c:pt>
                <c:pt idx="2">
                  <c:v>1850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34-4644-AAD7-7A6BEE71E88F}"/>
            </c:ext>
          </c:extLst>
        </c:ser>
        <c:ser>
          <c:idx val="0"/>
          <c:order val="1"/>
          <c:tx>
            <c:strRef>
              <c:f>'기타작업-1'!$B$5</c:f>
              <c:strCache>
                <c:ptCount val="1"/>
                <c:pt idx="0">
                  <c:v>현역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734-4644-AAD7-7A6BEE71E8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'기타작업-1'!$D$4:$F$4</c:f>
              <c:strCache>
                <c:ptCount val="3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</c:strCache>
            </c:strRef>
          </c:cat>
          <c:val>
            <c:numRef>
              <c:f>'기타작업-1'!$D$5:$F$5</c:f>
              <c:numCache>
                <c:formatCode>_(* #,##0_);_(* \(#,##0\);_(* "-"_);_(@_)</c:formatCode>
                <c:ptCount val="3"/>
                <c:pt idx="0">
                  <c:v>3248</c:v>
                </c:pt>
                <c:pt idx="1">
                  <c:v>3550</c:v>
                </c:pt>
                <c:pt idx="2">
                  <c:v>4358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4-4644-AAD7-7A6BEE71E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58971583"/>
        <c:axId val="758978239"/>
      </c:barChart>
      <c:lineChart>
        <c:grouping val="standard"/>
        <c:varyColors val="0"/>
        <c:ser>
          <c:idx val="2"/>
          <c:order val="2"/>
          <c:tx>
            <c:strRef>
              <c:f>'기타작업-1'!$B$7</c:f>
              <c:strCache>
                <c:ptCount val="1"/>
                <c:pt idx="0">
                  <c:v>전시근로역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'기타작업-1'!$D$4:$F$4</c:f>
              <c:strCache>
                <c:ptCount val="3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</c:strCache>
            </c:strRef>
          </c:cat>
          <c:val>
            <c:numRef>
              <c:f>'기타작업-1'!$D$7:$F$7</c:f>
              <c:numCache>
                <c:formatCode>_(* #,##0_);_(* \(#,##0\);_(* "-"_);_(@_)</c:formatCode>
                <c:ptCount val="3"/>
                <c:pt idx="0">
                  <c:v>1150</c:v>
                </c:pt>
                <c:pt idx="1">
                  <c:v>2750</c:v>
                </c:pt>
                <c:pt idx="2">
                  <c:v>1820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34-4644-AAD7-7A6BEE71E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8971583"/>
        <c:axId val="758978239"/>
      </c:lineChart>
      <c:catAx>
        <c:axId val="7589715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연도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58978239"/>
        <c:crosses val="autoZero"/>
        <c:auto val="1"/>
        <c:lblAlgn val="ctr"/>
        <c:lblOffset val="100"/>
        <c:noMultiLvlLbl val="0"/>
      </c:catAx>
      <c:valAx>
        <c:axId val="758978239"/>
        <c:scaling>
          <c:orientation val="minMax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wordArtVertRtl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인원수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58971583"/>
        <c:crosses val="autoZero"/>
        <c:crossBetween val="between"/>
        <c:majorUnit val="1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70C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9</xdr:col>
      <xdr:colOff>0</xdr:colOff>
      <xdr:row>25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아파트동호수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전기사용량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3</xdr:col>
          <xdr:colOff>19050</xdr:colOff>
          <xdr:row>3</xdr:row>
          <xdr:rowOff>28575</xdr:rowOff>
        </xdr:to>
        <xdr:sp macro="" textlink="">
          <xdr:nvSpPr>
            <xdr:cNvPr id="9217" name="cmd등록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er" refreshedDate="45211.002952546296" backgroundQuery="1" createdVersion="7" refreshedVersion="7" minRefreshableVersion="3" recordCount="0" supportSubquery="1" supportAdvancedDrill="1" xr:uid="{2F92462C-346B-42D3-8F2D-240881862DCB}">
  <cacheSource type="external" connectionId="2"/>
  <cacheFields count="4">
    <cacheField name="[항공현황].[출발공항].[출발공항]" caption="출발공항" numFmtId="0" level="1">
      <sharedItems count="5">
        <s v="광주"/>
        <s v="김포"/>
        <s v="김해"/>
        <s v="대구"/>
        <s v="제주"/>
      </sharedItems>
    </cacheField>
    <cacheField name="[항공현황].[항공월(월)].[항공월(월)]" caption="항공월(월)" numFmtId="0" hierarchy="7" level="1">
      <sharedItems count="3">
        <s v="05월"/>
        <s v="06월"/>
        <s v="07월"/>
      </sharedItems>
    </cacheField>
    <cacheField name="[Measures].[평균: 여객]" caption="평균: 여객" numFmtId="0" hierarchy="13" level="32767"/>
    <cacheField name="[Measures].[평균: 화물]" caption="평균: 화물" numFmtId="0" hierarchy="14" level="32767"/>
  </cacheFields>
  <cacheHierarchies count="15">
    <cacheHierarchy uniqueName="[항공현황].[출발공항]" caption="출발공항" attribute="1" defaultMemberUniqueName="[항공현황].[출발공항].[All]" allUniqueName="[항공현황].[출발공항].[All]" dimensionUniqueName="[항공현황]" displayFolder="" count="2" memberValueDatatype="130" unbalanced="0">
      <fieldsUsage count="2">
        <fieldUsage x="-1"/>
        <fieldUsage x="0"/>
      </fieldsUsage>
    </cacheHierarchy>
    <cacheHierarchy uniqueName="[항공현황].[공항코드]" caption="공항코드" attribute="1" defaultMemberUniqueName="[항공현황].[공항코드].[All]" allUniqueName="[항공현황].[공항코드].[All]" dimensionUniqueName="[항공현황]" displayFolder="" count="0" memberValueDatatype="130" unbalanced="0"/>
    <cacheHierarchy uniqueName="[항공현황].[항공월]" caption="항공월" attribute="1" time="1" defaultMemberUniqueName="[항공현황].[항공월].[All]" allUniqueName="[항공현황].[항공월].[All]" dimensionUniqueName="[항공현황]" displayFolder="" count="2" memberValueDatatype="7" unbalanced="0"/>
    <cacheHierarchy uniqueName="[항공현황].[항공편명]" caption="항공편명" attribute="1" defaultMemberUniqueName="[항공현황].[항공편명].[All]" allUniqueName="[항공현황].[항공편명].[All]" dimensionUniqueName="[항공현황]" displayFolder="" count="0" memberValueDatatype="130" unbalanced="0"/>
    <cacheHierarchy uniqueName="[항공현황].[항공코드]" caption="항공코드" attribute="1" defaultMemberUniqueName="[항공현황].[항공코드].[All]" allUniqueName="[항공현황].[항공코드].[All]" dimensionUniqueName="[항공현황]" displayFolder="" count="0" memberValueDatatype="130" unbalanced="0"/>
    <cacheHierarchy uniqueName="[항공현황].[여객]" caption="여객" attribute="1" defaultMemberUniqueName="[항공현황].[여객].[All]" allUniqueName="[항공현황].[여객].[All]" dimensionUniqueName="[항공현황]" displayFolder="" count="0" memberValueDatatype="20" unbalanced="0"/>
    <cacheHierarchy uniqueName="[항공현황].[화물]" caption="화물" attribute="1" defaultMemberUniqueName="[항공현황].[화물].[All]" allUniqueName="[항공현황].[화물].[All]" dimensionUniqueName="[항공현황]" displayFolder="" count="0" memberValueDatatype="20" unbalanced="0"/>
    <cacheHierarchy uniqueName="[항공현황].[항공월(월)]" caption="항공월(월)" attribute="1" defaultMemberUniqueName="[항공현황].[항공월(월)].[All]" allUniqueName="[항공현황].[항공월(월)].[All]" dimensionUniqueName="[항공현황]" displayFolder="" count="2" memberValueDatatype="130" unbalanced="0">
      <fieldsUsage count="2">
        <fieldUsage x="-1"/>
        <fieldUsage x="1"/>
      </fieldsUsage>
    </cacheHierarchy>
    <cacheHierarchy uniqueName="[항공현황].[항공월(월 인덱스)]" caption="항공월(월 인덱스)" attribute="1" defaultMemberUniqueName="[항공현황].[항공월(월 인덱스)].[All]" allUniqueName="[항공현황].[항공월(월 인덱스)].[All]" dimensionUniqueName="[항공현황]" displayFolder="" count="0" memberValueDatatype="20" unbalanced="0" hidden="1"/>
    <cacheHierarchy uniqueName="[Measures].[__XL_Count 항공현황]" caption="__XL_Count 항공현황" measure="1" displayFolder="" measureGroup="항공현황" count="0" hidden="1"/>
    <cacheHierarchy uniqueName="[Measures].[__No measures defined]" caption="__No measures defined" measure="1" displayFolder="" count="0" hidden="1"/>
    <cacheHierarchy uniqueName="[Measures].[합계: 여객]" caption="합계: 여객" measure="1" displayFolder="" measureGroup="항공현황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합계: 화물]" caption="합계: 화물" measure="1" displayFolder="" measureGroup="항공현황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평균: 여객]" caption="평균: 여객" measure="1" displayFolder="" measureGroup="항공현황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평균: 화물]" caption="평균: 화물" measure="1" displayFolder="" measureGroup="항공현황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2">
    <dimension measure="1" name="Measures" uniqueName="[Measures]" caption="Measures"/>
    <dimension name="항공현황" uniqueName="[항공현황]" caption="항공현황"/>
  </dimensions>
  <measureGroups count="1">
    <measureGroup name="항공현황" caption="항공현황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DFBAF5-895B-4902-83A8-53F4C1C69A55}" name="피벗 테이블1" cacheId="0" dataOnRows="1" applyNumberFormats="0" applyBorderFormats="0" applyFontFormats="0" applyPatternFormats="0" applyAlignmentFormats="0" applyWidthHeightFormats="1" dataCaption="값" updatedVersion="7" minRefreshableVersion="3" useAutoFormatting="1" colGrandTotals="0" itemPrintTitles="1" createdVersion="7" indent="0" compact="0" outline="1" outlineData="1" compactData="0" multipleFieldFilters="0">
  <location ref="B4:H16" firstHeaderRow="1" firstDataRow="2" firstDataCol="2"/>
  <pivotFields count="4">
    <pivotField axis="axisCol" compact="0" allDrilled="1" showAll="0" dataSourceSort="1" defaultSubtotal="0" defaultAttributeDrillState="1">
      <items count="5">
        <item x="0"/>
        <item x="1"/>
        <item x="2"/>
        <item x="3"/>
        <item x="4"/>
      </items>
    </pivotField>
    <pivotField axis="axisRow" compact="0" allDrilled="1" showAll="0" dataSourceSort="1" defaultSubtotal="0" defaultAttributeDrillState="1">
      <items count="3">
        <item x="0"/>
        <item x="1"/>
        <item x="2"/>
      </items>
    </pivotField>
    <pivotField dataField="1" compact="0" subtotalTop="0" showAll="0" defaultSubtotal="0"/>
    <pivotField dataField="1" compact="0" subtotalTop="0" showAll="0" defaultSubtotal="0"/>
  </pivotFields>
  <rowFields count="2">
    <field x="1"/>
    <field x="-2"/>
  </rowFields>
  <rowItems count="11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 t="grand">
      <x/>
    </i>
    <i t="grand" i="1">
      <x/>
    </i>
  </rowItems>
  <colFields count="1">
    <field x="0"/>
  </colFields>
  <colItems count="5">
    <i>
      <x/>
    </i>
    <i>
      <x v="1"/>
    </i>
    <i>
      <x v="2"/>
    </i>
    <i>
      <x v="3"/>
    </i>
    <i>
      <x v="4"/>
    </i>
  </colItems>
  <dataFields count="2">
    <dataField name="평균: 여객" fld="2" subtotal="average" baseField="1" baseItem="0" numFmtId="179"/>
    <dataField name="평균: 화물" fld="3" subtotal="average" baseField="1" baseItem="0" numFmtId="179"/>
  </dataFields>
  <pivotHierarchies count="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평균: 여객"/>
    <pivotHierarchy dragToData="1" caption="평균: 화물"/>
  </pivotHierarchies>
  <pivotTableStyleInfo name="PivotStyleMedium14" showRowHeaders="1" showColHeaders="1" showRowStripes="0" showColStripes="0" showLastColumn="1"/>
  <rowHierarchiesUsage count="2">
    <rowHierarchyUsage hierarchyUsage="7"/>
    <rowHierarchyUsage hierarchyUsage="-2"/>
  </rowHierarchiesUsage>
  <colHierarchiesUsage count="1">
    <colHierarchyUsage hierarchyUsage="0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쿼리 - 항공현황">
        <x15:activeTabTopLevelEntity name="[항공현황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960492D8-147B-4782-8AC3-E1082E898089}" autoFormatId="16" applyNumberFormats="0" applyBorderFormats="0" applyFontFormats="0" applyPatternFormats="0" applyAlignmentFormats="0" applyWidthHeightFormats="0">
  <queryTableRefresh nextId="10">
    <queryTableFields count="9">
      <queryTableField id="1" name="항공현황[출발공항]" tableColumnId="1"/>
      <queryTableField id="2" name="항공현황[공항코드]" tableColumnId="2"/>
      <queryTableField id="3" name="항공현황[항공월]" tableColumnId="3"/>
      <queryTableField id="4" name="항공현황[항공편명]" tableColumnId="4"/>
      <queryTableField id="5" name="항공현황[항공코드]" tableColumnId="5"/>
      <queryTableField id="6" name="항공현황[여객]" tableColumnId="6"/>
      <queryTableField id="7" name="항공현황[화물]" tableColumnId="7"/>
      <queryTableField id="8" name="항공현황[항공월(월)]" tableColumnId="8"/>
      <queryTableField id="9" name="항공현황[항공월(월 인덱스)]" tableColumnId="9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56AB76-9AA9-42D8-8B8A-0A80559BE6F9}" name="표_ExternalData_1" displayName="표_ExternalData_1" ref="A3:I6" tableType="queryTable" totalsRowShown="0">
  <autoFilter ref="A3:I6" xr:uid="{0C56AB76-9AA9-42D8-8B8A-0A80559BE6F9}"/>
  <tableColumns count="9">
    <tableColumn id="1" xr3:uid="{38E8B98B-18FC-41E2-B95F-9AA238CD51B4}" uniqueName="1" name="항공현황[출발공항]" queryTableFieldId="1"/>
    <tableColumn id="2" xr3:uid="{7387F5B3-0798-413D-A336-3BBD08220837}" uniqueName="2" name="항공현황[공항코드]" queryTableFieldId="2"/>
    <tableColumn id="3" xr3:uid="{1515A191-A314-4E6E-9D30-49469081AD79}" uniqueName="3" name="항공현황[항공월]" queryTableFieldId="3" dataDxfId="0"/>
    <tableColumn id="4" xr3:uid="{5770ACC3-2112-4ABA-B8F0-24C8ED2C4D0C}" uniqueName="4" name="항공현황[항공편명]" queryTableFieldId="4"/>
    <tableColumn id="5" xr3:uid="{B44D0394-643D-4303-A61A-7D64F8CF3674}" uniqueName="5" name="항공현황[항공코드]" queryTableFieldId="5"/>
    <tableColumn id="6" xr3:uid="{9C0696CD-AA35-4699-97F1-F6ED73CFA4D8}" uniqueName="6" name="항공현황[여객]" queryTableFieldId="6"/>
    <tableColumn id="7" xr3:uid="{8BB57CB4-2625-46BC-9B15-97D66CE9C1DB}" uniqueName="7" name="항공현황[화물]" queryTableFieldId="7"/>
    <tableColumn id="8" xr3:uid="{FEC2002B-DDBB-41C7-B071-4C3C8EDFB8A7}" uniqueName="8" name="항공현황[항공월(월)]" queryTableFieldId="8"/>
    <tableColumn id="9" xr3:uid="{B31D4521-4DFB-4C70-9D93-C47F11037933}" uniqueName="9" name="항공현황[항공월(월 인덱스)]" queryTableField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L32"/>
  <sheetViews>
    <sheetView workbookViewId="0"/>
  </sheetViews>
  <sheetFormatPr defaultRowHeight="16.5" x14ac:dyDescent="0.3"/>
  <cols>
    <col min="5" max="5" width="11.125" customWidth="1"/>
  </cols>
  <sheetData>
    <row r="2" spans="1:12" x14ac:dyDescent="0.3">
      <c r="A2" s="2" t="s">
        <v>132</v>
      </c>
      <c r="B2" s="2" t="s">
        <v>1</v>
      </c>
      <c r="C2" s="2" t="s">
        <v>2</v>
      </c>
      <c r="D2" s="2" t="s">
        <v>133</v>
      </c>
      <c r="E2" s="2" t="s">
        <v>3</v>
      </c>
      <c r="F2" s="2" t="s">
        <v>4</v>
      </c>
      <c r="G2" s="2" t="s">
        <v>5</v>
      </c>
      <c r="I2" s="11" t="s">
        <v>184</v>
      </c>
    </row>
    <row r="3" spans="1:12" x14ac:dyDescent="0.3">
      <c r="A3" s="2" t="s">
        <v>6</v>
      </c>
      <c r="B3" s="2" t="s">
        <v>134</v>
      </c>
      <c r="C3" s="2">
        <v>2025.02</v>
      </c>
      <c r="D3" s="2" t="s">
        <v>135</v>
      </c>
      <c r="E3" s="2" t="s">
        <v>136</v>
      </c>
      <c r="F3" s="3">
        <v>5324</v>
      </c>
      <c r="G3" s="3">
        <v>954</v>
      </c>
      <c r="I3" t="b">
        <f>AND(NOT(ISNUMBER(D3)),A3&lt;&gt;"제주")</f>
        <v>0</v>
      </c>
    </row>
    <row r="4" spans="1:12" x14ac:dyDescent="0.3">
      <c r="A4" s="2" t="s">
        <v>137</v>
      </c>
      <c r="B4" s="2" t="s">
        <v>138</v>
      </c>
      <c r="C4" s="2">
        <v>2025.07</v>
      </c>
      <c r="D4" s="2">
        <v>1074</v>
      </c>
      <c r="E4" s="2" t="s">
        <v>139</v>
      </c>
      <c r="F4" s="3">
        <v>6512</v>
      </c>
      <c r="G4" s="3">
        <v>3520</v>
      </c>
    </row>
    <row r="5" spans="1:12" x14ac:dyDescent="0.3">
      <c r="A5" s="2" t="s">
        <v>140</v>
      </c>
      <c r="B5" s="2" t="s">
        <v>141</v>
      </c>
      <c r="C5" s="2">
        <v>2025.05</v>
      </c>
      <c r="D5" s="2" t="s">
        <v>142</v>
      </c>
      <c r="E5" s="2" t="s">
        <v>143</v>
      </c>
      <c r="F5" s="3">
        <v>1962</v>
      </c>
      <c r="G5" s="3">
        <v>1380</v>
      </c>
    </row>
    <row r="6" spans="1:12" x14ac:dyDescent="0.3">
      <c r="A6" s="2" t="s">
        <v>144</v>
      </c>
      <c r="B6" s="2" t="s">
        <v>145</v>
      </c>
      <c r="C6" s="2">
        <v>2025.05</v>
      </c>
      <c r="D6" s="2" t="s">
        <v>146</v>
      </c>
      <c r="E6" s="2" t="s">
        <v>147</v>
      </c>
      <c r="F6" s="3">
        <v>1235</v>
      </c>
      <c r="G6" s="3">
        <v>325</v>
      </c>
      <c r="I6" s="2" t="s">
        <v>2</v>
      </c>
      <c r="J6" s="2" t="s">
        <v>133</v>
      </c>
      <c r="K6" s="2" t="s">
        <v>4</v>
      </c>
      <c r="L6" s="2" t="s">
        <v>5</v>
      </c>
    </row>
    <row r="7" spans="1:12" x14ac:dyDescent="0.3">
      <c r="A7" s="2" t="s">
        <v>6</v>
      </c>
      <c r="B7" s="2" t="s">
        <v>134</v>
      </c>
      <c r="C7" s="2">
        <v>2025.06</v>
      </c>
      <c r="D7" s="2">
        <v>3061</v>
      </c>
      <c r="E7" s="2" t="s">
        <v>148</v>
      </c>
      <c r="F7" s="3">
        <v>1986</v>
      </c>
      <c r="G7" s="3">
        <v>1010</v>
      </c>
      <c r="I7" s="2">
        <v>2025.05</v>
      </c>
      <c r="J7" s="2" t="s">
        <v>142</v>
      </c>
      <c r="K7" s="3">
        <v>1962</v>
      </c>
      <c r="L7" s="3">
        <v>1380</v>
      </c>
    </row>
    <row r="8" spans="1:12" x14ac:dyDescent="0.3">
      <c r="A8" s="2" t="s">
        <v>140</v>
      </c>
      <c r="B8" s="2" t="s">
        <v>141</v>
      </c>
      <c r="C8" s="2">
        <v>2025.03</v>
      </c>
      <c r="D8" s="2" t="s">
        <v>149</v>
      </c>
      <c r="E8" s="2" t="s">
        <v>150</v>
      </c>
      <c r="F8" s="3">
        <v>1594</v>
      </c>
      <c r="G8" s="3">
        <v>899</v>
      </c>
      <c r="I8" s="2">
        <v>2025.05</v>
      </c>
      <c r="J8" s="2" t="s">
        <v>146</v>
      </c>
      <c r="K8" s="3">
        <v>1235</v>
      </c>
      <c r="L8" s="3">
        <v>325</v>
      </c>
    </row>
    <row r="9" spans="1:12" x14ac:dyDescent="0.3">
      <c r="A9" s="2" t="s">
        <v>8</v>
      </c>
      <c r="B9" s="2" t="s">
        <v>151</v>
      </c>
      <c r="C9" s="2">
        <v>2025.02</v>
      </c>
      <c r="D9" s="2" t="s">
        <v>152</v>
      </c>
      <c r="E9" s="2" t="s">
        <v>153</v>
      </c>
      <c r="F9" s="3">
        <v>5428</v>
      </c>
      <c r="G9" s="3">
        <v>2410</v>
      </c>
      <c r="I9" s="2">
        <v>2025.03</v>
      </c>
      <c r="J9" s="2" t="s">
        <v>149</v>
      </c>
      <c r="K9" s="3">
        <v>1594</v>
      </c>
      <c r="L9" s="3">
        <v>899</v>
      </c>
    </row>
    <row r="10" spans="1:12" x14ac:dyDescent="0.3">
      <c r="A10" s="2" t="s">
        <v>6</v>
      </c>
      <c r="B10" s="2" t="s">
        <v>134</v>
      </c>
      <c r="C10" s="2">
        <v>2025.04</v>
      </c>
      <c r="D10" s="2" t="s">
        <v>185</v>
      </c>
      <c r="E10" s="2" t="s">
        <v>154</v>
      </c>
      <c r="F10" s="3">
        <v>3856</v>
      </c>
      <c r="G10" s="3">
        <v>842</v>
      </c>
      <c r="I10" s="2">
        <v>2025.02</v>
      </c>
      <c r="J10" s="2" t="s">
        <v>152</v>
      </c>
      <c r="K10" s="3">
        <v>5428</v>
      </c>
      <c r="L10" s="3">
        <v>2410</v>
      </c>
    </row>
    <row r="11" spans="1:12" x14ac:dyDescent="0.3">
      <c r="A11" s="2" t="s">
        <v>144</v>
      </c>
      <c r="B11" s="2" t="s">
        <v>145</v>
      </c>
      <c r="C11" s="2">
        <v>2025.04</v>
      </c>
      <c r="D11" s="2">
        <v>2046</v>
      </c>
      <c r="E11" s="2" t="s">
        <v>155</v>
      </c>
      <c r="F11" s="3">
        <v>1755</v>
      </c>
      <c r="G11" s="3">
        <v>436</v>
      </c>
      <c r="I11" s="2">
        <v>2025.05</v>
      </c>
      <c r="J11" s="2" t="s">
        <v>171</v>
      </c>
      <c r="K11" s="3">
        <v>3481</v>
      </c>
      <c r="L11" s="3">
        <v>1462</v>
      </c>
    </row>
    <row r="12" spans="1:12" x14ac:dyDescent="0.3">
      <c r="A12" s="2" t="s">
        <v>144</v>
      </c>
      <c r="B12" s="2" t="s">
        <v>145</v>
      </c>
      <c r="C12" s="2">
        <v>2025.08</v>
      </c>
      <c r="D12" s="2">
        <v>1086</v>
      </c>
      <c r="E12" s="2" t="s">
        <v>156</v>
      </c>
      <c r="F12" s="3">
        <v>1520</v>
      </c>
      <c r="G12" s="3">
        <v>425</v>
      </c>
      <c r="I12" s="2">
        <v>2025.06</v>
      </c>
      <c r="J12" s="2" t="s">
        <v>173</v>
      </c>
      <c r="K12" s="3">
        <v>2654</v>
      </c>
      <c r="L12" s="3">
        <v>1105</v>
      </c>
    </row>
    <row r="13" spans="1:12" x14ac:dyDescent="0.3">
      <c r="A13" s="2" t="s">
        <v>137</v>
      </c>
      <c r="B13" s="2" t="s">
        <v>138</v>
      </c>
      <c r="C13" s="2">
        <v>2025.06</v>
      </c>
      <c r="D13" s="2">
        <v>3064</v>
      </c>
      <c r="E13" s="2" t="s">
        <v>157</v>
      </c>
      <c r="F13" s="3">
        <v>3874</v>
      </c>
      <c r="G13" s="3">
        <v>1841</v>
      </c>
      <c r="I13" s="2">
        <v>2025.05</v>
      </c>
      <c r="J13" s="2" t="s">
        <v>176</v>
      </c>
      <c r="K13" s="3">
        <v>2620</v>
      </c>
      <c r="L13" s="3">
        <v>1060</v>
      </c>
    </row>
    <row r="14" spans="1:12" x14ac:dyDescent="0.3">
      <c r="A14" s="2" t="s">
        <v>8</v>
      </c>
      <c r="B14" s="2" t="s">
        <v>151</v>
      </c>
      <c r="C14" s="2">
        <v>2025.04</v>
      </c>
      <c r="D14" s="2">
        <v>3042</v>
      </c>
      <c r="E14" s="2" t="s">
        <v>158</v>
      </c>
      <c r="F14" s="3">
        <v>2386</v>
      </c>
      <c r="G14" s="3">
        <v>1164</v>
      </c>
      <c r="I14" s="2">
        <v>2025.08</v>
      </c>
      <c r="J14" s="2" t="s">
        <v>179</v>
      </c>
      <c r="K14" s="3">
        <v>1658</v>
      </c>
      <c r="L14" s="3">
        <v>401</v>
      </c>
    </row>
    <row r="15" spans="1:12" x14ac:dyDescent="0.3">
      <c r="A15" s="2" t="s">
        <v>6</v>
      </c>
      <c r="B15" s="2" t="s">
        <v>134</v>
      </c>
      <c r="C15" s="2">
        <v>2025.08</v>
      </c>
      <c r="D15" s="2" t="s">
        <v>159</v>
      </c>
      <c r="E15" s="2" t="s">
        <v>160</v>
      </c>
      <c r="F15" s="3">
        <v>4620</v>
      </c>
      <c r="G15" s="3">
        <v>2150</v>
      </c>
    </row>
    <row r="16" spans="1:12" x14ac:dyDescent="0.3">
      <c r="A16" s="2" t="s">
        <v>8</v>
      </c>
      <c r="B16" s="2" t="s">
        <v>151</v>
      </c>
      <c r="C16" s="2">
        <v>2025.07</v>
      </c>
      <c r="D16" s="2">
        <v>1072</v>
      </c>
      <c r="E16" s="2" t="s">
        <v>161</v>
      </c>
      <c r="F16" s="3">
        <v>1103</v>
      </c>
      <c r="G16" s="3">
        <v>557</v>
      </c>
    </row>
    <row r="17" spans="1:7" x14ac:dyDescent="0.3">
      <c r="A17" s="2" t="s">
        <v>6</v>
      </c>
      <c r="B17" s="2" t="s">
        <v>134</v>
      </c>
      <c r="C17" s="2">
        <v>2025.05</v>
      </c>
      <c r="D17" s="2" t="s">
        <v>162</v>
      </c>
      <c r="E17" s="2" t="s">
        <v>163</v>
      </c>
      <c r="F17" s="3">
        <v>2210</v>
      </c>
      <c r="G17" s="3">
        <v>1243</v>
      </c>
    </row>
    <row r="18" spans="1:7" x14ac:dyDescent="0.3">
      <c r="A18" s="2" t="s">
        <v>144</v>
      </c>
      <c r="B18" s="2" t="s">
        <v>145</v>
      </c>
      <c r="C18" s="2">
        <v>2025.07</v>
      </c>
      <c r="D18" s="2">
        <v>3076</v>
      </c>
      <c r="E18" s="2" t="s">
        <v>164</v>
      </c>
      <c r="F18" s="3">
        <v>2263</v>
      </c>
      <c r="G18" s="3">
        <v>1360</v>
      </c>
    </row>
    <row r="19" spans="1:7" x14ac:dyDescent="0.3">
      <c r="A19" s="2" t="s">
        <v>140</v>
      </c>
      <c r="B19" s="2" t="s">
        <v>141</v>
      </c>
      <c r="C19" s="2">
        <v>2025.06</v>
      </c>
      <c r="D19" s="2">
        <v>1065</v>
      </c>
      <c r="E19" s="2" t="s">
        <v>165</v>
      </c>
      <c r="F19" s="3">
        <v>2170</v>
      </c>
      <c r="G19" s="3">
        <v>1207</v>
      </c>
    </row>
    <row r="20" spans="1:7" x14ac:dyDescent="0.3">
      <c r="A20" s="2" t="s">
        <v>137</v>
      </c>
      <c r="B20" s="2" t="s">
        <v>138</v>
      </c>
      <c r="C20" s="2">
        <v>2025.04</v>
      </c>
      <c r="D20" s="2">
        <v>2044</v>
      </c>
      <c r="E20" s="2" t="s">
        <v>166</v>
      </c>
      <c r="F20" s="3">
        <v>2531</v>
      </c>
      <c r="G20" s="3">
        <v>856</v>
      </c>
    </row>
    <row r="21" spans="1:7" x14ac:dyDescent="0.3">
      <c r="A21" s="2" t="s">
        <v>137</v>
      </c>
      <c r="B21" s="2" t="s">
        <v>138</v>
      </c>
      <c r="C21" s="2">
        <v>2025.08</v>
      </c>
      <c r="D21" s="2">
        <v>1084</v>
      </c>
      <c r="E21" s="2" t="s">
        <v>167</v>
      </c>
      <c r="F21" s="3">
        <v>5268</v>
      </c>
      <c r="G21" s="3">
        <v>3210</v>
      </c>
    </row>
    <row r="22" spans="1:7" x14ac:dyDescent="0.3">
      <c r="A22" s="2" t="s">
        <v>6</v>
      </c>
      <c r="B22" s="2" t="s">
        <v>134</v>
      </c>
      <c r="C22" s="2">
        <v>2025.07</v>
      </c>
      <c r="D22" s="2" t="s">
        <v>168</v>
      </c>
      <c r="E22" s="2" t="s">
        <v>169</v>
      </c>
      <c r="F22" s="3">
        <v>1540</v>
      </c>
      <c r="G22" s="3">
        <v>965</v>
      </c>
    </row>
    <row r="23" spans="1:7" x14ac:dyDescent="0.3">
      <c r="A23" s="2" t="s">
        <v>6</v>
      </c>
      <c r="B23" s="2" t="s">
        <v>134</v>
      </c>
      <c r="C23" s="2">
        <v>2025.03</v>
      </c>
      <c r="D23" s="2">
        <v>2031</v>
      </c>
      <c r="E23" s="2" t="s">
        <v>170</v>
      </c>
      <c r="F23" s="3">
        <v>4985</v>
      </c>
      <c r="G23" s="3">
        <v>1240</v>
      </c>
    </row>
    <row r="24" spans="1:7" x14ac:dyDescent="0.3">
      <c r="A24" s="2" t="s">
        <v>8</v>
      </c>
      <c r="B24" s="2" t="s">
        <v>151</v>
      </c>
      <c r="C24" s="2">
        <v>2025.05</v>
      </c>
      <c r="D24" s="2" t="s">
        <v>171</v>
      </c>
      <c r="E24" s="2" t="s">
        <v>172</v>
      </c>
      <c r="F24" s="3">
        <v>3481</v>
      </c>
      <c r="G24" s="3">
        <v>1462</v>
      </c>
    </row>
    <row r="25" spans="1:7" x14ac:dyDescent="0.3">
      <c r="A25" s="2" t="s">
        <v>144</v>
      </c>
      <c r="B25" s="2" t="s">
        <v>145</v>
      </c>
      <c r="C25" s="2">
        <v>2025.06</v>
      </c>
      <c r="D25" s="2" t="s">
        <v>173</v>
      </c>
      <c r="E25" s="2" t="s">
        <v>174</v>
      </c>
      <c r="F25" s="3">
        <v>2654</v>
      </c>
      <c r="G25" s="3">
        <v>1105</v>
      </c>
    </row>
    <row r="26" spans="1:7" x14ac:dyDescent="0.3">
      <c r="A26" s="2" t="s">
        <v>140</v>
      </c>
      <c r="B26" s="2" t="s">
        <v>141</v>
      </c>
      <c r="C26" s="2">
        <v>2025.07</v>
      </c>
      <c r="D26" s="2">
        <v>3075</v>
      </c>
      <c r="E26" s="2" t="s">
        <v>175</v>
      </c>
      <c r="F26" s="3">
        <v>1254</v>
      </c>
      <c r="G26" s="3">
        <v>336</v>
      </c>
    </row>
    <row r="27" spans="1:7" x14ac:dyDescent="0.3">
      <c r="A27" s="2" t="s">
        <v>137</v>
      </c>
      <c r="B27" s="2" t="s">
        <v>138</v>
      </c>
      <c r="C27" s="2">
        <v>2025.05</v>
      </c>
      <c r="D27" s="2" t="s">
        <v>176</v>
      </c>
      <c r="E27" s="2" t="s">
        <v>177</v>
      </c>
      <c r="F27" s="3">
        <v>2620</v>
      </c>
      <c r="G27" s="3">
        <v>1060</v>
      </c>
    </row>
    <row r="28" spans="1:7" x14ac:dyDescent="0.3">
      <c r="A28" s="2" t="s">
        <v>8</v>
      </c>
      <c r="B28" s="2" t="s">
        <v>151</v>
      </c>
      <c r="C28" s="2">
        <v>2025.03</v>
      </c>
      <c r="D28" s="2">
        <v>2032</v>
      </c>
      <c r="E28" s="2" t="s">
        <v>178</v>
      </c>
      <c r="F28" s="3">
        <v>4751</v>
      </c>
      <c r="G28" s="3">
        <v>2150</v>
      </c>
    </row>
    <row r="29" spans="1:7" x14ac:dyDescent="0.3">
      <c r="A29" s="2" t="s">
        <v>8</v>
      </c>
      <c r="B29" s="2" t="s">
        <v>151</v>
      </c>
      <c r="C29" s="2">
        <v>2025.08</v>
      </c>
      <c r="D29" s="2" t="s">
        <v>179</v>
      </c>
      <c r="E29" s="2" t="s">
        <v>180</v>
      </c>
      <c r="F29" s="3">
        <v>1658</v>
      </c>
      <c r="G29" s="3">
        <v>401</v>
      </c>
    </row>
    <row r="30" spans="1:7" x14ac:dyDescent="0.3">
      <c r="A30" s="2" t="s">
        <v>137</v>
      </c>
      <c r="B30" s="2" t="s">
        <v>138</v>
      </c>
      <c r="C30" s="2">
        <v>2025.03</v>
      </c>
      <c r="D30" s="2">
        <v>74034</v>
      </c>
      <c r="E30" s="2" t="s">
        <v>181</v>
      </c>
      <c r="F30" s="3">
        <v>3367</v>
      </c>
      <c r="G30" s="3">
        <v>1548</v>
      </c>
    </row>
    <row r="31" spans="1:7" x14ac:dyDescent="0.3">
      <c r="A31" s="2" t="s">
        <v>140</v>
      </c>
      <c r="B31" s="2" t="s">
        <v>141</v>
      </c>
      <c r="C31" s="2">
        <v>2025.04</v>
      </c>
      <c r="D31" s="2">
        <v>2045</v>
      </c>
      <c r="E31" s="2" t="s">
        <v>182</v>
      </c>
      <c r="F31" s="3">
        <v>2385</v>
      </c>
      <c r="G31" s="3">
        <v>1040</v>
      </c>
    </row>
    <row r="32" spans="1:7" x14ac:dyDescent="0.3">
      <c r="A32" s="2" t="s">
        <v>8</v>
      </c>
      <c r="B32" s="2" t="s">
        <v>151</v>
      </c>
      <c r="C32" s="2">
        <v>2025.06</v>
      </c>
      <c r="D32" s="2">
        <v>47062</v>
      </c>
      <c r="E32" s="2" t="s">
        <v>183</v>
      </c>
      <c r="F32" s="3">
        <v>1128</v>
      </c>
      <c r="G32" s="3">
        <v>898</v>
      </c>
    </row>
  </sheetData>
  <phoneticPr fontId="1" type="noConversion"/>
  <conditionalFormatting sqref="A3:G32">
    <cfRule type="expression" dxfId="1" priority="1">
      <formula>ISODD(RIGHT($C3,2))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J99"/>
  <sheetViews>
    <sheetView workbookViewId="0"/>
  </sheetViews>
  <sheetFormatPr defaultRowHeight="16.5" x14ac:dyDescent="0.3"/>
  <cols>
    <col min="1" max="1" width="11.75" style="19" customWidth="1"/>
    <col min="2" max="2" width="9.875" style="19" customWidth="1"/>
    <col min="3" max="3" width="8.875" style="19" customWidth="1"/>
    <col min="4" max="4" width="9.875" style="19" customWidth="1"/>
    <col min="5" max="5" width="22.125" style="19" customWidth="1"/>
    <col min="6" max="6" width="8.125" style="19" customWidth="1"/>
    <col min="7" max="7" width="8.75" bestFit="1" customWidth="1"/>
    <col min="8" max="8" width="11.75" customWidth="1"/>
    <col min="9" max="10" width="8.875" bestFit="1" customWidth="1"/>
  </cols>
  <sheetData>
    <row r="1" spans="1:10" x14ac:dyDescent="0.3">
      <c r="A1" s="31" t="s">
        <v>440</v>
      </c>
    </row>
    <row r="2" spans="1:10" x14ac:dyDescent="0.3">
      <c r="A2" s="20" t="s">
        <v>242</v>
      </c>
      <c r="B2" s="20" t="s">
        <v>243</v>
      </c>
      <c r="C2" s="20" t="s">
        <v>244</v>
      </c>
      <c r="D2" s="20" t="s">
        <v>245</v>
      </c>
      <c r="E2" s="20" t="s">
        <v>246</v>
      </c>
      <c r="F2" s="20" t="s">
        <v>247</v>
      </c>
      <c r="G2" s="20" t="s">
        <v>248</v>
      </c>
      <c r="H2" s="20" t="s">
        <v>249</v>
      </c>
      <c r="I2" s="20" t="s">
        <v>250</v>
      </c>
      <c r="J2" s="21" t="s">
        <v>251</v>
      </c>
    </row>
    <row r="3" spans="1:10" x14ac:dyDescent="0.3">
      <c r="A3" s="22" t="s">
        <v>392</v>
      </c>
      <c r="B3" s="22" t="s">
        <v>252</v>
      </c>
      <c r="C3" s="22" t="s">
        <v>253</v>
      </c>
      <c r="D3" s="22" t="s">
        <v>254</v>
      </c>
      <c r="E3" s="22" t="s">
        <v>255</v>
      </c>
      <c r="F3" s="22" t="s">
        <v>256</v>
      </c>
      <c r="G3" s="23">
        <v>65000</v>
      </c>
      <c r="H3" s="23">
        <v>325000</v>
      </c>
      <c r="I3" s="23">
        <v>260000</v>
      </c>
      <c r="J3" s="24">
        <v>65000</v>
      </c>
    </row>
    <row r="4" spans="1:10" x14ac:dyDescent="0.3">
      <c r="A4" s="25" t="s">
        <v>392</v>
      </c>
      <c r="B4" s="25" t="s">
        <v>252</v>
      </c>
      <c r="C4" s="25" t="s">
        <v>253</v>
      </c>
      <c r="D4" s="25" t="s">
        <v>257</v>
      </c>
      <c r="E4" s="25" t="s">
        <v>258</v>
      </c>
      <c r="F4" s="25" t="s">
        <v>259</v>
      </c>
      <c r="G4" s="26">
        <v>55000</v>
      </c>
      <c r="H4" s="26">
        <v>275000</v>
      </c>
      <c r="I4" s="26">
        <v>220000</v>
      </c>
      <c r="J4" s="27">
        <v>55000</v>
      </c>
    </row>
    <row r="5" spans="1:10" x14ac:dyDescent="0.3">
      <c r="A5" s="22" t="s">
        <v>393</v>
      </c>
      <c r="B5" s="22" t="s">
        <v>260</v>
      </c>
      <c r="C5" s="22" t="s">
        <v>261</v>
      </c>
      <c r="D5" s="22" t="s">
        <v>262</v>
      </c>
      <c r="E5" s="22" t="s">
        <v>263</v>
      </c>
      <c r="F5" s="22" t="s">
        <v>264</v>
      </c>
      <c r="G5" s="23">
        <v>65000</v>
      </c>
      <c r="H5" s="23">
        <v>325000</v>
      </c>
      <c r="I5" s="23">
        <v>325000</v>
      </c>
      <c r="J5" s="24">
        <v>0</v>
      </c>
    </row>
    <row r="6" spans="1:10" x14ac:dyDescent="0.3">
      <c r="A6" s="25" t="s">
        <v>393</v>
      </c>
      <c r="B6" s="25" t="s">
        <v>260</v>
      </c>
      <c r="C6" s="25" t="s">
        <v>261</v>
      </c>
      <c r="D6" s="25" t="s">
        <v>265</v>
      </c>
      <c r="E6" s="25" t="s">
        <v>266</v>
      </c>
      <c r="F6" s="25" t="s">
        <v>267</v>
      </c>
      <c r="G6" s="26">
        <v>68000</v>
      </c>
      <c r="H6" s="26">
        <v>340000</v>
      </c>
      <c r="I6" s="26">
        <v>204000</v>
      </c>
      <c r="J6" s="27">
        <v>136000</v>
      </c>
    </row>
    <row r="7" spans="1:10" x14ac:dyDescent="0.3">
      <c r="A7" s="22" t="s">
        <v>394</v>
      </c>
      <c r="B7" s="22" t="s">
        <v>268</v>
      </c>
      <c r="C7" s="22" t="s">
        <v>269</v>
      </c>
      <c r="D7" s="22" t="s">
        <v>270</v>
      </c>
      <c r="E7" s="22" t="s">
        <v>271</v>
      </c>
      <c r="F7" s="22" t="s">
        <v>272</v>
      </c>
      <c r="G7" s="23">
        <v>75000</v>
      </c>
      <c r="H7" s="23">
        <v>450000</v>
      </c>
      <c r="I7" s="23">
        <v>375000</v>
      </c>
      <c r="J7" s="24">
        <v>75000</v>
      </c>
    </row>
    <row r="8" spans="1:10" x14ac:dyDescent="0.3">
      <c r="A8" s="25" t="s">
        <v>394</v>
      </c>
      <c r="B8" s="25" t="s">
        <v>268</v>
      </c>
      <c r="C8" s="25" t="s">
        <v>269</v>
      </c>
      <c r="D8" s="25" t="s">
        <v>273</v>
      </c>
      <c r="E8" s="25" t="s">
        <v>274</v>
      </c>
      <c r="F8" s="25" t="s">
        <v>275</v>
      </c>
      <c r="G8" s="26">
        <v>50000</v>
      </c>
      <c r="H8" s="26">
        <v>300000</v>
      </c>
      <c r="I8" s="26">
        <v>250000</v>
      </c>
      <c r="J8" s="27">
        <v>50000</v>
      </c>
    </row>
    <row r="9" spans="1:10" x14ac:dyDescent="0.3">
      <c r="A9" s="22" t="s">
        <v>395</v>
      </c>
      <c r="B9" s="22" t="s">
        <v>276</v>
      </c>
      <c r="C9" s="22" t="s">
        <v>277</v>
      </c>
      <c r="D9" s="22" t="s">
        <v>278</v>
      </c>
      <c r="E9" s="22" t="s">
        <v>279</v>
      </c>
      <c r="F9" s="22" t="s">
        <v>280</v>
      </c>
      <c r="G9" s="23">
        <v>60000</v>
      </c>
      <c r="H9" s="23">
        <v>420000</v>
      </c>
      <c r="I9" s="23">
        <v>420000</v>
      </c>
      <c r="J9" s="24">
        <v>0</v>
      </c>
    </row>
    <row r="10" spans="1:10" x14ac:dyDescent="0.3">
      <c r="A10" s="25" t="s">
        <v>395</v>
      </c>
      <c r="B10" s="25" t="s">
        <v>276</v>
      </c>
      <c r="C10" s="25" t="s">
        <v>277</v>
      </c>
      <c r="D10" s="25" t="s">
        <v>281</v>
      </c>
      <c r="E10" s="25" t="s">
        <v>282</v>
      </c>
      <c r="F10" s="25" t="s">
        <v>283</v>
      </c>
      <c r="G10" s="26">
        <v>70000</v>
      </c>
      <c r="H10" s="26">
        <v>490000</v>
      </c>
      <c r="I10" s="26">
        <v>420000</v>
      </c>
      <c r="J10" s="27">
        <v>70000</v>
      </c>
    </row>
    <row r="11" spans="1:10" x14ac:dyDescent="0.3">
      <c r="A11" s="22" t="s">
        <v>396</v>
      </c>
      <c r="B11" s="22" t="s">
        <v>284</v>
      </c>
      <c r="C11" s="22" t="s">
        <v>277</v>
      </c>
      <c r="D11" s="22" t="s">
        <v>285</v>
      </c>
      <c r="E11" s="22" t="s">
        <v>286</v>
      </c>
      <c r="F11" s="22" t="s">
        <v>287</v>
      </c>
      <c r="G11" s="23">
        <v>50000</v>
      </c>
      <c r="H11" s="23">
        <v>250000</v>
      </c>
      <c r="I11" s="23">
        <v>250000</v>
      </c>
      <c r="J11" s="24">
        <v>0</v>
      </c>
    </row>
    <row r="12" spans="1:10" x14ac:dyDescent="0.3">
      <c r="A12" s="25" t="s">
        <v>396</v>
      </c>
      <c r="B12" s="25" t="s">
        <v>284</v>
      </c>
      <c r="C12" s="25" t="s">
        <v>277</v>
      </c>
      <c r="D12" s="25" t="s">
        <v>288</v>
      </c>
      <c r="E12" s="25" t="s">
        <v>289</v>
      </c>
      <c r="F12" s="25" t="s">
        <v>290</v>
      </c>
      <c r="G12" s="26">
        <v>75000</v>
      </c>
      <c r="H12" s="26">
        <v>375000</v>
      </c>
      <c r="I12" s="26">
        <v>225000</v>
      </c>
      <c r="J12" s="27">
        <v>150000</v>
      </c>
    </row>
    <row r="13" spans="1:10" x14ac:dyDescent="0.3">
      <c r="A13" s="22" t="s">
        <v>397</v>
      </c>
      <c r="B13" s="22" t="s">
        <v>291</v>
      </c>
      <c r="C13" s="22" t="s">
        <v>292</v>
      </c>
      <c r="D13" s="22" t="s">
        <v>293</v>
      </c>
      <c r="E13" s="22" t="s">
        <v>294</v>
      </c>
      <c r="F13" s="22" t="s">
        <v>272</v>
      </c>
      <c r="G13" s="23">
        <v>75000</v>
      </c>
      <c r="H13" s="23">
        <v>375000</v>
      </c>
      <c r="I13" s="23">
        <v>300000</v>
      </c>
      <c r="J13" s="24">
        <v>75000</v>
      </c>
    </row>
    <row r="14" spans="1:10" x14ac:dyDescent="0.3">
      <c r="A14" s="25" t="s">
        <v>397</v>
      </c>
      <c r="B14" s="25" t="s">
        <v>291</v>
      </c>
      <c r="C14" s="25" t="s">
        <v>292</v>
      </c>
      <c r="D14" s="25" t="s">
        <v>254</v>
      </c>
      <c r="E14" s="25" t="s">
        <v>255</v>
      </c>
      <c r="F14" s="25" t="s">
        <v>256</v>
      </c>
      <c r="G14" s="26">
        <v>65000</v>
      </c>
      <c r="H14" s="26">
        <v>325000</v>
      </c>
      <c r="I14" s="26">
        <v>260000</v>
      </c>
      <c r="J14" s="27">
        <v>65000</v>
      </c>
    </row>
    <row r="15" spans="1:10" x14ac:dyDescent="0.3">
      <c r="A15" s="22" t="s">
        <v>398</v>
      </c>
      <c r="B15" s="22" t="s">
        <v>295</v>
      </c>
      <c r="C15" s="22" t="s">
        <v>296</v>
      </c>
      <c r="D15" s="22" t="s">
        <v>278</v>
      </c>
      <c r="E15" s="22" t="s">
        <v>279</v>
      </c>
      <c r="F15" s="22" t="s">
        <v>280</v>
      </c>
      <c r="G15" s="23">
        <v>60000</v>
      </c>
      <c r="H15" s="23">
        <v>240000</v>
      </c>
      <c r="I15" s="23">
        <v>180000</v>
      </c>
      <c r="J15" s="24">
        <v>60000</v>
      </c>
    </row>
    <row r="16" spans="1:10" x14ac:dyDescent="0.3">
      <c r="A16" s="25" t="s">
        <v>398</v>
      </c>
      <c r="B16" s="25" t="s">
        <v>295</v>
      </c>
      <c r="C16" s="25" t="s">
        <v>296</v>
      </c>
      <c r="D16" s="25" t="s">
        <v>285</v>
      </c>
      <c r="E16" s="25" t="s">
        <v>286</v>
      </c>
      <c r="F16" s="25" t="s">
        <v>287</v>
      </c>
      <c r="G16" s="26">
        <v>50000</v>
      </c>
      <c r="H16" s="26">
        <v>200000</v>
      </c>
      <c r="I16" s="26">
        <v>150000</v>
      </c>
      <c r="J16" s="27">
        <v>50000</v>
      </c>
    </row>
    <row r="17" spans="1:10" x14ac:dyDescent="0.3">
      <c r="A17" s="22" t="s">
        <v>399</v>
      </c>
      <c r="B17" s="22" t="s">
        <v>297</v>
      </c>
      <c r="C17" s="22" t="s">
        <v>298</v>
      </c>
      <c r="D17" s="22" t="s">
        <v>299</v>
      </c>
      <c r="E17" s="22" t="s">
        <v>300</v>
      </c>
      <c r="F17" s="22" t="s">
        <v>283</v>
      </c>
      <c r="G17" s="23">
        <v>70000</v>
      </c>
      <c r="H17" s="23">
        <v>350000</v>
      </c>
      <c r="I17" s="23">
        <v>280000</v>
      </c>
      <c r="J17" s="24">
        <v>70000</v>
      </c>
    </row>
    <row r="18" spans="1:10" x14ac:dyDescent="0.3">
      <c r="A18" s="25" t="s">
        <v>399</v>
      </c>
      <c r="B18" s="25" t="s">
        <v>297</v>
      </c>
      <c r="C18" s="25" t="s">
        <v>298</v>
      </c>
      <c r="D18" s="25" t="s">
        <v>257</v>
      </c>
      <c r="E18" s="25" t="s">
        <v>258</v>
      </c>
      <c r="F18" s="25" t="s">
        <v>259</v>
      </c>
      <c r="G18" s="26">
        <v>55000</v>
      </c>
      <c r="H18" s="26">
        <v>275000</v>
      </c>
      <c r="I18" s="26">
        <v>165000</v>
      </c>
      <c r="J18" s="27">
        <v>110000</v>
      </c>
    </row>
    <row r="19" spans="1:10" x14ac:dyDescent="0.3">
      <c r="A19" s="22" t="s">
        <v>400</v>
      </c>
      <c r="B19" s="22" t="s">
        <v>301</v>
      </c>
      <c r="C19" s="22" t="s">
        <v>261</v>
      </c>
      <c r="D19" s="22" t="s">
        <v>302</v>
      </c>
      <c r="E19" s="22" t="s">
        <v>303</v>
      </c>
      <c r="F19" s="22" t="s">
        <v>283</v>
      </c>
      <c r="G19" s="23">
        <v>70000</v>
      </c>
      <c r="H19" s="23">
        <v>420000</v>
      </c>
      <c r="I19" s="23">
        <v>350000</v>
      </c>
      <c r="J19" s="24">
        <v>70000</v>
      </c>
    </row>
    <row r="20" spans="1:10" x14ac:dyDescent="0.3">
      <c r="A20" s="25" t="s">
        <v>400</v>
      </c>
      <c r="B20" s="25" t="s">
        <v>301</v>
      </c>
      <c r="C20" s="25" t="s">
        <v>261</v>
      </c>
      <c r="D20" s="25" t="s">
        <v>270</v>
      </c>
      <c r="E20" s="25" t="s">
        <v>271</v>
      </c>
      <c r="F20" s="25" t="s">
        <v>272</v>
      </c>
      <c r="G20" s="26">
        <v>75000</v>
      </c>
      <c r="H20" s="26">
        <v>450000</v>
      </c>
      <c r="I20" s="26">
        <v>375000</v>
      </c>
      <c r="J20" s="27">
        <v>75000</v>
      </c>
    </row>
    <row r="21" spans="1:10" x14ac:dyDescent="0.3">
      <c r="A21" s="22" t="s">
        <v>401</v>
      </c>
      <c r="B21" s="22" t="s">
        <v>304</v>
      </c>
      <c r="C21" s="22" t="s">
        <v>305</v>
      </c>
      <c r="D21" s="22" t="s">
        <v>306</v>
      </c>
      <c r="E21" s="22" t="s">
        <v>307</v>
      </c>
      <c r="F21" s="22" t="s">
        <v>267</v>
      </c>
      <c r="G21" s="23">
        <v>68000</v>
      </c>
      <c r="H21" s="23">
        <v>340000</v>
      </c>
      <c r="I21" s="23">
        <v>272000</v>
      </c>
      <c r="J21" s="24">
        <v>68000</v>
      </c>
    </row>
    <row r="22" spans="1:10" x14ac:dyDescent="0.3">
      <c r="A22" s="25" t="s">
        <v>401</v>
      </c>
      <c r="B22" s="25" t="s">
        <v>304</v>
      </c>
      <c r="C22" s="25" t="s">
        <v>305</v>
      </c>
      <c r="D22" s="25" t="s">
        <v>308</v>
      </c>
      <c r="E22" s="25" t="s">
        <v>309</v>
      </c>
      <c r="F22" s="25" t="s">
        <v>280</v>
      </c>
      <c r="G22" s="26">
        <v>60000</v>
      </c>
      <c r="H22" s="26">
        <v>300000</v>
      </c>
      <c r="I22" s="26">
        <v>240000</v>
      </c>
      <c r="J22" s="27">
        <v>60000</v>
      </c>
    </row>
    <row r="23" spans="1:10" x14ac:dyDescent="0.3">
      <c r="A23" s="22" t="s">
        <v>402</v>
      </c>
      <c r="B23" s="22" t="s">
        <v>310</v>
      </c>
      <c r="C23" s="22" t="s">
        <v>298</v>
      </c>
      <c r="D23" s="22" t="s">
        <v>311</v>
      </c>
      <c r="E23" s="22" t="s">
        <v>312</v>
      </c>
      <c r="F23" s="22" t="s">
        <v>287</v>
      </c>
      <c r="G23" s="23">
        <v>50000</v>
      </c>
      <c r="H23" s="23">
        <v>250000</v>
      </c>
      <c r="I23" s="23">
        <v>250000</v>
      </c>
      <c r="J23" s="24">
        <v>0</v>
      </c>
    </row>
    <row r="24" spans="1:10" x14ac:dyDescent="0.3">
      <c r="A24" s="25" t="s">
        <v>402</v>
      </c>
      <c r="B24" s="25" t="s">
        <v>310</v>
      </c>
      <c r="C24" s="25" t="s">
        <v>298</v>
      </c>
      <c r="D24" s="25" t="s">
        <v>313</v>
      </c>
      <c r="E24" s="25" t="s">
        <v>314</v>
      </c>
      <c r="F24" s="25" t="s">
        <v>264</v>
      </c>
      <c r="G24" s="26">
        <v>65000</v>
      </c>
      <c r="H24" s="26">
        <v>325000</v>
      </c>
      <c r="I24" s="26">
        <v>195000</v>
      </c>
      <c r="J24" s="27">
        <v>130000</v>
      </c>
    </row>
    <row r="25" spans="1:10" x14ac:dyDescent="0.3">
      <c r="A25" s="22" t="s">
        <v>403</v>
      </c>
      <c r="B25" s="22" t="s">
        <v>315</v>
      </c>
      <c r="C25" s="22" t="s">
        <v>316</v>
      </c>
      <c r="D25" s="22" t="s">
        <v>317</v>
      </c>
      <c r="E25" s="22" t="s">
        <v>318</v>
      </c>
      <c r="F25" s="22" t="s">
        <v>319</v>
      </c>
      <c r="G25" s="23">
        <v>70000</v>
      </c>
      <c r="H25" s="23">
        <v>350000</v>
      </c>
      <c r="I25" s="23">
        <v>280000</v>
      </c>
      <c r="J25" s="24">
        <v>70000</v>
      </c>
    </row>
    <row r="26" spans="1:10" x14ac:dyDescent="0.3">
      <c r="A26" s="25" t="s">
        <v>403</v>
      </c>
      <c r="B26" s="25" t="s">
        <v>315</v>
      </c>
      <c r="C26" s="25" t="s">
        <v>316</v>
      </c>
      <c r="D26" s="25" t="s">
        <v>254</v>
      </c>
      <c r="E26" s="25" t="s">
        <v>255</v>
      </c>
      <c r="F26" s="25" t="s">
        <v>256</v>
      </c>
      <c r="G26" s="26">
        <v>65000</v>
      </c>
      <c r="H26" s="26">
        <v>325000</v>
      </c>
      <c r="I26" s="26">
        <v>260000</v>
      </c>
      <c r="J26" s="27">
        <v>65000</v>
      </c>
    </row>
    <row r="27" spans="1:10" x14ac:dyDescent="0.3">
      <c r="A27" s="22" t="s">
        <v>404</v>
      </c>
      <c r="B27" s="22" t="s">
        <v>320</v>
      </c>
      <c r="C27" s="22" t="s">
        <v>321</v>
      </c>
      <c r="D27" s="22" t="s">
        <v>322</v>
      </c>
      <c r="E27" s="22" t="s">
        <v>323</v>
      </c>
      <c r="F27" s="22" t="s">
        <v>324</v>
      </c>
      <c r="G27" s="23">
        <v>75000</v>
      </c>
      <c r="H27" s="23">
        <v>150000</v>
      </c>
      <c r="I27" s="23">
        <v>150000</v>
      </c>
      <c r="J27" s="24">
        <v>0</v>
      </c>
    </row>
    <row r="28" spans="1:10" x14ac:dyDescent="0.3">
      <c r="A28" s="25" t="s">
        <v>404</v>
      </c>
      <c r="B28" s="25" t="s">
        <v>320</v>
      </c>
      <c r="C28" s="25" t="s">
        <v>321</v>
      </c>
      <c r="D28" s="25" t="s">
        <v>325</v>
      </c>
      <c r="E28" s="25" t="s">
        <v>326</v>
      </c>
      <c r="F28" s="25" t="s">
        <v>275</v>
      </c>
      <c r="G28" s="26">
        <v>80000</v>
      </c>
      <c r="H28" s="26">
        <v>160000</v>
      </c>
      <c r="I28" s="26">
        <v>160000</v>
      </c>
      <c r="J28" s="27">
        <v>0</v>
      </c>
    </row>
    <row r="29" spans="1:10" x14ac:dyDescent="0.3">
      <c r="A29" s="22" t="s">
        <v>405</v>
      </c>
      <c r="B29" s="22" t="s">
        <v>327</v>
      </c>
      <c r="C29" s="22" t="s">
        <v>328</v>
      </c>
      <c r="D29" s="22" t="s">
        <v>281</v>
      </c>
      <c r="E29" s="22" t="s">
        <v>282</v>
      </c>
      <c r="F29" s="22" t="s">
        <v>283</v>
      </c>
      <c r="G29" s="23">
        <v>70000</v>
      </c>
      <c r="H29" s="23">
        <v>350000</v>
      </c>
      <c r="I29" s="23">
        <v>280000</v>
      </c>
      <c r="J29" s="24">
        <v>70000</v>
      </c>
    </row>
    <row r="30" spans="1:10" x14ac:dyDescent="0.3">
      <c r="A30" s="25" t="s">
        <v>405</v>
      </c>
      <c r="B30" s="25" t="s">
        <v>327</v>
      </c>
      <c r="C30" s="25" t="s">
        <v>328</v>
      </c>
      <c r="D30" s="25" t="s">
        <v>329</v>
      </c>
      <c r="E30" s="25" t="s">
        <v>330</v>
      </c>
      <c r="F30" s="25" t="s">
        <v>331</v>
      </c>
      <c r="G30" s="26">
        <v>60000</v>
      </c>
      <c r="H30" s="26">
        <v>300000</v>
      </c>
      <c r="I30" s="26">
        <v>300000</v>
      </c>
      <c r="J30" s="27">
        <v>0</v>
      </c>
    </row>
    <row r="31" spans="1:10" x14ac:dyDescent="0.3">
      <c r="A31" s="22" t="s">
        <v>406</v>
      </c>
      <c r="B31" s="22" t="s">
        <v>332</v>
      </c>
      <c r="C31" s="22" t="s">
        <v>328</v>
      </c>
      <c r="D31" s="22" t="s">
        <v>288</v>
      </c>
      <c r="E31" s="22" t="s">
        <v>289</v>
      </c>
      <c r="F31" s="22" t="s">
        <v>290</v>
      </c>
      <c r="G31" s="23">
        <v>75000</v>
      </c>
      <c r="H31" s="23">
        <v>450000</v>
      </c>
      <c r="I31" s="23">
        <v>450000</v>
      </c>
      <c r="J31" s="24">
        <v>0</v>
      </c>
    </row>
    <row r="32" spans="1:10" x14ac:dyDescent="0.3">
      <c r="A32" s="25" t="s">
        <v>406</v>
      </c>
      <c r="B32" s="25" t="s">
        <v>332</v>
      </c>
      <c r="C32" s="25" t="s">
        <v>328</v>
      </c>
      <c r="D32" s="25" t="s">
        <v>254</v>
      </c>
      <c r="E32" s="25" t="s">
        <v>255</v>
      </c>
      <c r="F32" s="25" t="s">
        <v>256</v>
      </c>
      <c r="G32" s="26">
        <v>65000</v>
      </c>
      <c r="H32" s="26">
        <v>390000</v>
      </c>
      <c r="I32" s="26">
        <v>325000</v>
      </c>
      <c r="J32" s="27">
        <v>65000</v>
      </c>
    </row>
    <row r="33" spans="1:10" x14ac:dyDescent="0.3">
      <c r="A33" s="22" t="s">
        <v>407</v>
      </c>
      <c r="B33" s="22" t="s">
        <v>333</v>
      </c>
      <c r="C33" s="22" t="s">
        <v>334</v>
      </c>
      <c r="D33" s="22" t="s">
        <v>335</v>
      </c>
      <c r="E33" s="22" t="s">
        <v>336</v>
      </c>
      <c r="F33" s="22" t="s">
        <v>259</v>
      </c>
      <c r="G33" s="23">
        <v>55000</v>
      </c>
      <c r="H33" s="23">
        <v>275000</v>
      </c>
      <c r="I33" s="23">
        <v>275000</v>
      </c>
      <c r="J33" s="24">
        <v>0</v>
      </c>
    </row>
    <row r="34" spans="1:10" x14ac:dyDescent="0.3">
      <c r="A34" s="25" t="s">
        <v>407</v>
      </c>
      <c r="B34" s="25" t="s">
        <v>333</v>
      </c>
      <c r="C34" s="25" t="s">
        <v>334</v>
      </c>
      <c r="D34" s="25" t="s">
        <v>270</v>
      </c>
      <c r="E34" s="25" t="s">
        <v>271</v>
      </c>
      <c r="F34" s="25" t="s">
        <v>272</v>
      </c>
      <c r="G34" s="26">
        <v>75000</v>
      </c>
      <c r="H34" s="26">
        <v>375000</v>
      </c>
      <c r="I34" s="26">
        <v>300000</v>
      </c>
      <c r="J34" s="27">
        <v>75000</v>
      </c>
    </row>
    <row r="35" spans="1:10" x14ac:dyDescent="0.3">
      <c r="A35" s="22" t="s">
        <v>408</v>
      </c>
      <c r="B35" s="22" t="s">
        <v>337</v>
      </c>
      <c r="C35" s="22" t="s">
        <v>338</v>
      </c>
      <c r="D35" s="22" t="s">
        <v>273</v>
      </c>
      <c r="E35" s="22" t="s">
        <v>274</v>
      </c>
      <c r="F35" s="22" t="s">
        <v>275</v>
      </c>
      <c r="G35" s="23">
        <v>50000</v>
      </c>
      <c r="H35" s="23">
        <v>250000</v>
      </c>
      <c r="I35" s="23">
        <v>200000</v>
      </c>
      <c r="J35" s="24">
        <v>50000</v>
      </c>
    </row>
    <row r="36" spans="1:10" x14ac:dyDescent="0.3">
      <c r="A36" s="25" t="s">
        <v>408</v>
      </c>
      <c r="B36" s="25" t="s">
        <v>337</v>
      </c>
      <c r="C36" s="25" t="s">
        <v>338</v>
      </c>
      <c r="D36" s="25" t="s">
        <v>278</v>
      </c>
      <c r="E36" s="25" t="s">
        <v>279</v>
      </c>
      <c r="F36" s="25" t="s">
        <v>280</v>
      </c>
      <c r="G36" s="26">
        <v>60000</v>
      </c>
      <c r="H36" s="26">
        <v>300000</v>
      </c>
      <c r="I36" s="26">
        <v>300000</v>
      </c>
      <c r="J36" s="27">
        <v>0</v>
      </c>
    </row>
    <row r="37" spans="1:10" x14ac:dyDescent="0.3">
      <c r="A37" s="22" t="s">
        <v>409</v>
      </c>
      <c r="B37" s="22" t="s">
        <v>339</v>
      </c>
      <c r="C37" s="22" t="s">
        <v>340</v>
      </c>
      <c r="D37" s="22" t="s">
        <v>329</v>
      </c>
      <c r="E37" s="22" t="s">
        <v>330</v>
      </c>
      <c r="F37" s="22" t="s">
        <v>331</v>
      </c>
      <c r="G37" s="23">
        <v>60000</v>
      </c>
      <c r="H37" s="23">
        <v>300000</v>
      </c>
      <c r="I37" s="23">
        <v>240000</v>
      </c>
      <c r="J37" s="24">
        <v>60000</v>
      </c>
    </row>
    <row r="38" spans="1:10" x14ac:dyDescent="0.3">
      <c r="A38" s="25" t="s">
        <v>409</v>
      </c>
      <c r="B38" s="25" t="s">
        <v>339</v>
      </c>
      <c r="C38" s="25" t="s">
        <v>340</v>
      </c>
      <c r="D38" s="25" t="s">
        <v>254</v>
      </c>
      <c r="E38" s="25" t="s">
        <v>255</v>
      </c>
      <c r="F38" s="25" t="s">
        <v>256</v>
      </c>
      <c r="G38" s="26">
        <v>65000</v>
      </c>
      <c r="H38" s="26">
        <v>325000</v>
      </c>
      <c r="I38" s="26">
        <v>260000</v>
      </c>
      <c r="J38" s="27">
        <v>65000</v>
      </c>
    </row>
    <row r="39" spans="1:10" x14ac:dyDescent="0.3">
      <c r="A39" s="22" t="s">
        <v>410</v>
      </c>
      <c r="B39" s="22" t="s">
        <v>341</v>
      </c>
      <c r="C39" s="22" t="s">
        <v>342</v>
      </c>
      <c r="D39" s="22" t="s">
        <v>265</v>
      </c>
      <c r="E39" s="22" t="s">
        <v>266</v>
      </c>
      <c r="F39" s="22" t="s">
        <v>267</v>
      </c>
      <c r="G39" s="23">
        <v>68000</v>
      </c>
      <c r="H39" s="23">
        <v>340000</v>
      </c>
      <c r="I39" s="23">
        <v>340000</v>
      </c>
      <c r="J39" s="24">
        <v>0</v>
      </c>
    </row>
    <row r="40" spans="1:10" x14ac:dyDescent="0.3">
      <c r="A40" s="25" t="s">
        <v>410</v>
      </c>
      <c r="B40" s="25" t="s">
        <v>341</v>
      </c>
      <c r="C40" s="25" t="s">
        <v>342</v>
      </c>
      <c r="D40" s="25" t="s">
        <v>343</v>
      </c>
      <c r="E40" s="25" t="s">
        <v>344</v>
      </c>
      <c r="F40" s="25" t="s">
        <v>290</v>
      </c>
      <c r="G40" s="26">
        <v>75000</v>
      </c>
      <c r="H40" s="26">
        <v>375000</v>
      </c>
      <c r="I40" s="26">
        <v>225000</v>
      </c>
      <c r="J40" s="27">
        <v>150000</v>
      </c>
    </row>
    <row r="41" spans="1:10" x14ac:dyDescent="0.3">
      <c r="A41" s="22" t="s">
        <v>411</v>
      </c>
      <c r="B41" s="22" t="s">
        <v>345</v>
      </c>
      <c r="C41" s="22" t="s">
        <v>346</v>
      </c>
      <c r="D41" s="22" t="s">
        <v>302</v>
      </c>
      <c r="E41" s="22" t="s">
        <v>303</v>
      </c>
      <c r="F41" s="22" t="s">
        <v>283</v>
      </c>
      <c r="G41" s="23">
        <v>70000</v>
      </c>
      <c r="H41" s="23">
        <v>280000</v>
      </c>
      <c r="I41" s="23">
        <v>140000</v>
      </c>
      <c r="J41" s="24">
        <v>140000</v>
      </c>
    </row>
    <row r="42" spans="1:10" x14ac:dyDescent="0.3">
      <c r="A42" s="25" t="s">
        <v>411</v>
      </c>
      <c r="B42" s="25" t="s">
        <v>345</v>
      </c>
      <c r="C42" s="25" t="s">
        <v>346</v>
      </c>
      <c r="D42" s="25" t="s">
        <v>313</v>
      </c>
      <c r="E42" s="25" t="s">
        <v>314</v>
      </c>
      <c r="F42" s="25" t="s">
        <v>264</v>
      </c>
      <c r="G42" s="26">
        <v>65000</v>
      </c>
      <c r="H42" s="26">
        <v>260000</v>
      </c>
      <c r="I42" s="26">
        <v>195000</v>
      </c>
      <c r="J42" s="27">
        <v>65000</v>
      </c>
    </row>
    <row r="43" spans="1:10" x14ac:dyDescent="0.3">
      <c r="A43" s="22" t="s">
        <v>412</v>
      </c>
      <c r="B43" s="22" t="s">
        <v>347</v>
      </c>
      <c r="C43" s="22" t="s">
        <v>348</v>
      </c>
      <c r="D43" s="22" t="s">
        <v>285</v>
      </c>
      <c r="E43" s="22" t="s">
        <v>286</v>
      </c>
      <c r="F43" s="22" t="s">
        <v>287</v>
      </c>
      <c r="G43" s="23">
        <v>50000</v>
      </c>
      <c r="H43" s="23">
        <v>250000</v>
      </c>
      <c r="I43" s="23">
        <v>200000</v>
      </c>
      <c r="J43" s="24">
        <v>50000</v>
      </c>
    </row>
    <row r="44" spans="1:10" x14ac:dyDescent="0.3">
      <c r="A44" s="25" t="s">
        <v>412</v>
      </c>
      <c r="B44" s="25" t="s">
        <v>347</v>
      </c>
      <c r="C44" s="25" t="s">
        <v>348</v>
      </c>
      <c r="D44" s="25" t="s">
        <v>349</v>
      </c>
      <c r="E44" s="25" t="s">
        <v>350</v>
      </c>
      <c r="F44" s="25" t="s">
        <v>319</v>
      </c>
      <c r="G44" s="26">
        <v>70000</v>
      </c>
      <c r="H44" s="26">
        <v>350000</v>
      </c>
      <c r="I44" s="26">
        <v>350000</v>
      </c>
      <c r="J44" s="27">
        <v>0</v>
      </c>
    </row>
    <row r="45" spans="1:10" x14ac:dyDescent="0.3">
      <c r="A45" s="22" t="s">
        <v>413</v>
      </c>
      <c r="B45" s="22" t="s">
        <v>252</v>
      </c>
      <c r="C45" s="22" t="s">
        <v>351</v>
      </c>
      <c r="D45" s="22" t="s">
        <v>288</v>
      </c>
      <c r="E45" s="22" t="s">
        <v>289</v>
      </c>
      <c r="F45" s="22" t="s">
        <v>290</v>
      </c>
      <c r="G45" s="23">
        <v>75000</v>
      </c>
      <c r="H45" s="23">
        <v>450000</v>
      </c>
      <c r="I45" s="23">
        <v>375000</v>
      </c>
      <c r="J45" s="24">
        <v>75000</v>
      </c>
    </row>
    <row r="46" spans="1:10" x14ac:dyDescent="0.3">
      <c r="A46" s="25" t="s">
        <v>413</v>
      </c>
      <c r="B46" s="25" t="s">
        <v>252</v>
      </c>
      <c r="C46" s="25" t="s">
        <v>351</v>
      </c>
      <c r="D46" s="25" t="s">
        <v>349</v>
      </c>
      <c r="E46" s="25" t="s">
        <v>350</v>
      </c>
      <c r="F46" s="25" t="s">
        <v>319</v>
      </c>
      <c r="G46" s="26">
        <v>70000</v>
      </c>
      <c r="H46" s="26">
        <v>420000</v>
      </c>
      <c r="I46" s="26">
        <v>280000</v>
      </c>
      <c r="J46" s="27">
        <v>140000</v>
      </c>
    </row>
    <row r="47" spans="1:10" x14ac:dyDescent="0.3">
      <c r="A47" s="22" t="s">
        <v>435</v>
      </c>
      <c r="B47" s="22" t="s">
        <v>352</v>
      </c>
      <c r="C47" s="22" t="s">
        <v>353</v>
      </c>
      <c r="D47" s="22" t="s">
        <v>254</v>
      </c>
      <c r="E47" s="22" t="s">
        <v>255</v>
      </c>
      <c r="F47" s="22" t="s">
        <v>256</v>
      </c>
      <c r="G47" s="23">
        <v>65000</v>
      </c>
      <c r="H47" s="23">
        <v>325000</v>
      </c>
      <c r="I47" s="23">
        <v>260000</v>
      </c>
      <c r="J47" s="24">
        <v>65000</v>
      </c>
    </row>
    <row r="48" spans="1:10" x14ac:dyDescent="0.3">
      <c r="A48" s="25" t="s">
        <v>435</v>
      </c>
      <c r="B48" s="25" t="s">
        <v>352</v>
      </c>
      <c r="C48" s="25" t="s">
        <v>353</v>
      </c>
      <c r="D48" s="25" t="s">
        <v>299</v>
      </c>
      <c r="E48" s="25" t="s">
        <v>300</v>
      </c>
      <c r="F48" s="25" t="s">
        <v>283</v>
      </c>
      <c r="G48" s="26">
        <v>70000</v>
      </c>
      <c r="H48" s="26">
        <v>350000</v>
      </c>
      <c r="I48" s="26">
        <v>210000</v>
      </c>
      <c r="J48" s="27">
        <v>140000</v>
      </c>
    </row>
    <row r="49" spans="1:10" x14ac:dyDescent="0.3">
      <c r="A49" s="22" t="s">
        <v>436</v>
      </c>
      <c r="B49" s="22" t="s">
        <v>354</v>
      </c>
      <c r="C49" s="22" t="s">
        <v>355</v>
      </c>
      <c r="D49" s="22" t="s">
        <v>299</v>
      </c>
      <c r="E49" s="22" t="s">
        <v>300</v>
      </c>
      <c r="F49" s="22" t="s">
        <v>283</v>
      </c>
      <c r="G49" s="23">
        <v>70000</v>
      </c>
      <c r="H49" s="23">
        <v>490000</v>
      </c>
      <c r="I49" s="23">
        <v>420000</v>
      </c>
      <c r="J49" s="24">
        <v>70000</v>
      </c>
    </row>
    <row r="50" spans="1:10" x14ac:dyDescent="0.3">
      <c r="A50" s="25" t="s">
        <v>436</v>
      </c>
      <c r="B50" s="25" t="s">
        <v>354</v>
      </c>
      <c r="C50" s="25" t="s">
        <v>355</v>
      </c>
      <c r="D50" s="25" t="s">
        <v>317</v>
      </c>
      <c r="E50" s="25" t="s">
        <v>318</v>
      </c>
      <c r="F50" s="25" t="s">
        <v>319</v>
      </c>
      <c r="G50" s="26">
        <v>70000</v>
      </c>
      <c r="H50" s="26">
        <v>490000</v>
      </c>
      <c r="I50" s="26">
        <v>420000</v>
      </c>
      <c r="J50" s="27">
        <v>70000</v>
      </c>
    </row>
    <row r="51" spans="1:10" x14ac:dyDescent="0.3">
      <c r="A51" s="22" t="s">
        <v>437</v>
      </c>
      <c r="B51" s="22" t="s">
        <v>356</v>
      </c>
      <c r="C51" s="22" t="s">
        <v>348</v>
      </c>
      <c r="D51" s="22" t="s">
        <v>257</v>
      </c>
      <c r="E51" s="22" t="s">
        <v>258</v>
      </c>
      <c r="F51" s="22" t="s">
        <v>259</v>
      </c>
      <c r="G51" s="23">
        <v>55000</v>
      </c>
      <c r="H51" s="23">
        <v>275000</v>
      </c>
      <c r="I51" s="23">
        <v>275000</v>
      </c>
      <c r="J51" s="24">
        <v>0</v>
      </c>
    </row>
    <row r="52" spans="1:10" x14ac:dyDescent="0.3">
      <c r="A52" s="25" t="s">
        <v>437</v>
      </c>
      <c r="B52" s="25" t="s">
        <v>356</v>
      </c>
      <c r="C52" s="25" t="s">
        <v>348</v>
      </c>
      <c r="D52" s="25" t="s">
        <v>270</v>
      </c>
      <c r="E52" s="25" t="s">
        <v>271</v>
      </c>
      <c r="F52" s="25" t="s">
        <v>272</v>
      </c>
      <c r="G52" s="26">
        <v>75000</v>
      </c>
      <c r="H52" s="26">
        <v>375000</v>
      </c>
      <c r="I52" s="26">
        <v>300000</v>
      </c>
      <c r="J52" s="27">
        <v>75000</v>
      </c>
    </row>
    <row r="53" spans="1:10" x14ac:dyDescent="0.3">
      <c r="A53" s="22" t="s">
        <v>438</v>
      </c>
      <c r="B53" s="22" t="s">
        <v>357</v>
      </c>
      <c r="C53" s="22" t="s">
        <v>358</v>
      </c>
      <c r="D53" s="22" t="s">
        <v>308</v>
      </c>
      <c r="E53" s="22" t="s">
        <v>309</v>
      </c>
      <c r="F53" s="22" t="s">
        <v>280</v>
      </c>
      <c r="G53" s="23">
        <v>60000</v>
      </c>
      <c r="H53" s="23">
        <v>60000</v>
      </c>
      <c r="I53" s="23">
        <v>60000</v>
      </c>
      <c r="J53" s="24">
        <v>0</v>
      </c>
    </row>
    <row r="54" spans="1:10" x14ac:dyDescent="0.3">
      <c r="A54" s="25" t="s">
        <v>438</v>
      </c>
      <c r="B54" s="25" t="s">
        <v>357</v>
      </c>
      <c r="C54" s="25" t="s">
        <v>358</v>
      </c>
      <c r="D54" s="25" t="s">
        <v>322</v>
      </c>
      <c r="E54" s="25" t="s">
        <v>323</v>
      </c>
      <c r="F54" s="25" t="s">
        <v>324</v>
      </c>
      <c r="G54" s="26">
        <v>75000</v>
      </c>
      <c r="H54" s="26">
        <v>75000</v>
      </c>
      <c r="I54" s="26">
        <v>75000</v>
      </c>
      <c r="J54" s="27">
        <v>0</v>
      </c>
    </row>
    <row r="55" spans="1:10" x14ac:dyDescent="0.3">
      <c r="A55" s="22" t="s">
        <v>439</v>
      </c>
      <c r="B55" s="22" t="s">
        <v>359</v>
      </c>
      <c r="C55" s="22" t="s">
        <v>338</v>
      </c>
      <c r="D55" s="22" t="s">
        <v>325</v>
      </c>
      <c r="E55" s="22" t="s">
        <v>326</v>
      </c>
      <c r="F55" s="22" t="s">
        <v>275</v>
      </c>
      <c r="G55" s="23">
        <v>80000</v>
      </c>
      <c r="H55" s="23">
        <v>400000</v>
      </c>
      <c r="I55" s="23">
        <v>320000</v>
      </c>
      <c r="J55" s="24">
        <v>80000</v>
      </c>
    </row>
    <row r="56" spans="1:10" x14ac:dyDescent="0.3">
      <c r="A56" s="25" t="s">
        <v>439</v>
      </c>
      <c r="B56" s="25" t="s">
        <v>359</v>
      </c>
      <c r="C56" s="25" t="s">
        <v>338</v>
      </c>
      <c r="D56" s="25" t="s">
        <v>360</v>
      </c>
      <c r="E56" s="25" t="s">
        <v>361</v>
      </c>
      <c r="F56" s="25" t="s">
        <v>256</v>
      </c>
      <c r="G56" s="26">
        <v>65000</v>
      </c>
      <c r="H56" s="26">
        <v>325000</v>
      </c>
      <c r="I56" s="26">
        <v>195000</v>
      </c>
      <c r="J56" s="27">
        <v>130000</v>
      </c>
    </row>
    <row r="57" spans="1:10" x14ac:dyDescent="0.3">
      <c r="A57" s="22" t="s">
        <v>424</v>
      </c>
      <c r="B57" s="22" t="s">
        <v>362</v>
      </c>
      <c r="C57" s="22" t="s">
        <v>363</v>
      </c>
      <c r="D57" s="22" t="s">
        <v>364</v>
      </c>
      <c r="E57" s="22" t="s">
        <v>365</v>
      </c>
      <c r="F57" s="22" t="s">
        <v>275</v>
      </c>
      <c r="G57" s="23">
        <v>80000</v>
      </c>
      <c r="H57" s="23">
        <v>480000</v>
      </c>
      <c r="I57" s="23">
        <v>400000</v>
      </c>
      <c r="J57" s="24">
        <v>80000</v>
      </c>
    </row>
    <row r="58" spans="1:10" x14ac:dyDescent="0.3">
      <c r="A58" s="25" t="s">
        <v>424</v>
      </c>
      <c r="B58" s="25" t="s">
        <v>362</v>
      </c>
      <c r="C58" s="25" t="s">
        <v>363</v>
      </c>
      <c r="D58" s="25" t="s">
        <v>335</v>
      </c>
      <c r="E58" s="25" t="s">
        <v>336</v>
      </c>
      <c r="F58" s="25" t="s">
        <v>259</v>
      </c>
      <c r="G58" s="26">
        <v>55000</v>
      </c>
      <c r="H58" s="26">
        <v>330000</v>
      </c>
      <c r="I58" s="26">
        <v>220000</v>
      </c>
      <c r="J58" s="27">
        <v>110000</v>
      </c>
    </row>
    <row r="59" spans="1:10" x14ac:dyDescent="0.3">
      <c r="A59" s="22" t="s">
        <v>425</v>
      </c>
      <c r="B59" s="22" t="s">
        <v>366</v>
      </c>
      <c r="C59" s="22" t="s">
        <v>298</v>
      </c>
      <c r="D59" s="22" t="s">
        <v>367</v>
      </c>
      <c r="E59" s="22" t="s">
        <v>368</v>
      </c>
      <c r="F59" s="22" t="s">
        <v>324</v>
      </c>
      <c r="G59" s="23">
        <v>75000</v>
      </c>
      <c r="H59" s="23">
        <v>375000</v>
      </c>
      <c r="I59" s="23">
        <v>300000</v>
      </c>
      <c r="J59" s="24">
        <v>75000</v>
      </c>
    </row>
    <row r="60" spans="1:10" x14ac:dyDescent="0.3">
      <c r="A60" s="25" t="s">
        <v>425</v>
      </c>
      <c r="B60" s="25" t="s">
        <v>366</v>
      </c>
      <c r="C60" s="25" t="s">
        <v>298</v>
      </c>
      <c r="D60" s="25" t="s">
        <v>317</v>
      </c>
      <c r="E60" s="25" t="s">
        <v>318</v>
      </c>
      <c r="F60" s="25" t="s">
        <v>319</v>
      </c>
      <c r="G60" s="26">
        <v>70000</v>
      </c>
      <c r="H60" s="26">
        <v>350000</v>
      </c>
      <c r="I60" s="26">
        <v>280000</v>
      </c>
      <c r="J60" s="27">
        <v>70000</v>
      </c>
    </row>
    <row r="61" spans="1:10" x14ac:dyDescent="0.3">
      <c r="A61" s="22" t="s">
        <v>426</v>
      </c>
      <c r="B61" s="22" t="s">
        <v>369</v>
      </c>
      <c r="C61" s="22" t="s">
        <v>328</v>
      </c>
      <c r="D61" s="22" t="s">
        <v>343</v>
      </c>
      <c r="E61" s="22" t="s">
        <v>344</v>
      </c>
      <c r="F61" s="22" t="s">
        <v>290</v>
      </c>
      <c r="G61" s="23">
        <v>75000</v>
      </c>
      <c r="H61" s="23">
        <v>375000</v>
      </c>
      <c r="I61" s="23">
        <v>300000</v>
      </c>
      <c r="J61" s="24">
        <v>75000</v>
      </c>
    </row>
    <row r="62" spans="1:10" x14ac:dyDescent="0.3">
      <c r="A62" s="25" t="s">
        <v>426</v>
      </c>
      <c r="B62" s="25" t="s">
        <v>369</v>
      </c>
      <c r="C62" s="25" t="s">
        <v>328</v>
      </c>
      <c r="D62" s="25" t="s">
        <v>299</v>
      </c>
      <c r="E62" s="25" t="s">
        <v>300</v>
      </c>
      <c r="F62" s="25" t="s">
        <v>283</v>
      </c>
      <c r="G62" s="26">
        <v>70000</v>
      </c>
      <c r="H62" s="26">
        <v>350000</v>
      </c>
      <c r="I62" s="26">
        <v>210000</v>
      </c>
      <c r="J62" s="27">
        <v>140000</v>
      </c>
    </row>
    <row r="63" spans="1:10" x14ac:dyDescent="0.3">
      <c r="A63" s="22" t="s">
        <v>427</v>
      </c>
      <c r="B63" s="22" t="s">
        <v>370</v>
      </c>
      <c r="C63" s="22" t="s">
        <v>316</v>
      </c>
      <c r="D63" s="22" t="s">
        <v>329</v>
      </c>
      <c r="E63" s="22" t="s">
        <v>330</v>
      </c>
      <c r="F63" s="22" t="s">
        <v>331</v>
      </c>
      <c r="G63" s="23">
        <v>60000</v>
      </c>
      <c r="H63" s="23">
        <v>420000</v>
      </c>
      <c r="I63" s="23">
        <v>360000</v>
      </c>
      <c r="J63" s="24">
        <v>60000</v>
      </c>
    </row>
    <row r="64" spans="1:10" x14ac:dyDescent="0.3">
      <c r="A64" s="25" t="s">
        <v>427</v>
      </c>
      <c r="B64" s="25" t="s">
        <v>370</v>
      </c>
      <c r="C64" s="25" t="s">
        <v>316</v>
      </c>
      <c r="D64" s="25" t="s">
        <v>306</v>
      </c>
      <c r="E64" s="25" t="s">
        <v>307</v>
      </c>
      <c r="F64" s="25" t="s">
        <v>267</v>
      </c>
      <c r="G64" s="26">
        <v>68000</v>
      </c>
      <c r="H64" s="26">
        <v>476000</v>
      </c>
      <c r="I64" s="26">
        <v>408000</v>
      </c>
      <c r="J64" s="27">
        <v>68000</v>
      </c>
    </row>
    <row r="65" spans="1:10" x14ac:dyDescent="0.3">
      <c r="A65" s="22" t="s">
        <v>428</v>
      </c>
      <c r="B65" s="22" t="s">
        <v>371</v>
      </c>
      <c r="C65" s="22" t="s">
        <v>334</v>
      </c>
      <c r="D65" s="22" t="s">
        <v>278</v>
      </c>
      <c r="E65" s="22" t="s">
        <v>279</v>
      </c>
      <c r="F65" s="22" t="s">
        <v>280</v>
      </c>
      <c r="G65" s="23">
        <v>60000</v>
      </c>
      <c r="H65" s="23">
        <v>300000</v>
      </c>
      <c r="I65" s="23">
        <v>300000</v>
      </c>
      <c r="J65" s="24">
        <v>0</v>
      </c>
    </row>
    <row r="66" spans="1:10" x14ac:dyDescent="0.3">
      <c r="A66" s="25" t="s">
        <v>428</v>
      </c>
      <c r="B66" s="25" t="s">
        <v>371</v>
      </c>
      <c r="C66" s="25" t="s">
        <v>334</v>
      </c>
      <c r="D66" s="25" t="s">
        <v>311</v>
      </c>
      <c r="E66" s="25" t="s">
        <v>312</v>
      </c>
      <c r="F66" s="25" t="s">
        <v>287</v>
      </c>
      <c r="G66" s="26">
        <v>50000</v>
      </c>
      <c r="H66" s="26">
        <v>250000</v>
      </c>
      <c r="I66" s="26">
        <v>150000</v>
      </c>
      <c r="J66" s="27">
        <v>100000</v>
      </c>
    </row>
    <row r="67" spans="1:10" x14ac:dyDescent="0.3">
      <c r="A67" s="22" t="s">
        <v>429</v>
      </c>
      <c r="B67" s="22" t="s">
        <v>372</v>
      </c>
      <c r="C67" s="22" t="s">
        <v>305</v>
      </c>
      <c r="D67" s="22" t="s">
        <v>313</v>
      </c>
      <c r="E67" s="22" t="s">
        <v>314</v>
      </c>
      <c r="F67" s="22" t="s">
        <v>264</v>
      </c>
      <c r="G67" s="23">
        <v>65000</v>
      </c>
      <c r="H67" s="23">
        <v>325000</v>
      </c>
      <c r="I67" s="23">
        <v>260000</v>
      </c>
      <c r="J67" s="24">
        <v>65000</v>
      </c>
    </row>
    <row r="68" spans="1:10" x14ac:dyDescent="0.3">
      <c r="A68" s="25" t="s">
        <v>429</v>
      </c>
      <c r="B68" s="25" t="s">
        <v>372</v>
      </c>
      <c r="C68" s="25" t="s">
        <v>305</v>
      </c>
      <c r="D68" s="25" t="s">
        <v>299</v>
      </c>
      <c r="E68" s="25" t="s">
        <v>300</v>
      </c>
      <c r="F68" s="25" t="s">
        <v>283</v>
      </c>
      <c r="G68" s="26">
        <v>70000</v>
      </c>
      <c r="H68" s="26">
        <v>350000</v>
      </c>
      <c r="I68" s="26">
        <v>350000</v>
      </c>
      <c r="J68" s="27">
        <v>0</v>
      </c>
    </row>
    <row r="69" spans="1:10" x14ac:dyDescent="0.3">
      <c r="A69" s="22" t="s">
        <v>430</v>
      </c>
      <c r="B69" s="22" t="s">
        <v>373</v>
      </c>
      <c r="C69" s="22" t="s">
        <v>296</v>
      </c>
      <c r="D69" s="22" t="s">
        <v>364</v>
      </c>
      <c r="E69" s="22" t="s">
        <v>365</v>
      </c>
      <c r="F69" s="22" t="s">
        <v>275</v>
      </c>
      <c r="G69" s="23">
        <v>80000</v>
      </c>
      <c r="H69" s="23">
        <v>480000</v>
      </c>
      <c r="I69" s="23">
        <v>400000</v>
      </c>
      <c r="J69" s="24">
        <v>80000</v>
      </c>
    </row>
    <row r="70" spans="1:10" x14ac:dyDescent="0.3">
      <c r="A70" s="25" t="s">
        <v>430</v>
      </c>
      <c r="B70" s="25" t="s">
        <v>373</v>
      </c>
      <c r="C70" s="25" t="s">
        <v>296</v>
      </c>
      <c r="D70" s="25" t="s">
        <v>343</v>
      </c>
      <c r="E70" s="25" t="s">
        <v>344</v>
      </c>
      <c r="F70" s="25" t="s">
        <v>290</v>
      </c>
      <c r="G70" s="26">
        <v>75000</v>
      </c>
      <c r="H70" s="26">
        <v>450000</v>
      </c>
      <c r="I70" s="26">
        <v>450000</v>
      </c>
      <c r="J70" s="27">
        <v>0</v>
      </c>
    </row>
    <row r="71" spans="1:10" x14ac:dyDescent="0.3">
      <c r="A71" s="22" t="s">
        <v>431</v>
      </c>
      <c r="B71" s="22" t="s">
        <v>374</v>
      </c>
      <c r="C71" s="22" t="s">
        <v>269</v>
      </c>
      <c r="D71" s="22" t="s">
        <v>254</v>
      </c>
      <c r="E71" s="22" t="s">
        <v>255</v>
      </c>
      <c r="F71" s="22" t="s">
        <v>256</v>
      </c>
      <c r="G71" s="23">
        <v>65000</v>
      </c>
      <c r="H71" s="23">
        <v>325000</v>
      </c>
      <c r="I71" s="23">
        <v>195000</v>
      </c>
      <c r="J71" s="24">
        <v>130000</v>
      </c>
    </row>
    <row r="72" spans="1:10" x14ac:dyDescent="0.3">
      <c r="A72" s="25" t="s">
        <v>431</v>
      </c>
      <c r="B72" s="25" t="s">
        <v>374</v>
      </c>
      <c r="C72" s="25" t="s">
        <v>269</v>
      </c>
      <c r="D72" s="25" t="s">
        <v>278</v>
      </c>
      <c r="E72" s="25" t="s">
        <v>279</v>
      </c>
      <c r="F72" s="25" t="s">
        <v>280</v>
      </c>
      <c r="G72" s="26">
        <v>60000</v>
      </c>
      <c r="H72" s="26">
        <v>300000</v>
      </c>
      <c r="I72" s="26">
        <v>240000</v>
      </c>
      <c r="J72" s="27">
        <v>60000</v>
      </c>
    </row>
    <row r="73" spans="1:10" x14ac:dyDescent="0.3">
      <c r="A73" s="22" t="s">
        <v>432</v>
      </c>
      <c r="B73" s="22" t="s">
        <v>375</v>
      </c>
      <c r="C73" s="22" t="s">
        <v>340</v>
      </c>
      <c r="D73" s="22" t="s">
        <v>262</v>
      </c>
      <c r="E73" s="22" t="s">
        <v>263</v>
      </c>
      <c r="F73" s="22" t="s">
        <v>264</v>
      </c>
      <c r="G73" s="23">
        <v>65000</v>
      </c>
      <c r="H73" s="23">
        <v>260000</v>
      </c>
      <c r="I73" s="23">
        <v>130000</v>
      </c>
      <c r="J73" s="24">
        <v>130000</v>
      </c>
    </row>
    <row r="74" spans="1:10" x14ac:dyDescent="0.3">
      <c r="A74" s="25" t="s">
        <v>432</v>
      </c>
      <c r="B74" s="25" t="s">
        <v>375</v>
      </c>
      <c r="C74" s="25" t="s">
        <v>340</v>
      </c>
      <c r="D74" s="25" t="s">
        <v>311</v>
      </c>
      <c r="E74" s="25" t="s">
        <v>312</v>
      </c>
      <c r="F74" s="25" t="s">
        <v>287</v>
      </c>
      <c r="G74" s="26">
        <v>50000</v>
      </c>
      <c r="H74" s="26">
        <v>200000</v>
      </c>
      <c r="I74" s="26">
        <v>150000</v>
      </c>
      <c r="J74" s="27">
        <v>50000</v>
      </c>
    </row>
    <row r="75" spans="1:10" x14ac:dyDescent="0.3">
      <c r="A75" s="22" t="s">
        <v>433</v>
      </c>
      <c r="B75" s="22" t="s">
        <v>376</v>
      </c>
      <c r="C75" s="22" t="s">
        <v>346</v>
      </c>
      <c r="D75" s="22" t="s">
        <v>360</v>
      </c>
      <c r="E75" s="22" t="s">
        <v>361</v>
      </c>
      <c r="F75" s="22" t="s">
        <v>256</v>
      </c>
      <c r="G75" s="23">
        <v>65000</v>
      </c>
      <c r="H75" s="23">
        <v>325000</v>
      </c>
      <c r="I75" s="23">
        <v>260000</v>
      </c>
      <c r="J75" s="24">
        <v>65000</v>
      </c>
    </row>
    <row r="76" spans="1:10" x14ac:dyDescent="0.3">
      <c r="A76" s="25" t="s">
        <v>433</v>
      </c>
      <c r="B76" s="25" t="s">
        <v>376</v>
      </c>
      <c r="C76" s="25" t="s">
        <v>346</v>
      </c>
      <c r="D76" s="25" t="s">
        <v>273</v>
      </c>
      <c r="E76" s="25" t="s">
        <v>274</v>
      </c>
      <c r="F76" s="25" t="s">
        <v>275</v>
      </c>
      <c r="G76" s="26">
        <v>50000</v>
      </c>
      <c r="H76" s="26">
        <v>250000</v>
      </c>
      <c r="I76" s="26">
        <v>200000</v>
      </c>
      <c r="J76" s="27">
        <v>50000</v>
      </c>
    </row>
    <row r="77" spans="1:10" x14ac:dyDescent="0.3">
      <c r="A77" s="22" t="s">
        <v>434</v>
      </c>
      <c r="B77" s="22" t="s">
        <v>377</v>
      </c>
      <c r="C77" s="22" t="s">
        <v>346</v>
      </c>
      <c r="D77" s="22" t="s">
        <v>293</v>
      </c>
      <c r="E77" s="22" t="s">
        <v>294</v>
      </c>
      <c r="F77" s="22" t="s">
        <v>272</v>
      </c>
      <c r="G77" s="23">
        <v>75000</v>
      </c>
      <c r="H77" s="23">
        <v>525000</v>
      </c>
      <c r="I77" s="23">
        <v>375000</v>
      </c>
      <c r="J77" s="24">
        <v>150000</v>
      </c>
    </row>
    <row r="78" spans="1:10" x14ac:dyDescent="0.3">
      <c r="A78" s="25" t="s">
        <v>434</v>
      </c>
      <c r="B78" s="25" t="s">
        <v>377</v>
      </c>
      <c r="C78" s="25" t="s">
        <v>346</v>
      </c>
      <c r="D78" s="25" t="s">
        <v>257</v>
      </c>
      <c r="E78" s="25" t="s">
        <v>258</v>
      </c>
      <c r="F78" s="25" t="s">
        <v>259</v>
      </c>
      <c r="G78" s="26">
        <v>55000</v>
      </c>
      <c r="H78" s="26">
        <v>385000</v>
      </c>
      <c r="I78" s="26">
        <v>330000</v>
      </c>
      <c r="J78" s="27">
        <v>55000</v>
      </c>
    </row>
    <row r="79" spans="1:10" x14ac:dyDescent="0.3">
      <c r="A79" s="22" t="s">
        <v>414</v>
      </c>
      <c r="B79" s="22" t="s">
        <v>378</v>
      </c>
      <c r="C79" s="22" t="s">
        <v>296</v>
      </c>
      <c r="D79" s="22" t="s">
        <v>343</v>
      </c>
      <c r="E79" s="22" t="s">
        <v>344</v>
      </c>
      <c r="F79" s="22" t="s">
        <v>290</v>
      </c>
      <c r="G79" s="23">
        <v>75000</v>
      </c>
      <c r="H79" s="23">
        <v>375000</v>
      </c>
      <c r="I79" s="23">
        <v>300000</v>
      </c>
      <c r="J79" s="24">
        <v>75000</v>
      </c>
    </row>
    <row r="80" spans="1:10" x14ac:dyDescent="0.3">
      <c r="A80" s="25" t="s">
        <v>414</v>
      </c>
      <c r="B80" s="25" t="s">
        <v>378</v>
      </c>
      <c r="C80" s="25" t="s">
        <v>296</v>
      </c>
      <c r="D80" s="25" t="s">
        <v>379</v>
      </c>
      <c r="E80" s="25" t="s">
        <v>380</v>
      </c>
      <c r="F80" s="25" t="s">
        <v>267</v>
      </c>
      <c r="G80" s="26">
        <v>68000</v>
      </c>
      <c r="H80" s="26">
        <v>340000</v>
      </c>
      <c r="I80" s="26">
        <v>272000</v>
      </c>
      <c r="J80" s="27">
        <v>68000</v>
      </c>
    </row>
    <row r="81" spans="1:10" x14ac:dyDescent="0.3">
      <c r="A81" s="22" t="s">
        <v>415</v>
      </c>
      <c r="B81" s="22" t="s">
        <v>381</v>
      </c>
      <c r="C81" s="22" t="s">
        <v>261</v>
      </c>
      <c r="D81" s="22" t="s">
        <v>288</v>
      </c>
      <c r="E81" s="22" t="s">
        <v>289</v>
      </c>
      <c r="F81" s="22" t="s">
        <v>290</v>
      </c>
      <c r="G81" s="23">
        <v>75000</v>
      </c>
      <c r="H81" s="23">
        <v>375000</v>
      </c>
      <c r="I81" s="23">
        <v>300000</v>
      </c>
      <c r="J81" s="24">
        <v>75000</v>
      </c>
    </row>
    <row r="82" spans="1:10" x14ac:dyDescent="0.3">
      <c r="A82" s="25" t="s">
        <v>415</v>
      </c>
      <c r="B82" s="25" t="s">
        <v>381</v>
      </c>
      <c r="C82" s="25" t="s">
        <v>261</v>
      </c>
      <c r="D82" s="25" t="s">
        <v>270</v>
      </c>
      <c r="E82" s="25" t="s">
        <v>271</v>
      </c>
      <c r="F82" s="25" t="s">
        <v>272</v>
      </c>
      <c r="G82" s="26">
        <v>75000</v>
      </c>
      <c r="H82" s="26">
        <v>375000</v>
      </c>
      <c r="I82" s="26">
        <v>300000</v>
      </c>
      <c r="J82" s="27">
        <v>75000</v>
      </c>
    </row>
    <row r="83" spans="1:10" x14ac:dyDescent="0.3">
      <c r="A83" s="22" t="s">
        <v>416</v>
      </c>
      <c r="B83" s="22" t="s">
        <v>382</v>
      </c>
      <c r="C83" s="22" t="s">
        <v>292</v>
      </c>
      <c r="D83" s="22" t="s">
        <v>329</v>
      </c>
      <c r="E83" s="22" t="s">
        <v>330</v>
      </c>
      <c r="F83" s="22" t="s">
        <v>331</v>
      </c>
      <c r="G83" s="23">
        <v>60000</v>
      </c>
      <c r="H83" s="23">
        <v>360000</v>
      </c>
      <c r="I83" s="23">
        <v>300000</v>
      </c>
      <c r="J83" s="24">
        <v>60000</v>
      </c>
    </row>
    <row r="84" spans="1:10" x14ac:dyDescent="0.3">
      <c r="A84" s="25" t="s">
        <v>416</v>
      </c>
      <c r="B84" s="25" t="s">
        <v>382</v>
      </c>
      <c r="C84" s="25" t="s">
        <v>292</v>
      </c>
      <c r="D84" s="25" t="s">
        <v>360</v>
      </c>
      <c r="E84" s="25" t="s">
        <v>361</v>
      </c>
      <c r="F84" s="25" t="s">
        <v>256</v>
      </c>
      <c r="G84" s="26">
        <v>65000</v>
      </c>
      <c r="H84" s="26">
        <v>390000</v>
      </c>
      <c r="I84" s="26">
        <v>390000</v>
      </c>
      <c r="J84" s="27">
        <v>0</v>
      </c>
    </row>
    <row r="85" spans="1:10" x14ac:dyDescent="0.3">
      <c r="A85" s="22" t="s">
        <v>416</v>
      </c>
      <c r="B85" s="22" t="s">
        <v>382</v>
      </c>
      <c r="C85" s="22" t="s">
        <v>292</v>
      </c>
      <c r="D85" s="22" t="s">
        <v>257</v>
      </c>
      <c r="E85" s="22" t="s">
        <v>258</v>
      </c>
      <c r="F85" s="22" t="s">
        <v>259</v>
      </c>
      <c r="G85" s="23">
        <v>55000</v>
      </c>
      <c r="H85" s="23">
        <v>330000</v>
      </c>
      <c r="I85" s="23">
        <v>220000</v>
      </c>
      <c r="J85" s="24">
        <v>110000</v>
      </c>
    </row>
    <row r="86" spans="1:10" x14ac:dyDescent="0.3">
      <c r="A86" s="25" t="s">
        <v>417</v>
      </c>
      <c r="B86" s="25" t="s">
        <v>383</v>
      </c>
      <c r="C86" s="25" t="s">
        <v>298</v>
      </c>
      <c r="D86" s="25" t="s">
        <v>384</v>
      </c>
      <c r="E86" s="25" t="s">
        <v>385</v>
      </c>
      <c r="F86" s="25" t="s">
        <v>280</v>
      </c>
      <c r="G86" s="26">
        <v>60000</v>
      </c>
      <c r="H86" s="26">
        <v>300000</v>
      </c>
      <c r="I86" s="26">
        <v>240000</v>
      </c>
      <c r="J86" s="27">
        <v>60000</v>
      </c>
    </row>
    <row r="87" spans="1:10" x14ac:dyDescent="0.3">
      <c r="A87" s="22" t="s">
        <v>417</v>
      </c>
      <c r="B87" s="22" t="s">
        <v>383</v>
      </c>
      <c r="C87" s="22" t="s">
        <v>298</v>
      </c>
      <c r="D87" s="22" t="s">
        <v>335</v>
      </c>
      <c r="E87" s="22" t="s">
        <v>336</v>
      </c>
      <c r="F87" s="22" t="s">
        <v>259</v>
      </c>
      <c r="G87" s="23">
        <v>55000</v>
      </c>
      <c r="H87" s="23">
        <v>275000</v>
      </c>
      <c r="I87" s="23">
        <v>220000</v>
      </c>
      <c r="J87" s="24">
        <v>55000</v>
      </c>
    </row>
    <row r="88" spans="1:10" x14ac:dyDescent="0.3">
      <c r="A88" s="25" t="s">
        <v>418</v>
      </c>
      <c r="B88" s="25" t="s">
        <v>386</v>
      </c>
      <c r="C88" s="25" t="s">
        <v>316</v>
      </c>
      <c r="D88" s="25" t="s">
        <v>270</v>
      </c>
      <c r="E88" s="25" t="s">
        <v>271</v>
      </c>
      <c r="F88" s="25" t="s">
        <v>272</v>
      </c>
      <c r="G88" s="26">
        <v>75000</v>
      </c>
      <c r="H88" s="26">
        <v>150000</v>
      </c>
      <c r="I88" s="26">
        <v>150000</v>
      </c>
      <c r="J88" s="27">
        <v>0</v>
      </c>
    </row>
    <row r="89" spans="1:10" x14ac:dyDescent="0.3">
      <c r="A89" s="22" t="s">
        <v>418</v>
      </c>
      <c r="B89" s="22" t="s">
        <v>386</v>
      </c>
      <c r="C89" s="22" t="s">
        <v>316</v>
      </c>
      <c r="D89" s="22" t="s">
        <v>299</v>
      </c>
      <c r="E89" s="22" t="s">
        <v>300</v>
      </c>
      <c r="F89" s="22" t="s">
        <v>283</v>
      </c>
      <c r="G89" s="23">
        <v>70000</v>
      </c>
      <c r="H89" s="23">
        <v>140000</v>
      </c>
      <c r="I89" s="23">
        <v>140000</v>
      </c>
      <c r="J89" s="24">
        <v>0</v>
      </c>
    </row>
    <row r="90" spans="1:10" x14ac:dyDescent="0.3">
      <c r="A90" s="25" t="s">
        <v>419</v>
      </c>
      <c r="B90" s="25" t="s">
        <v>387</v>
      </c>
      <c r="C90" s="25" t="s">
        <v>253</v>
      </c>
      <c r="D90" s="25" t="s">
        <v>367</v>
      </c>
      <c r="E90" s="25" t="s">
        <v>368</v>
      </c>
      <c r="F90" s="25" t="s">
        <v>324</v>
      </c>
      <c r="G90" s="26">
        <v>75000</v>
      </c>
      <c r="H90" s="26">
        <v>300000</v>
      </c>
      <c r="I90" s="26">
        <v>300000</v>
      </c>
      <c r="J90" s="27">
        <v>0</v>
      </c>
    </row>
    <row r="91" spans="1:10" x14ac:dyDescent="0.3">
      <c r="A91" s="22" t="s">
        <v>419</v>
      </c>
      <c r="B91" s="22" t="s">
        <v>387</v>
      </c>
      <c r="C91" s="22" t="s">
        <v>253</v>
      </c>
      <c r="D91" s="22" t="s">
        <v>317</v>
      </c>
      <c r="E91" s="22" t="s">
        <v>318</v>
      </c>
      <c r="F91" s="22" t="s">
        <v>319</v>
      </c>
      <c r="G91" s="23">
        <v>70000</v>
      </c>
      <c r="H91" s="23">
        <v>280000</v>
      </c>
      <c r="I91" s="23">
        <v>210000</v>
      </c>
      <c r="J91" s="24">
        <v>70000</v>
      </c>
    </row>
    <row r="92" spans="1:10" x14ac:dyDescent="0.3">
      <c r="A92" s="25" t="s">
        <v>420</v>
      </c>
      <c r="B92" s="25" t="s">
        <v>388</v>
      </c>
      <c r="C92" s="25" t="s">
        <v>340</v>
      </c>
      <c r="D92" s="25" t="s">
        <v>364</v>
      </c>
      <c r="E92" s="25" t="s">
        <v>365</v>
      </c>
      <c r="F92" s="25" t="s">
        <v>275</v>
      </c>
      <c r="G92" s="26">
        <v>80000</v>
      </c>
      <c r="H92" s="26">
        <v>400000</v>
      </c>
      <c r="I92" s="26">
        <v>400000</v>
      </c>
      <c r="J92" s="27">
        <v>0</v>
      </c>
    </row>
    <row r="93" spans="1:10" x14ac:dyDescent="0.3">
      <c r="A93" s="22" t="s">
        <v>420</v>
      </c>
      <c r="B93" s="22" t="s">
        <v>388</v>
      </c>
      <c r="C93" s="22" t="s">
        <v>340</v>
      </c>
      <c r="D93" s="22" t="s">
        <v>308</v>
      </c>
      <c r="E93" s="22" t="s">
        <v>309</v>
      </c>
      <c r="F93" s="22" t="s">
        <v>280</v>
      </c>
      <c r="G93" s="23">
        <v>60000</v>
      </c>
      <c r="H93" s="23">
        <v>300000</v>
      </c>
      <c r="I93" s="23">
        <v>240000</v>
      </c>
      <c r="J93" s="24">
        <v>60000</v>
      </c>
    </row>
    <row r="94" spans="1:10" x14ac:dyDescent="0.3">
      <c r="A94" s="25" t="s">
        <v>421</v>
      </c>
      <c r="B94" s="25" t="s">
        <v>389</v>
      </c>
      <c r="C94" s="25" t="s">
        <v>355</v>
      </c>
      <c r="D94" s="25" t="s">
        <v>306</v>
      </c>
      <c r="E94" s="25" t="s">
        <v>307</v>
      </c>
      <c r="F94" s="25" t="s">
        <v>267</v>
      </c>
      <c r="G94" s="26">
        <v>68000</v>
      </c>
      <c r="H94" s="26">
        <v>476000</v>
      </c>
      <c r="I94" s="26">
        <v>408000</v>
      </c>
      <c r="J94" s="27">
        <v>68000</v>
      </c>
    </row>
    <row r="95" spans="1:10" x14ac:dyDescent="0.3">
      <c r="A95" s="22" t="s">
        <v>421</v>
      </c>
      <c r="B95" s="22" t="s">
        <v>389</v>
      </c>
      <c r="C95" s="22" t="s">
        <v>355</v>
      </c>
      <c r="D95" s="22" t="s">
        <v>262</v>
      </c>
      <c r="E95" s="22" t="s">
        <v>263</v>
      </c>
      <c r="F95" s="22" t="s">
        <v>264</v>
      </c>
      <c r="G95" s="23">
        <v>65000</v>
      </c>
      <c r="H95" s="23">
        <v>455000</v>
      </c>
      <c r="I95" s="23">
        <v>455000</v>
      </c>
      <c r="J95" s="24">
        <v>0</v>
      </c>
    </row>
    <row r="96" spans="1:10" x14ac:dyDescent="0.3">
      <c r="A96" s="25" t="s">
        <v>422</v>
      </c>
      <c r="B96" s="25" t="s">
        <v>390</v>
      </c>
      <c r="C96" s="25" t="s">
        <v>340</v>
      </c>
      <c r="D96" s="25" t="s">
        <v>293</v>
      </c>
      <c r="E96" s="25" t="s">
        <v>294</v>
      </c>
      <c r="F96" s="25" t="s">
        <v>272</v>
      </c>
      <c r="G96" s="26">
        <v>75000</v>
      </c>
      <c r="H96" s="26">
        <v>450000</v>
      </c>
      <c r="I96" s="26">
        <v>375000</v>
      </c>
      <c r="J96" s="27">
        <v>75000</v>
      </c>
    </row>
    <row r="97" spans="1:10" x14ac:dyDescent="0.3">
      <c r="A97" s="22" t="s">
        <v>422</v>
      </c>
      <c r="B97" s="22" t="s">
        <v>390</v>
      </c>
      <c r="C97" s="22" t="s">
        <v>340</v>
      </c>
      <c r="D97" s="22" t="s">
        <v>254</v>
      </c>
      <c r="E97" s="22" t="s">
        <v>255</v>
      </c>
      <c r="F97" s="22" t="s">
        <v>256</v>
      </c>
      <c r="G97" s="23">
        <v>65000</v>
      </c>
      <c r="H97" s="23">
        <v>390000</v>
      </c>
      <c r="I97" s="23">
        <v>260000</v>
      </c>
      <c r="J97" s="24">
        <v>130000</v>
      </c>
    </row>
    <row r="98" spans="1:10" x14ac:dyDescent="0.3">
      <c r="A98" s="25" t="s">
        <v>423</v>
      </c>
      <c r="B98" s="25" t="s">
        <v>391</v>
      </c>
      <c r="C98" s="25" t="s">
        <v>363</v>
      </c>
      <c r="D98" s="25" t="s">
        <v>343</v>
      </c>
      <c r="E98" s="25" t="s">
        <v>344</v>
      </c>
      <c r="F98" s="25" t="s">
        <v>290</v>
      </c>
      <c r="G98" s="26">
        <v>75000</v>
      </c>
      <c r="H98" s="26">
        <v>375000</v>
      </c>
      <c r="I98" s="26">
        <v>225000</v>
      </c>
      <c r="J98" s="27">
        <v>150000</v>
      </c>
    </row>
    <row r="99" spans="1:10" x14ac:dyDescent="0.3">
      <c r="A99" s="28" t="s">
        <v>423</v>
      </c>
      <c r="B99" s="28" t="s">
        <v>391</v>
      </c>
      <c r="C99" s="28" t="s">
        <v>363</v>
      </c>
      <c r="D99" s="28" t="s">
        <v>335</v>
      </c>
      <c r="E99" s="28" t="s">
        <v>336</v>
      </c>
      <c r="F99" s="28" t="s">
        <v>259</v>
      </c>
      <c r="G99" s="29">
        <v>55000</v>
      </c>
      <c r="H99" s="29">
        <v>275000</v>
      </c>
      <c r="I99" s="29">
        <v>220000</v>
      </c>
      <c r="J99" s="30">
        <v>55000</v>
      </c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scale="73" fitToHeight="2" orientation="portrait" r:id="rId1"/>
  <headerFooter differentOddEven="1">
    <oddFooter>&amp;L&amp;P페이지</oddFooter>
    <evenFooter>&amp;R&amp;P페이지</even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30"/>
  <sheetViews>
    <sheetView tabSelected="1" workbookViewId="0"/>
  </sheetViews>
  <sheetFormatPr defaultRowHeight="16.5" x14ac:dyDescent="0.3"/>
  <cols>
    <col min="2" max="2" width="14.375" customWidth="1"/>
    <col min="4" max="4" width="10.75" customWidth="1"/>
    <col min="6" max="6" width="11.375" customWidth="1"/>
    <col min="8" max="8" width="9.375" bestFit="1" customWidth="1"/>
    <col min="9" max="9" width="10.625" customWidth="1"/>
    <col min="10" max="10" width="1.625" customWidth="1"/>
    <col min="11" max="11" width="14.375" customWidth="1"/>
    <col min="13" max="13" width="16.625" customWidth="1"/>
  </cols>
  <sheetData>
    <row r="1" spans="1:16" x14ac:dyDescent="0.3">
      <c r="A1" t="s">
        <v>10</v>
      </c>
      <c r="K1" t="s">
        <v>11</v>
      </c>
      <c r="N1" t="s">
        <v>12</v>
      </c>
    </row>
    <row r="2" spans="1:16" x14ac:dyDescent="0.3">
      <c r="A2" s="2" t="s">
        <v>23</v>
      </c>
      <c r="B2" s="2" t="s">
        <v>24</v>
      </c>
      <c r="C2" s="2" t="s">
        <v>25</v>
      </c>
      <c r="D2" s="2" t="s">
        <v>79</v>
      </c>
      <c r="E2" s="2" t="s">
        <v>26</v>
      </c>
      <c r="F2" s="6" t="s">
        <v>27</v>
      </c>
      <c r="G2" s="2" t="s">
        <v>28</v>
      </c>
      <c r="H2" s="6" t="s">
        <v>29</v>
      </c>
      <c r="I2" s="6" t="s">
        <v>30</v>
      </c>
      <c r="K2" s="2" t="s">
        <v>24</v>
      </c>
      <c r="L2" s="2" t="s">
        <v>31</v>
      </c>
      <c r="N2" s="2" t="s">
        <v>32</v>
      </c>
      <c r="O2" s="2">
        <v>1</v>
      </c>
      <c r="P2" s="2">
        <v>2</v>
      </c>
    </row>
    <row r="3" spans="1:16" x14ac:dyDescent="0.3">
      <c r="A3" s="2" t="s">
        <v>51</v>
      </c>
      <c r="B3" s="2" t="s">
        <v>43</v>
      </c>
      <c r="C3" s="2" t="s">
        <v>33</v>
      </c>
      <c r="D3" s="7">
        <v>45664</v>
      </c>
      <c r="E3" s="2">
        <v>1</v>
      </c>
      <c r="F3" s="2" t="str">
        <f>TEXT(EDATE(D3,(E3*12)-1),"YY년 MM월호")</f>
        <v>25년 12월호</v>
      </c>
      <c r="G3" s="2">
        <v>5</v>
      </c>
      <c r="H3" s="3" cm="1">
        <f t="array" ref="H3">_xlfn.XLOOKUP(B3,$K$3:$K$6,$L$3:$L$6)*E3*G3*(1-INDEX($O$3:$P$5,_xlfn.XMATCH(C3,$N$3:$N$5,0),E3))</f>
        <v>460349.99999999994</v>
      </c>
      <c r="I3" s="2" t="str" cm="1">
        <f t="array" ref="I3">fn사은품(E3,C3)</f>
        <v/>
      </c>
      <c r="K3" s="2" t="s">
        <v>43</v>
      </c>
      <c r="L3" s="3">
        <v>99000</v>
      </c>
      <c r="N3" s="2" t="s">
        <v>33</v>
      </c>
      <c r="O3" s="8">
        <v>7.0000000000000007E-2</v>
      </c>
      <c r="P3" s="8">
        <v>0.1</v>
      </c>
    </row>
    <row r="4" spans="1:16" x14ac:dyDescent="0.3">
      <c r="A4" s="2" t="s">
        <v>52</v>
      </c>
      <c r="B4" s="2" t="s">
        <v>48</v>
      </c>
      <c r="C4" s="2" t="s">
        <v>34</v>
      </c>
      <c r="D4" s="7">
        <v>45683</v>
      </c>
      <c r="E4" s="2">
        <v>2</v>
      </c>
      <c r="F4" s="2" t="str">
        <f t="shared" ref="F4:F30" si="0">TEXT(EDATE(D4,(E4*12)-1),"YY년 MM월호")</f>
        <v>26년 12월호</v>
      </c>
      <c r="G4" s="2">
        <v>3</v>
      </c>
      <c r="H4" s="3" cm="1">
        <f t="array" ref="H4">_xlfn.XLOOKUP(B4,$K$3:$K$6,$L$3:$L$6)*E4*G4*(1-INDEX($O$3:$P$5,_xlfn.XMATCH(C4,$N$3:$N$5,0),E4))</f>
        <v>633600</v>
      </c>
      <c r="I4" s="2" t="str" cm="1">
        <f t="array" ref="I4">fn사은품(E4,C4)</f>
        <v>문화상품권</v>
      </c>
      <c r="K4" s="2" t="s">
        <v>47</v>
      </c>
      <c r="L4" s="3">
        <v>129000</v>
      </c>
      <c r="N4" s="2" t="s">
        <v>35</v>
      </c>
      <c r="O4" s="8">
        <v>0.12</v>
      </c>
      <c r="P4" s="8">
        <v>0.15</v>
      </c>
    </row>
    <row r="5" spans="1:16" x14ac:dyDescent="0.3">
      <c r="A5" s="2" t="s">
        <v>53</v>
      </c>
      <c r="B5" s="2" t="s">
        <v>44</v>
      </c>
      <c r="C5" s="2" t="s">
        <v>34</v>
      </c>
      <c r="D5" s="7">
        <v>45685</v>
      </c>
      <c r="E5" s="2">
        <v>2</v>
      </c>
      <c r="F5" s="2" t="str">
        <f t="shared" si="0"/>
        <v>26년 12월호</v>
      </c>
      <c r="G5" s="2">
        <v>1</v>
      </c>
      <c r="H5" s="3" cm="1">
        <f t="array" ref="H5">_xlfn.XLOOKUP(B5,$K$3:$K$6,$L$3:$L$6)*E5*G5*(1-INDEX($O$3:$P$5,_xlfn.XMATCH(C5,$N$3:$N$5,0),E5))</f>
        <v>142400</v>
      </c>
      <c r="I5" s="2" t="str" cm="1">
        <f t="array" ref="I5">fn사은품(E5,C5)</f>
        <v>문화상품권</v>
      </c>
      <c r="K5" s="2" t="s">
        <v>49</v>
      </c>
      <c r="L5" s="3">
        <v>132000</v>
      </c>
      <c r="N5" s="2" t="s">
        <v>34</v>
      </c>
      <c r="O5" s="8">
        <v>0.15</v>
      </c>
      <c r="P5" s="8">
        <v>0.2</v>
      </c>
    </row>
    <row r="6" spans="1:16" x14ac:dyDescent="0.3">
      <c r="A6" s="2" t="s">
        <v>54</v>
      </c>
      <c r="B6" s="2" t="s">
        <v>46</v>
      </c>
      <c r="C6" s="2" t="s">
        <v>33</v>
      </c>
      <c r="D6" s="7">
        <v>45708</v>
      </c>
      <c r="E6" s="2">
        <v>1</v>
      </c>
      <c r="F6" s="2" t="str">
        <f t="shared" si="0"/>
        <v>26년 01월호</v>
      </c>
      <c r="G6" s="2">
        <v>5</v>
      </c>
      <c r="H6" s="3" cm="1">
        <f t="array" ref="H6">_xlfn.XLOOKUP(B6,$K$3:$K$6,$L$3:$L$6)*E6*G6*(1-INDEX($O$3:$P$5,_xlfn.XMATCH(C6,$N$3:$N$5,0),E6))</f>
        <v>599850</v>
      </c>
      <c r="I6" s="2" t="str" cm="1">
        <f t="array" ref="I6">fn사은품(E6,C6)</f>
        <v/>
      </c>
      <c r="K6" s="2" t="s">
        <v>45</v>
      </c>
      <c r="L6" s="3">
        <v>89000</v>
      </c>
    </row>
    <row r="7" spans="1:16" x14ac:dyDescent="0.3">
      <c r="A7" s="2" t="s">
        <v>55</v>
      </c>
      <c r="B7" s="2" t="s">
        <v>48</v>
      </c>
      <c r="C7" s="2" t="s">
        <v>34</v>
      </c>
      <c r="D7" s="7">
        <v>45717</v>
      </c>
      <c r="E7" s="2">
        <v>1</v>
      </c>
      <c r="F7" s="2" t="str">
        <f t="shared" si="0"/>
        <v>26년 02월호</v>
      </c>
      <c r="G7" s="2">
        <v>3</v>
      </c>
      <c r="H7" s="3" cm="1">
        <f t="array" ref="H7">_xlfn.XLOOKUP(B7,$K$3:$K$6,$L$3:$L$6)*E7*G7*(1-INDEX($O$3:$P$5,_xlfn.XMATCH(C7,$N$3:$N$5,0),E7))</f>
        <v>336600</v>
      </c>
      <c r="I7" s="2" t="str" cm="1">
        <f t="array" ref="I7">fn사은품(E7,C7)</f>
        <v>문화상품권</v>
      </c>
    </row>
    <row r="8" spans="1:16" x14ac:dyDescent="0.3">
      <c r="A8" s="2" t="s">
        <v>56</v>
      </c>
      <c r="B8" s="2" t="s">
        <v>44</v>
      </c>
      <c r="C8" s="2" t="s">
        <v>35</v>
      </c>
      <c r="D8" s="7">
        <v>45750</v>
      </c>
      <c r="E8" s="2">
        <v>1</v>
      </c>
      <c r="F8" s="2" t="str">
        <f t="shared" si="0"/>
        <v>26년 03월호</v>
      </c>
      <c r="G8" s="2">
        <v>2</v>
      </c>
      <c r="H8" s="3" cm="1">
        <f t="array" ref="H8">_xlfn.XLOOKUP(B8,$K$3:$K$6,$L$3:$L$6)*E8*G8*(1-INDEX($O$3:$P$5,_xlfn.XMATCH(C8,$N$3:$N$5,0),E8))</f>
        <v>156640</v>
      </c>
      <c r="I8" s="2" t="str" cm="1">
        <f t="array" ref="I8">fn사은품(E8,C8)</f>
        <v>문화상품권</v>
      </c>
      <c r="K8" t="s">
        <v>13</v>
      </c>
    </row>
    <row r="9" spans="1:16" x14ac:dyDescent="0.3">
      <c r="A9" s="2" t="s">
        <v>57</v>
      </c>
      <c r="B9" s="2" t="s">
        <v>43</v>
      </c>
      <c r="C9" s="2" t="s">
        <v>34</v>
      </c>
      <c r="D9" s="7">
        <v>45790</v>
      </c>
      <c r="E9" s="2">
        <v>2</v>
      </c>
      <c r="F9" s="2" t="str">
        <f t="shared" si="0"/>
        <v>27년 04월호</v>
      </c>
      <c r="G9" s="2">
        <v>5</v>
      </c>
      <c r="H9" s="3" cm="1">
        <f t="array" ref="H9">_xlfn.XLOOKUP(B9,$K$3:$K$6,$L$3:$L$6)*E9*G9*(1-INDEX($O$3:$P$5,_xlfn.XMATCH(C9,$N$3:$N$5,0),E9))</f>
        <v>792000</v>
      </c>
      <c r="I9" s="2" t="str" cm="1">
        <f t="array" ref="I9">fn사은품(E9,C9)</f>
        <v>문화상품권</v>
      </c>
      <c r="K9" s="32" t="s">
        <v>50</v>
      </c>
      <c r="L9" s="33"/>
      <c r="M9" s="33"/>
      <c r="N9" s="34"/>
      <c r="O9" s="2" t="str">
        <f t="array" ref="O9">SUM(IF((B3:B30="우등논술")+(B3:B30="월간뉴런"),E3:E30))&amp;"년"</f>
        <v>17년</v>
      </c>
    </row>
    <row r="10" spans="1:16" x14ac:dyDescent="0.3">
      <c r="A10" s="2" t="s">
        <v>58</v>
      </c>
      <c r="B10" s="2" t="s">
        <v>44</v>
      </c>
      <c r="C10" s="2" t="s">
        <v>33</v>
      </c>
      <c r="D10" s="7">
        <v>45798</v>
      </c>
      <c r="E10" s="2">
        <v>1</v>
      </c>
      <c r="F10" s="2" t="str">
        <f t="shared" si="0"/>
        <v>26년 04월호</v>
      </c>
      <c r="G10" s="2">
        <v>4</v>
      </c>
      <c r="H10" s="3" cm="1">
        <f t="array" ref="H10">_xlfn.XLOOKUP(B10,$K$3:$K$6,$L$3:$L$6)*E10*G10*(1-INDEX($O$3:$P$5,_xlfn.XMATCH(C10,$N$3:$N$5,0),E10))</f>
        <v>331080</v>
      </c>
      <c r="I10" s="2" t="str" cm="1">
        <f t="array" ref="I10">fn사은품(E10,C10)</f>
        <v/>
      </c>
    </row>
    <row r="11" spans="1:16" x14ac:dyDescent="0.3">
      <c r="A11" s="2" t="s">
        <v>59</v>
      </c>
      <c r="B11" s="2" t="s">
        <v>43</v>
      </c>
      <c r="C11" s="2" t="s">
        <v>34</v>
      </c>
      <c r="D11" s="7">
        <v>45798</v>
      </c>
      <c r="E11" s="2">
        <v>1</v>
      </c>
      <c r="F11" s="2" t="str">
        <f t="shared" si="0"/>
        <v>26년 04월호</v>
      </c>
      <c r="G11" s="2">
        <v>1</v>
      </c>
      <c r="H11" s="3" cm="1">
        <f t="array" ref="H11">_xlfn.XLOOKUP(B11,$K$3:$K$6,$L$3:$L$6)*E11*G11*(1-INDEX($O$3:$P$5,_xlfn.XMATCH(C11,$N$3:$N$5,0),E11))</f>
        <v>84150</v>
      </c>
      <c r="I11" s="2" t="str" cm="1">
        <f t="array" ref="I11">fn사은품(E11,C11)</f>
        <v>문화상품권</v>
      </c>
      <c r="K11" t="s">
        <v>14</v>
      </c>
    </row>
    <row r="12" spans="1:16" x14ac:dyDescent="0.3">
      <c r="A12" s="2" t="s">
        <v>60</v>
      </c>
      <c r="B12" s="2" t="s">
        <v>43</v>
      </c>
      <c r="C12" s="2" t="s">
        <v>34</v>
      </c>
      <c r="D12" s="7">
        <v>45799</v>
      </c>
      <c r="E12" s="2">
        <v>2</v>
      </c>
      <c r="F12" s="2" t="str">
        <f t="shared" si="0"/>
        <v>27년 04월호</v>
      </c>
      <c r="G12" s="2">
        <v>5</v>
      </c>
      <c r="H12" s="3" cm="1">
        <f t="array" ref="H12">_xlfn.XLOOKUP(B12,$K$3:$K$6,$L$3:$L$6)*E12*G12*(1-INDEX($O$3:$P$5,_xlfn.XMATCH(C12,$N$3:$N$5,0),E12))</f>
        <v>792000</v>
      </c>
      <c r="I12" s="2" t="str" cm="1">
        <f t="array" ref="I12">fn사은품(E12,C12)</f>
        <v>문화상품권</v>
      </c>
      <c r="K12" s="35" t="s">
        <v>186</v>
      </c>
      <c r="L12" s="36"/>
      <c r="M12" s="6" t="s">
        <v>36</v>
      </c>
    </row>
    <row r="13" spans="1:16" x14ac:dyDescent="0.3">
      <c r="A13" s="2" t="s">
        <v>61</v>
      </c>
      <c r="B13" s="2" t="s">
        <v>46</v>
      </c>
      <c r="C13" s="2" t="s">
        <v>35</v>
      </c>
      <c r="D13" s="7">
        <v>45804</v>
      </c>
      <c r="E13" s="2">
        <v>1</v>
      </c>
      <c r="F13" s="2" t="str">
        <f t="shared" si="0"/>
        <v>26년 04월호</v>
      </c>
      <c r="G13" s="2">
        <v>4</v>
      </c>
      <c r="H13" s="3" cm="1">
        <f t="array" ref="H13">_xlfn.XLOOKUP(B13,$K$3:$K$6,$L$3:$L$6)*E13*G13*(1-INDEX($O$3:$P$5,_xlfn.XMATCH(C13,$N$3:$N$5,0),E13))</f>
        <v>454080</v>
      </c>
      <c r="I13" s="2" t="str" cm="1">
        <f t="array" ref="I13">fn사은품(E13,C13)</f>
        <v>문화상품권</v>
      </c>
      <c r="K13" s="2" t="s">
        <v>37</v>
      </c>
      <c r="L13" s="9">
        <v>2</v>
      </c>
      <c r="M13" s="12" t="str">
        <f t="array" ref="M13:M18">REPT("◈",FREQUENCY(MONTH(D3:D30),L13:L18))</f>
        <v>◈◈◈◈◈◈</v>
      </c>
    </row>
    <row r="14" spans="1:16" x14ac:dyDescent="0.3">
      <c r="A14" s="2" t="s">
        <v>62</v>
      </c>
      <c r="B14" s="2" t="s">
        <v>44</v>
      </c>
      <c r="C14" s="2" t="s">
        <v>34</v>
      </c>
      <c r="D14" s="7">
        <v>45824</v>
      </c>
      <c r="E14" s="2">
        <v>1</v>
      </c>
      <c r="F14" s="2" t="str">
        <f t="shared" si="0"/>
        <v>26년 05월호</v>
      </c>
      <c r="G14" s="2">
        <v>1</v>
      </c>
      <c r="H14" s="3" cm="1">
        <f t="array" ref="H14">_xlfn.XLOOKUP(B14,$K$3:$K$6,$L$3:$L$6)*E14*G14*(1-INDEX($O$3:$P$5,_xlfn.XMATCH(C14,$N$3:$N$5,0),E14))</f>
        <v>75650</v>
      </c>
      <c r="I14" s="2" t="str" cm="1">
        <f t="array" ref="I14">fn사은품(E14,C14)</f>
        <v>문화상품권</v>
      </c>
      <c r="K14" s="2" t="s">
        <v>38</v>
      </c>
      <c r="L14" s="9">
        <v>4</v>
      </c>
      <c r="M14" s="12" t="str">
        <v>◈◈</v>
      </c>
    </row>
    <row r="15" spans="1:16" x14ac:dyDescent="0.3">
      <c r="A15" s="2" t="s">
        <v>63</v>
      </c>
      <c r="B15" s="2" t="s">
        <v>48</v>
      </c>
      <c r="C15" s="2" t="s">
        <v>34</v>
      </c>
      <c r="D15" s="7">
        <v>45835</v>
      </c>
      <c r="E15" s="2">
        <v>1</v>
      </c>
      <c r="F15" s="2" t="str">
        <f t="shared" si="0"/>
        <v>26년 05월호</v>
      </c>
      <c r="G15" s="2">
        <v>3</v>
      </c>
      <c r="H15" s="3" cm="1">
        <f t="array" ref="H15">_xlfn.XLOOKUP(B15,$K$3:$K$6,$L$3:$L$6)*E15*G15*(1-INDEX($O$3:$P$5,_xlfn.XMATCH(C15,$N$3:$N$5,0),E15))</f>
        <v>336600</v>
      </c>
      <c r="I15" s="2" t="str" cm="1">
        <f t="array" ref="I15">fn사은품(E15,C15)</f>
        <v>문화상품권</v>
      </c>
      <c r="K15" s="2" t="s">
        <v>39</v>
      </c>
      <c r="L15" s="9">
        <v>6</v>
      </c>
      <c r="M15" s="12" t="str">
        <v>◈◈◈◈◈◈◈◈</v>
      </c>
    </row>
    <row r="16" spans="1:16" x14ac:dyDescent="0.3">
      <c r="A16" s="2" t="s">
        <v>64</v>
      </c>
      <c r="B16" s="2" t="s">
        <v>48</v>
      </c>
      <c r="C16" s="2" t="s">
        <v>33</v>
      </c>
      <c r="D16" s="7">
        <v>45850</v>
      </c>
      <c r="E16" s="2">
        <v>1</v>
      </c>
      <c r="F16" s="2" t="str">
        <f t="shared" si="0"/>
        <v>26년 06월호</v>
      </c>
      <c r="G16" s="2">
        <v>5</v>
      </c>
      <c r="H16" s="3" cm="1">
        <f t="array" ref="H16">_xlfn.XLOOKUP(B16,$K$3:$K$6,$L$3:$L$6)*E16*G16*(1-INDEX($O$3:$P$5,_xlfn.XMATCH(C16,$N$3:$N$5,0),E16))</f>
        <v>613800</v>
      </c>
      <c r="I16" s="2" t="str" cm="1">
        <f t="array" ref="I16">fn사은품(E16,C16)</f>
        <v/>
      </c>
      <c r="K16" s="2" t="s">
        <v>40</v>
      </c>
      <c r="L16" s="9">
        <v>8</v>
      </c>
      <c r="M16" s="12" t="str">
        <v>◈◈◈◈◈</v>
      </c>
    </row>
    <row r="17" spans="1:13" x14ac:dyDescent="0.3">
      <c r="A17" s="2" t="s">
        <v>65</v>
      </c>
      <c r="B17" s="2" t="s">
        <v>46</v>
      </c>
      <c r="C17" s="2" t="s">
        <v>34</v>
      </c>
      <c r="D17" s="7">
        <v>45868</v>
      </c>
      <c r="E17" s="2">
        <v>1</v>
      </c>
      <c r="F17" s="2" t="str">
        <f t="shared" si="0"/>
        <v>26년 06월호</v>
      </c>
      <c r="G17" s="2">
        <v>5</v>
      </c>
      <c r="H17" s="3" cm="1">
        <f t="array" ref="H17">_xlfn.XLOOKUP(B17,$K$3:$K$6,$L$3:$L$6)*E17*G17*(1-INDEX($O$3:$P$5,_xlfn.XMATCH(C17,$N$3:$N$5,0),E17))</f>
        <v>548250</v>
      </c>
      <c r="I17" s="2" t="str" cm="1">
        <f t="array" ref="I17">fn사은품(E17,C17)</f>
        <v>문화상품권</v>
      </c>
      <c r="K17" s="2" t="s">
        <v>41</v>
      </c>
      <c r="L17" s="9">
        <v>10</v>
      </c>
      <c r="M17" s="12" t="str">
        <v>◈◈◈◈</v>
      </c>
    </row>
    <row r="18" spans="1:13" x14ac:dyDescent="0.3">
      <c r="A18" s="2" t="s">
        <v>66</v>
      </c>
      <c r="B18" s="2" t="s">
        <v>48</v>
      </c>
      <c r="C18" s="2" t="s">
        <v>34</v>
      </c>
      <c r="D18" s="7">
        <v>45888</v>
      </c>
      <c r="E18" s="2">
        <v>2</v>
      </c>
      <c r="F18" s="2" t="str">
        <f t="shared" si="0"/>
        <v>27년 07월호</v>
      </c>
      <c r="G18" s="2">
        <v>4</v>
      </c>
      <c r="H18" s="3" cm="1">
        <f t="array" ref="H18">_xlfn.XLOOKUP(B18,$K$3:$K$6,$L$3:$L$6)*E18*G18*(1-INDEX($O$3:$P$5,_xlfn.XMATCH(C18,$N$3:$N$5,0),E18))</f>
        <v>844800</v>
      </c>
      <c r="I18" s="2" t="str" cm="1">
        <f t="array" ref="I18">fn사은품(E18,C18)</f>
        <v>문화상품권</v>
      </c>
      <c r="K18" s="2" t="s">
        <v>42</v>
      </c>
      <c r="L18" s="9">
        <v>12</v>
      </c>
      <c r="M18" s="12" t="str">
        <v>◈◈◈</v>
      </c>
    </row>
    <row r="19" spans="1:13" x14ac:dyDescent="0.3">
      <c r="A19" s="2" t="s">
        <v>67</v>
      </c>
      <c r="B19" s="2" t="s">
        <v>44</v>
      </c>
      <c r="C19" s="2" t="s">
        <v>34</v>
      </c>
      <c r="D19" s="7">
        <v>45898</v>
      </c>
      <c r="E19" s="2">
        <v>1</v>
      </c>
      <c r="F19" s="2" t="str">
        <f t="shared" si="0"/>
        <v>26년 07월호</v>
      </c>
      <c r="G19" s="2">
        <v>5</v>
      </c>
      <c r="H19" s="3" cm="1">
        <f t="array" ref="H19">_xlfn.XLOOKUP(B19,$K$3:$K$6,$L$3:$L$6)*E19*G19*(1-INDEX($O$3:$P$5,_xlfn.XMATCH(C19,$N$3:$N$5,0),E19))</f>
        <v>378250</v>
      </c>
      <c r="I19" s="2" t="str" cm="1">
        <f t="array" ref="I19">fn사은품(E19,C19)</f>
        <v>문화상품권</v>
      </c>
    </row>
    <row r="20" spans="1:13" x14ac:dyDescent="0.3">
      <c r="A20" s="2" t="s">
        <v>68</v>
      </c>
      <c r="B20" s="2" t="s">
        <v>48</v>
      </c>
      <c r="C20" s="2" t="s">
        <v>33</v>
      </c>
      <c r="D20" s="7">
        <v>45900</v>
      </c>
      <c r="E20" s="2">
        <v>1</v>
      </c>
      <c r="F20" s="2" t="str">
        <f t="shared" si="0"/>
        <v>26년 07월호</v>
      </c>
      <c r="G20" s="2">
        <v>1</v>
      </c>
      <c r="H20" s="3" cm="1">
        <f t="array" ref="H20">_xlfn.XLOOKUP(B20,$K$3:$K$6,$L$3:$L$6)*E20*G20*(1-INDEX($O$3:$P$5,_xlfn.XMATCH(C20,$N$3:$N$5,0),E20))</f>
        <v>122759.99999999999</v>
      </c>
      <c r="I20" s="2" t="str" cm="1">
        <f t="array" ref="I20">fn사은품(E20,C20)</f>
        <v/>
      </c>
    </row>
    <row r="21" spans="1:13" x14ac:dyDescent="0.3">
      <c r="A21" s="2" t="s">
        <v>69</v>
      </c>
      <c r="B21" s="2" t="s">
        <v>46</v>
      </c>
      <c r="C21" s="2" t="s">
        <v>33</v>
      </c>
      <c r="D21" s="7">
        <v>45906</v>
      </c>
      <c r="E21" s="2">
        <v>1</v>
      </c>
      <c r="F21" s="2" t="str">
        <f t="shared" si="0"/>
        <v>26년 08월호</v>
      </c>
      <c r="G21" s="2">
        <v>2</v>
      </c>
      <c r="H21" s="3" cm="1">
        <f t="array" ref="H21">_xlfn.XLOOKUP(B21,$K$3:$K$6,$L$3:$L$6)*E21*G21*(1-INDEX($O$3:$P$5,_xlfn.XMATCH(C21,$N$3:$N$5,0),E21))</f>
        <v>239939.99999999997</v>
      </c>
      <c r="I21" s="2" t="str" cm="1">
        <f t="array" ref="I21">fn사은품(E21,C21)</f>
        <v/>
      </c>
    </row>
    <row r="22" spans="1:13" x14ac:dyDescent="0.3">
      <c r="A22" s="2" t="s">
        <v>70</v>
      </c>
      <c r="B22" s="2" t="s">
        <v>46</v>
      </c>
      <c r="C22" s="2" t="s">
        <v>35</v>
      </c>
      <c r="D22" s="7">
        <v>45916</v>
      </c>
      <c r="E22" s="2">
        <v>2</v>
      </c>
      <c r="F22" s="2" t="str">
        <f t="shared" si="0"/>
        <v>27년 08월호</v>
      </c>
      <c r="G22" s="2">
        <v>4</v>
      </c>
      <c r="H22" s="3" cm="1">
        <f t="array" ref="H22">_xlfn.XLOOKUP(B22,$K$3:$K$6,$L$3:$L$6)*E22*G22*(1-INDEX($O$3:$P$5,_xlfn.XMATCH(C22,$N$3:$N$5,0),E22))</f>
        <v>877200</v>
      </c>
      <c r="I22" s="2" t="str" cm="1">
        <f t="array" ref="I22">fn사은품(E22,C22)</f>
        <v>문화상품권</v>
      </c>
    </row>
    <row r="23" spans="1:13" x14ac:dyDescent="0.3">
      <c r="A23" s="2" t="s">
        <v>71</v>
      </c>
      <c r="B23" s="2" t="s">
        <v>43</v>
      </c>
      <c r="C23" s="2" t="s">
        <v>33</v>
      </c>
      <c r="D23" s="7">
        <v>45925</v>
      </c>
      <c r="E23" s="2">
        <v>1</v>
      </c>
      <c r="F23" s="2" t="str">
        <f t="shared" si="0"/>
        <v>26년 08월호</v>
      </c>
      <c r="G23" s="2">
        <v>1</v>
      </c>
      <c r="H23" s="3" cm="1">
        <f t="array" ref="H23">_xlfn.XLOOKUP(B23,$K$3:$K$6,$L$3:$L$6)*E23*G23*(1-INDEX($O$3:$P$5,_xlfn.XMATCH(C23,$N$3:$N$5,0),E23))</f>
        <v>92070</v>
      </c>
      <c r="I23" s="2" t="str" cm="1">
        <f t="array" ref="I23">fn사은품(E23,C23)</f>
        <v/>
      </c>
    </row>
    <row r="24" spans="1:13" x14ac:dyDescent="0.3">
      <c r="A24" s="2" t="s">
        <v>72</v>
      </c>
      <c r="B24" s="2" t="s">
        <v>46</v>
      </c>
      <c r="C24" s="2" t="s">
        <v>34</v>
      </c>
      <c r="D24" s="7">
        <v>45933</v>
      </c>
      <c r="E24" s="2">
        <v>1</v>
      </c>
      <c r="F24" s="2" t="str">
        <f t="shared" si="0"/>
        <v>26년 09월호</v>
      </c>
      <c r="G24" s="2">
        <v>1</v>
      </c>
      <c r="H24" s="3" cm="1">
        <f t="array" ref="H24">_xlfn.XLOOKUP(B24,$K$3:$K$6,$L$3:$L$6)*E24*G24*(1-INDEX($O$3:$P$5,_xlfn.XMATCH(C24,$N$3:$N$5,0),E24))</f>
        <v>109650</v>
      </c>
      <c r="I24" s="2" t="str" cm="1">
        <f t="array" ref="I24">fn사은품(E24,C24)</f>
        <v>문화상품권</v>
      </c>
    </row>
    <row r="25" spans="1:13" x14ac:dyDescent="0.3">
      <c r="A25" s="2" t="s">
        <v>73</v>
      </c>
      <c r="B25" s="2" t="s">
        <v>48</v>
      </c>
      <c r="C25" s="2" t="s">
        <v>34</v>
      </c>
      <c r="D25" s="7">
        <v>45974</v>
      </c>
      <c r="E25" s="2">
        <v>2</v>
      </c>
      <c r="F25" s="2" t="str">
        <f t="shared" si="0"/>
        <v>27년 10월호</v>
      </c>
      <c r="G25" s="2">
        <v>3</v>
      </c>
      <c r="H25" s="3" cm="1">
        <f t="array" ref="H25">_xlfn.XLOOKUP(B25,$K$3:$K$6,$L$3:$L$6)*E25*G25*(1-INDEX($O$3:$P$5,_xlfn.XMATCH(C25,$N$3:$N$5,0),E25))</f>
        <v>633600</v>
      </c>
      <c r="I25" s="2" t="str" cm="1">
        <f t="array" ref="I25">fn사은품(E25,C25)</f>
        <v>문화상품권</v>
      </c>
    </row>
    <row r="26" spans="1:13" x14ac:dyDescent="0.3">
      <c r="A26" s="2" t="s">
        <v>74</v>
      </c>
      <c r="B26" s="2" t="s">
        <v>48</v>
      </c>
      <c r="C26" s="2" t="s">
        <v>34</v>
      </c>
      <c r="D26" s="7">
        <v>45974</v>
      </c>
      <c r="E26" s="2">
        <v>2</v>
      </c>
      <c r="F26" s="2" t="str">
        <f t="shared" si="0"/>
        <v>27년 10월호</v>
      </c>
      <c r="G26" s="2">
        <v>3</v>
      </c>
      <c r="H26" s="3" cm="1">
        <f t="array" ref="H26">_xlfn.XLOOKUP(B26,$K$3:$K$6,$L$3:$L$6)*E26*G26*(1-INDEX($O$3:$P$5,_xlfn.XMATCH(C26,$N$3:$N$5,0),E26))</f>
        <v>633600</v>
      </c>
      <c r="I26" s="2" t="str" cm="1">
        <f t="array" ref="I26">fn사은품(E26,C26)</f>
        <v>문화상품권</v>
      </c>
    </row>
    <row r="27" spans="1:13" x14ac:dyDescent="0.3">
      <c r="A27" s="2" t="s">
        <v>75</v>
      </c>
      <c r="B27" s="2" t="s">
        <v>43</v>
      </c>
      <c r="C27" s="2" t="s">
        <v>35</v>
      </c>
      <c r="D27" s="7">
        <v>45986</v>
      </c>
      <c r="E27" s="2">
        <v>1</v>
      </c>
      <c r="F27" s="2" t="str">
        <f t="shared" si="0"/>
        <v>26년 10월호</v>
      </c>
      <c r="G27" s="2">
        <v>1</v>
      </c>
      <c r="H27" s="3" cm="1">
        <f t="array" ref="H27">_xlfn.XLOOKUP(B27,$K$3:$K$6,$L$3:$L$6)*E27*G27*(1-INDEX($O$3:$P$5,_xlfn.XMATCH(C27,$N$3:$N$5,0),E27))</f>
        <v>87120</v>
      </c>
      <c r="I27" s="2" t="str" cm="1">
        <f t="array" ref="I27">fn사은품(E27,C27)</f>
        <v>문화상품권</v>
      </c>
    </row>
    <row r="28" spans="1:13" x14ac:dyDescent="0.3">
      <c r="A28" s="2" t="s">
        <v>76</v>
      </c>
      <c r="B28" s="2" t="s">
        <v>44</v>
      </c>
      <c r="C28" s="2" t="s">
        <v>33</v>
      </c>
      <c r="D28" s="7">
        <v>44936</v>
      </c>
      <c r="E28" s="2">
        <v>1</v>
      </c>
      <c r="F28" s="2" t="str">
        <f t="shared" si="0"/>
        <v>23년 12월호</v>
      </c>
      <c r="G28" s="2">
        <v>3</v>
      </c>
      <c r="H28" s="3" cm="1">
        <f t="array" ref="H28">_xlfn.XLOOKUP(B28,$K$3:$K$6,$L$3:$L$6)*E28*G28*(1-INDEX($O$3:$P$5,_xlfn.XMATCH(C28,$N$3:$N$5,0),E28))</f>
        <v>248309.99999999997</v>
      </c>
      <c r="I28" s="2" t="str" cm="1">
        <f t="array" ref="I28">fn사은품(E28,C28)</f>
        <v/>
      </c>
    </row>
    <row r="29" spans="1:13" x14ac:dyDescent="0.3">
      <c r="A29" s="2" t="s">
        <v>77</v>
      </c>
      <c r="B29" s="2" t="s">
        <v>48</v>
      </c>
      <c r="C29" s="2" t="s">
        <v>35</v>
      </c>
      <c r="D29" s="7">
        <v>44941</v>
      </c>
      <c r="E29" s="2">
        <v>1</v>
      </c>
      <c r="F29" s="2" t="str">
        <f t="shared" si="0"/>
        <v>23년 12월호</v>
      </c>
      <c r="G29" s="2">
        <v>5</v>
      </c>
      <c r="H29" s="3" cm="1">
        <f t="array" ref="H29">_xlfn.XLOOKUP(B29,$K$3:$K$6,$L$3:$L$6)*E29*G29*(1-INDEX($O$3:$P$5,_xlfn.XMATCH(C29,$N$3:$N$5,0),E29))</f>
        <v>580800</v>
      </c>
      <c r="I29" s="2" t="str" cm="1">
        <f t="array" ref="I29">fn사은품(E29,C29)</f>
        <v>문화상품권</v>
      </c>
    </row>
    <row r="30" spans="1:13" x14ac:dyDescent="0.3">
      <c r="A30" s="2" t="s">
        <v>78</v>
      </c>
      <c r="B30" s="2" t="s">
        <v>46</v>
      </c>
      <c r="C30" s="2" t="s">
        <v>34</v>
      </c>
      <c r="D30" s="7">
        <v>45072</v>
      </c>
      <c r="E30" s="2">
        <v>2</v>
      </c>
      <c r="F30" s="2" t="str">
        <f t="shared" si="0"/>
        <v>25년 04월호</v>
      </c>
      <c r="G30" s="2">
        <v>1</v>
      </c>
      <c r="H30" s="3" cm="1">
        <f t="array" ref="H30">_xlfn.XLOOKUP(B30,$K$3:$K$6,$L$3:$L$6)*E30*G30*(1-INDEX($O$3:$P$5,_xlfn.XMATCH(C30,$N$3:$N$5,0),E30))</f>
        <v>206400</v>
      </c>
      <c r="I30" s="2" t="str" cm="1">
        <f t="array" ref="I30">fn사은품(E30,C30)</f>
        <v>문화상품권</v>
      </c>
    </row>
  </sheetData>
  <mergeCells count="2">
    <mergeCell ref="K9:N9"/>
    <mergeCell ref="K12:L12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8CD72-7D75-4DEB-A685-C32C08E4A16E}">
  <dimension ref="A1:I6"/>
  <sheetViews>
    <sheetView workbookViewId="0"/>
  </sheetViews>
  <sheetFormatPr defaultRowHeight="16.5" x14ac:dyDescent="0.3"/>
  <cols>
    <col min="1" max="1" width="10.5" customWidth="1"/>
    <col min="2" max="2" width="9.25" customWidth="1"/>
    <col min="3" max="3" width="13.25" customWidth="1"/>
    <col min="4" max="4" width="8.875" customWidth="1"/>
    <col min="5" max="5" width="11.125" customWidth="1"/>
    <col min="6" max="6" width="12.5" customWidth="1"/>
    <col min="7" max="7" width="11.25" customWidth="1"/>
    <col min="8" max="8" width="7.75" customWidth="1"/>
    <col min="9" max="9" width="8" customWidth="1"/>
  </cols>
  <sheetData>
    <row r="1" spans="1:9" x14ac:dyDescent="0.3">
      <c r="A1" t="s">
        <v>241</v>
      </c>
    </row>
    <row r="3" spans="1:9" x14ac:dyDescent="0.3">
      <c r="A3" t="s">
        <v>231</v>
      </c>
      <c r="B3" t="s">
        <v>232</v>
      </c>
      <c r="C3" t="s">
        <v>233</v>
      </c>
      <c r="D3" t="s">
        <v>234</v>
      </c>
      <c r="E3" t="s">
        <v>235</v>
      </c>
      <c r="F3" t="s">
        <v>236</v>
      </c>
      <c r="G3" t="s">
        <v>237</v>
      </c>
      <c r="H3" t="s">
        <v>239</v>
      </c>
      <c r="I3" t="s">
        <v>238</v>
      </c>
    </row>
    <row r="4" spans="1:9" x14ac:dyDescent="0.3">
      <c r="A4" t="s">
        <v>6</v>
      </c>
      <c r="B4" t="s">
        <v>134</v>
      </c>
      <c r="C4" s="16">
        <v>45788</v>
      </c>
      <c r="D4" t="s">
        <v>135</v>
      </c>
      <c r="E4" t="s">
        <v>136</v>
      </c>
      <c r="F4">
        <v>5324</v>
      </c>
      <c r="G4">
        <v>954</v>
      </c>
      <c r="H4" t="s">
        <v>222</v>
      </c>
      <c r="I4">
        <v>5</v>
      </c>
    </row>
    <row r="5" spans="1:9" x14ac:dyDescent="0.3">
      <c r="A5" t="s">
        <v>6</v>
      </c>
      <c r="B5" t="s">
        <v>134</v>
      </c>
      <c r="C5" s="16">
        <v>45785</v>
      </c>
      <c r="D5" t="s">
        <v>240</v>
      </c>
      <c r="E5" t="s">
        <v>170</v>
      </c>
      <c r="F5">
        <v>4985</v>
      </c>
      <c r="G5">
        <v>1240</v>
      </c>
      <c r="H5" t="s">
        <v>222</v>
      </c>
      <c r="I5">
        <v>5</v>
      </c>
    </row>
    <row r="6" spans="1:9" x14ac:dyDescent="0.3">
      <c r="A6" t="s">
        <v>6</v>
      </c>
      <c r="B6" t="s">
        <v>134</v>
      </c>
      <c r="C6" s="16">
        <v>45794</v>
      </c>
      <c r="D6" t="s">
        <v>162</v>
      </c>
      <c r="E6" t="s">
        <v>163</v>
      </c>
      <c r="F6">
        <v>2210</v>
      </c>
      <c r="G6">
        <v>1243</v>
      </c>
      <c r="H6" t="s">
        <v>222</v>
      </c>
      <c r="I6">
        <v>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4:H16"/>
  <sheetViews>
    <sheetView workbookViewId="0">
      <selection activeCell="H7" sqref="H7"/>
    </sheetView>
  </sheetViews>
  <sheetFormatPr defaultRowHeight="16.5" x14ac:dyDescent="0.3"/>
  <cols>
    <col min="2" max="2" width="17.25" bestFit="1" customWidth="1"/>
    <col min="3" max="3" width="10" bestFit="1" customWidth="1"/>
    <col min="4" max="4" width="11.25" bestFit="1" customWidth="1"/>
    <col min="5" max="9" width="9" bestFit="1" customWidth="1"/>
    <col min="10" max="10" width="14.5" bestFit="1" customWidth="1"/>
    <col min="11" max="12" width="10.375" bestFit="1" customWidth="1"/>
    <col min="13" max="14" width="15.25" bestFit="1" customWidth="1"/>
    <col min="15" max="16" width="11.375" bestFit="1" customWidth="1"/>
    <col min="17" max="17" width="11.375" customWidth="1"/>
    <col min="18" max="20" width="11.375" bestFit="1" customWidth="1"/>
    <col min="21" max="22" width="14.375" bestFit="1" customWidth="1"/>
    <col min="23" max="34" width="11.375" bestFit="1" customWidth="1"/>
    <col min="35" max="36" width="14.375" bestFit="1" customWidth="1"/>
    <col min="37" max="38" width="11.375" bestFit="1" customWidth="1"/>
    <col min="39" max="40" width="11.375" customWidth="1"/>
    <col min="41" max="46" width="11.375" bestFit="1" customWidth="1"/>
    <col min="47" max="48" width="14.375" bestFit="1" customWidth="1"/>
    <col min="49" max="62" width="11.375" bestFit="1" customWidth="1"/>
    <col min="63" max="66" width="14.375" bestFit="1" customWidth="1"/>
  </cols>
  <sheetData>
    <row r="4" spans="2:8" x14ac:dyDescent="0.3">
      <c r="D4" s="17" t="s">
        <v>132</v>
      </c>
    </row>
    <row r="5" spans="2:8" x14ac:dyDescent="0.3">
      <c r="B5" s="17" t="s">
        <v>230</v>
      </c>
      <c r="C5" s="17" t="s">
        <v>229</v>
      </c>
      <c r="D5" t="s">
        <v>144</v>
      </c>
      <c r="E5" t="s">
        <v>8</v>
      </c>
      <c r="F5" t="s">
        <v>137</v>
      </c>
      <c r="G5" t="s">
        <v>140</v>
      </c>
      <c r="H5" t="s">
        <v>6</v>
      </c>
    </row>
    <row r="6" spans="2:8" x14ac:dyDescent="0.3">
      <c r="B6" t="s">
        <v>222</v>
      </c>
      <c r="D6" s="18"/>
      <c r="E6" s="18"/>
      <c r="F6" s="18"/>
      <c r="G6" s="18"/>
      <c r="H6" s="18"/>
    </row>
    <row r="7" spans="2:8" x14ac:dyDescent="0.3">
      <c r="C7" t="s">
        <v>226</v>
      </c>
      <c r="D7" s="18">
        <v>1495</v>
      </c>
      <c r="E7" s="18">
        <v>4454.5</v>
      </c>
      <c r="F7" s="18">
        <v>2575.5</v>
      </c>
      <c r="G7" s="18">
        <v>1962</v>
      </c>
      <c r="H7" s="18">
        <v>4173</v>
      </c>
    </row>
    <row r="8" spans="2:8" x14ac:dyDescent="0.3">
      <c r="C8" t="s">
        <v>228</v>
      </c>
      <c r="D8" s="18">
        <v>380.5</v>
      </c>
      <c r="E8" s="18">
        <v>1936</v>
      </c>
      <c r="F8" s="18">
        <v>958</v>
      </c>
      <c r="G8" s="18">
        <v>1380</v>
      </c>
      <c r="H8" s="18">
        <v>1145.6666666666667</v>
      </c>
    </row>
    <row r="9" spans="2:8" x14ac:dyDescent="0.3">
      <c r="B9" t="s">
        <v>223</v>
      </c>
      <c r="D9" s="18"/>
      <c r="E9" s="18"/>
      <c r="F9" s="18"/>
      <c r="G9" s="18"/>
      <c r="H9" s="18"/>
    </row>
    <row r="10" spans="2:8" x14ac:dyDescent="0.3">
      <c r="C10" t="s">
        <v>226</v>
      </c>
      <c r="D10" s="18">
        <v>2087</v>
      </c>
      <c r="E10" s="18">
        <v>1724</v>
      </c>
      <c r="F10" s="18">
        <v>4571</v>
      </c>
      <c r="G10" s="18">
        <v>1882</v>
      </c>
      <c r="H10" s="18">
        <v>2921</v>
      </c>
    </row>
    <row r="11" spans="2:8" x14ac:dyDescent="0.3">
      <c r="C11" t="s">
        <v>228</v>
      </c>
      <c r="D11" s="18">
        <v>765</v>
      </c>
      <c r="E11" s="18">
        <v>821</v>
      </c>
      <c r="F11" s="18">
        <v>2525.5</v>
      </c>
      <c r="G11" s="18">
        <v>1053</v>
      </c>
      <c r="H11" s="18">
        <v>926</v>
      </c>
    </row>
    <row r="12" spans="2:8" x14ac:dyDescent="0.3">
      <c r="B12" t="s">
        <v>224</v>
      </c>
      <c r="D12" s="18"/>
      <c r="E12" s="18"/>
      <c r="F12" s="18"/>
      <c r="G12" s="18"/>
      <c r="H12" s="18"/>
    </row>
    <row r="13" spans="2:8" x14ac:dyDescent="0.3">
      <c r="C13" t="s">
        <v>226</v>
      </c>
      <c r="D13" s="18">
        <v>2263</v>
      </c>
      <c r="E13" s="18">
        <v>2927</v>
      </c>
      <c r="F13" s="18">
        <v>4939.5</v>
      </c>
      <c r="G13" s="18">
        <v>1819.5</v>
      </c>
      <c r="H13" s="18">
        <v>3080</v>
      </c>
    </row>
    <row r="14" spans="2:8" x14ac:dyDescent="0.3">
      <c r="C14" t="s">
        <v>228</v>
      </c>
      <c r="D14" s="18">
        <v>1360</v>
      </c>
      <c r="E14" s="18">
        <v>1353.5</v>
      </c>
      <c r="F14" s="18">
        <v>2534</v>
      </c>
      <c r="G14" s="18">
        <v>688</v>
      </c>
      <c r="H14" s="18">
        <v>1557.5</v>
      </c>
    </row>
    <row r="15" spans="2:8" x14ac:dyDescent="0.3">
      <c r="B15" t="s">
        <v>225</v>
      </c>
      <c r="D15" s="18">
        <v>1885.4</v>
      </c>
      <c r="E15" s="18">
        <v>2847.8571428571427</v>
      </c>
      <c r="F15" s="18">
        <v>4028.6666666666665</v>
      </c>
      <c r="G15" s="18">
        <v>1873</v>
      </c>
      <c r="H15" s="18">
        <v>3503</v>
      </c>
    </row>
    <row r="16" spans="2:8" x14ac:dyDescent="0.3">
      <c r="B16" t="s">
        <v>227</v>
      </c>
      <c r="D16" s="18">
        <v>730.2</v>
      </c>
      <c r="E16" s="18">
        <v>1291.7142857142858</v>
      </c>
      <c r="F16" s="18">
        <v>2005.8333333333333</v>
      </c>
      <c r="G16" s="18">
        <v>972.4</v>
      </c>
      <c r="H16" s="18">
        <v>1200.5714285714287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K24"/>
  <sheetViews>
    <sheetView workbookViewId="0"/>
  </sheetViews>
  <sheetFormatPr defaultRowHeight="16.5" x14ac:dyDescent="0.3"/>
  <sheetData>
    <row r="1" spans="1:11" x14ac:dyDescent="0.3">
      <c r="A1" t="s">
        <v>10</v>
      </c>
      <c r="I1" t="s">
        <v>127</v>
      </c>
    </row>
    <row r="2" spans="1:11" x14ac:dyDescent="0.3">
      <c r="A2" t="s">
        <v>0</v>
      </c>
      <c r="B2" t="s">
        <v>1</v>
      </c>
      <c r="C2" t="s">
        <v>2</v>
      </c>
      <c r="D2" t="s">
        <v>187</v>
      </c>
      <c r="E2" t="s">
        <v>3</v>
      </c>
      <c r="F2" t="s">
        <v>4</v>
      </c>
      <c r="G2" t="s">
        <v>5</v>
      </c>
      <c r="I2" s="2" t="s">
        <v>0</v>
      </c>
      <c r="J2" s="2" t="s">
        <v>4</v>
      </c>
      <c r="K2" s="2" t="s">
        <v>5</v>
      </c>
    </row>
    <row r="3" spans="1:11" x14ac:dyDescent="0.3">
      <c r="A3" t="s">
        <v>7</v>
      </c>
      <c r="B3" t="s">
        <v>188</v>
      </c>
      <c r="C3">
        <v>2025.03</v>
      </c>
      <c r="D3" t="s">
        <v>189</v>
      </c>
      <c r="E3" t="s">
        <v>190</v>
      </c>
      <c r="F3">
        <v>3279</v>
      </c>
      <c r="G3">
        <v>1837</v>
      </c>
      <c r="I3" s="2" t="s">
        <v>8</v>
      </c>
      <c r="J3" s="13">
        <v>3635.4</v>
      </c>
      <c r="K3" s="13">
        <v>1368.8</v>
      </c>
    </row>
    <row r="4" spans="1:11" x14ac:dyDescent="0.3">
      <c r="A4" t="s">
        <v>9</v>
      </c>
      <c r="B4" t="s">
        <v>191</v>
      </c>
      <c r="C4">
        <v>2025.11</v>
      </c>
      <c r="D4">
        <v>4500</v>
      </c>
      <c r="E4" t="s">
        <v>192</v>
      </c>
      <c r="F4">
        <v>3737</v>
      </c>
      <c r="G4">
        <v>1547</v>
      </c>
      <c r="I4" s="2" t="s">
        <v>7</v>
      </c>
      <c r="J4" s="13">
        <v>3114.7142857142858</v>
      </c>
      <c r="K4" s="13">
        <v>1096.1428571428571</v>
      </c>
    </row>
    <row r="5" spans="1:11" x14ac:dyDescent="0.3">
      <c r="A5" t="s">
        <v>6</v>
      </c>
      <c r="B5" t="s">
        <v>193</v>
      </c>
      <c r="C5">
        <v>2025.05</v>
      </c>
      <c r="D5">
        <v>1729</v>
      </c>
      <c r="E5" t="s">
        <v>194</v>
      </c>
      <c r="F5">
        <v>3832</v>
      </c>
      <c r="G5">
        <v>817</v>
      </c>
      <c r="I5" s="2" t="s">
        <v>9</v>
      </c>
      <c r="J5" s="13">
        <v>2856</v>
      </c>
      <c r="K5" s="13">
        <v>1377.5</v>
      </c>
    </row>
    <row r="6" spans="1:11" x14ac:dyDescent="0.3">
      <c r="A6" t="s">
        <v>6</v>
      </c>
      <c r="B6" t="s">
        <v>193</v>
      </c>
      <c r="C6">
        <v>2025.07</v>
      </c>
      <c r="D6" t="s">
        <v>195</v>
      </c>
      <c r="E6" t="s">
        <v>196</v>
      </c>
      <c r="F6">
        <v>5257</v>
      </c>
      <c r="G6">
        <v>826</v>
      </c>
      <c r="I6" s="2" t="s">
        <v>6</v>
      </c>
      <c r="J6" s="13">
        <v>2578.8333333333335</v>
      </c>
      <c r="K6" s="13">
        <v>665.83333333333337</v>
      </c>
    </row>
    <row r="7" spans="1:11" x14ac:dyDescent="0.3">
      <c r="A7" t="s">
        <v>7</v>
      </c>
      <c r="B7" t="s">
        <v>188</v>
      </c>
      <c r="C7">
        <v>2025.01</v>
      </c>
      <c r="D7">
        <v>5126</v>
      </c>
      <c r="E7" t="s">
        <v>197</v>
      </c>
      <c r="F7">
        <v>2643</v>
      </c>
      <c r="G7">
        <v>1825</v>
      </c>
    </row>
    <row r="8" spans="1:11" x14ac:dyDescent="0.3">
      <c r="A8" t="s">
        <v>6</v>
      </c>
      <c r="B8" t="s">
        <v>193</v>
      </c>
      <c r="C8">
        <v>2025.04</v>
      </c>
      <c r="D8">
        <v>7586</v>
      </c>
      <c r="E8" t="s">
        <v>198</v>
      </c>
      <c r="F8">
        <v>2894</v>
      </c>
      <c r="G8">
        <v>187</v>
      </c>
    </row>
    <row r="9" spans="1:11" x14ac:dyDescent="0.3">
      <c r="A9" t="s">
        <v>6</v>
      </c>
      <c r="B9" t="s">
        <v>193</v>
      </c>
      <c r="C9">
        <v>2025.08</v>
      </c>
      <c r="D9">
        <v>4465</v>
      </c>
      <c r="E9" t="s">
        <v>199</v>
      </c>
      <c r="F9">
        <v>785</v>
      </c>
      <c r="G9">
        <v>351</v>
      </c>
    </row>
    <row r="10" spans="1:11" x14ac:dyDescent="0.3">
      <c r="A10" t="s">
        <v>8</v>
      </c>
      <c r="B10" t="s">
        <v>200</v>
      </c>
      <c r="C10">
        <v>2025.09</v>
      </c>
      <c r="D10" t="s">
        <v>201</v>
      </c>
      <c r="E10" t="s">
        <v>202</v>
      </c>
      <c r="F10">
        <v>4049</v>
      </c>
      <c r="G10">
        <v>1968</v>
      </c>
    </row>
    <row r="11" spans="1:11" x14ac:dyDescent="0.3">
      <c r="A11" t="s">
        <v>8</v>
      </c>
      <c r="B11" t="s">
        <v>200</v>
      </c>
      <c r="C11">
        <v>2025.07</v>
      </c>
      <c r="D11">
        <v>1685</v>
      </c>
      <c r="E11" t="s">
        <v>203</v>
      </c>
      <c r="F11">
        <v>1614</v>
      </c>
      <c r="G11">
        <v>1066</v>
      </c>
    </row>
    <row r="12" spans="1:11" x14ac:dyDescent="0.3">
      <c r="A12" t="s">
        <v>8</v>
      </c>
      <c r="B12" t="s">
        <v>200</v>
      </c>
      <c r="C12">
        <v>2025.03</v>
      </c>
      <c r="D12">
        <v>6938</v>
      </c>
      <c r="E12" t="s">
        <v>204</v>
      </c>
      <c r="F12">
        <v>4648</v>
      </c>
      <c r="G12">
        <v>995</v>
      </c>
    </row>
    <row r="13" spans="1:11" x14ac:dyDescent="0.3">
      <c r="A13" t="s">
        <v>6</v>
      </c>
      <c r="B13" t="s">
        <v>193</v>
      </c>
      <c r="C13">
        <v>2025.03</v>
      </c>
      <c r="D13">
        <v>1355</v>
      </c>
      <c r="E13" t="s">
        <v>205</v>
      </c>
      <c r="F13">
        <v>1794</v>
      </c>
      <c r="G13">
        <v>642</v>
      </c>
    </row>
    <row r="14" spans="1:11" x14ac:dyDescent="0.3">
      <c r="A14" t="s">
        <v>7</v>
      </c>
      <c r="B14" t="s">
        <v>188</v>
      </c>
      <c r="C14">
        <v>2025.02</v>
      </c>
      <c r="D14">
        <v>2892</v>
      </c>
      <c r="E14" t="s">
        <v>206</v>
      </c>
      <c r="F14">
        <v>3819</v>
      </c>
      <c r="G14">
        <v>399</v>
      </c>
    </row>
    <row r="15" spans="1:11" x14ac:dyDescent="0.3">
      <c r="A15" t="s">
        <v>7</v>
      </c>
      <c r="B15" t="s">
        <v>188</v>
      </c>
      <c r="C15">
        <v>2025.06</v>
      </c>
      <c r="D15">
        <v>6187</v>
      </c>
      <c r="E15" t="s">
        <v>207</v>
      </c>
      <c r="F15">
        <v>1938</v>
      </c>
      <c r="G15">
        <v>751</v>
      </c>
    </row>
    <row r="16" spans="1:11" x14ac:dyDescent="0.3">
      <c r="A16" t="s">
        <v>8</v>
      </c>
      <c r="B16" t="s">
        <v>200</v>
      </c>
      <c r="C16">
        <v>2025.05</v>
      </c>
      <c r="D16">
        <v>1902</v>
      </c>
      <c r="E16" t="s">
        <v>208</v>
      </c>
      <c r="F16">
        <v>3199</v>
      </c>
      <c r="G16">
        <v>837</v>
      </c>
    </row>
    <row r="17" spans="1:7" x14ac:dyDescent="0.3">
      <c r="A17" t="s">
        <v>9</v>
      </c>
      <c r="B17" t="s">
        <v>191</v>
      </c>
      <c r="C17">
        <v>2025.02</v>
      </c>
      <c r="D17" t="s">
        <v>209</v>
      </c>
      <c r="E17" t="s">
        <v>210</v>
      </c>
      <c r="F17">
        <v>4996</v>
      </c>
      <c r="G17">
        <v>436</v>
      </c>
    </row>
    <row r="18" spans="1:7" x14ac:dyDescent="0.3">
      <c r="A18" t="s">
        <v>6</v>
      </c>
      <c r="B18" t="s">
        <v>193</v>
      </c>
      <c r="C18">
        <v>2025.11</v>
      </c>
      <c r="D18" t="s">
        <v>211</v>
      </c>
      <c r="E18" t="s">
        <v>212</v>
      </c>
      <c r="F18">
        <v>911</v>
      </c>
      <c r="G18">
        <v>1172</v>
      </c>
    </row>
    <row r="19" spans="1:7" x14ac:dyDescent="0.3">
      <c r="A19" t="s">
        <v>7</v>
      </c>
      <c r="B19" t="s">
        <v>188</v>
      </c>
      <c r="C19">
        <v>2025.01</v>
      </c>
      <c r="D19" t="s">
        <v>213</v>
      </c>
      <c r="E19" t="s">
        <v>214</v>
      </c>
      <c r="F19">
        <v>5333</v>
      </c>
      <c r="G19">
        <v>693</v>
      </c>
    </row>
    <row r="20" spans="1:7" x14ac:dyDescent="0.3">
      <c r="A20" t="s">
        <v>8</v>
      </c>
      <c r="B20" t="s">
        <v>200</v>
      </c>
      <c r="C20">
        <v>2025.08</v>
      </c>
      <c r="D20">
        <v>5383</v>
      </c>
      <c r="E20" t="s">
        <v>215</v>
      </c>
      <c r="F20">
        <v>4667</v>
      </c>
      <c r="G20">
        <v>1978</v>
      </c>
    </row>
    <row r="21" spans="1:7" x14ac:dyDescent="0.3">
      <c r="A21" t="s">
        <v>7</v>
      </c>
      <c r="B21" t="s">
        <v>188</v>
      </c>
      <c r="C21">
        <v>2025.12</v>
      </c>
      <c r="D21">
        <v>7743</v>
      </c>
      <c r="E21" t="s">
        <v>216</v>
      </c>
      <c r="F21">
        <v>3596</v>
      </c>
      <c r="G21">
        <v>832</v>
      </c>
    </row>
    <row r="22" spans="1:7" x14ac:dyDescent="0.3">
      <c r="A22" t="s">
        <v>9</v>
      </c>
      <c r="B22" t="s">
        <v>191</v>
      </c>
      <c r="C22">
        <v>2025.05</v>
      </c>
      <c r="D22">
        <v>7492</v>
      </c>
      <c r="E22" t="s">
        <v>217</v>
      </c>
      <c r="F22">
        <v>1525</v>
      </c>
      <c r="G22">
        <v>1736</v>
      </c>
    </row>
    <row r="23" spans="1:7" x14ac:dyDescent="0.3">
      <c r="A23" t="s">
        <v>9</v>
      </c>
      <c r="B23" t="s">
        <v>191</v>
      </c>
      <c r="C23">
        <v>2025.08</v>
      </c>
      <c r="D23">
        <v>2318</v>
      </c>
      <c r="E23" t="s">
        <v>218</v>
      </c>
      <c r="F23">
        <v>1166</v>
      </c>
      <c r="G23">
        <v>1791</v>
      </c>
    </row>
    <row r="24" spans="1:7" x14ac:dyDescent="0.3">
      <c r="A24" t="s">
        <v>7</v>
      </c>
      <c r="B24" t="s">
        <v>188</v>
      </c>
      <c r="C24">
        <v>2025.06</v>
      </c>
      <c r="D24">
        <v>6181</v>
      </c>
      <c r="E24" t="s">
        <v>219</v>
      </c>
      <c r="F24">
        <v>1195</v>
      </c>
      <c r="G24">
        <v>1336</v>
      </c>
    </row>
  </sheetData>
  <dataConsolidate function="average" topLabels="1">
    <dataRefs count="1">
      <dataRef ref="A2:G24" sheet="분석작업-2"/>
    </dataRefs>
  </dataConsolidate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2:F7"/>
  <sheetViews>
    <sheetView workbookViewId="0">
      <selection activeCell="O23" sqref="O23"/>
    </sheetView>
  </sheetViews>
  <sheetFormatPr defaultRowHeight="16.5" x14ac:dyDescent="0.3"/>
  <cols>
    <col min="2" max="2" width="13.75" customWidth="1"/>
  </cols>
  <sheetData>
    <row r="2" spans="2:6" x14ac:dyDescent="0.3">
      <c r="B2" t="s">
        <v>131</v>
      </c>
    </row>
    <row r="4" spans="2:6" x14ac:dyDescent="0.3">
      <c r="B4" s="2" t="s">
        <v>15</v>
      </c>
      <c r="C4" s="2" t="s">
        <v>221</v>
      </c>
      <c r="D4" s="2" t="s">
        <v>220</v>
      </c>
      <c r="E4" s="2" t="s">
        <v>441</v>
      </c>
      <c r="F4" s="2" t="s">
        <v>442</v>
      </c>
    </row>
    <row r="5" spans="2:6" x14ac:dyDescent="0.3">
      <c r="B5" s="2" t="s">
        <v>128</v>
      </c>
      <c r="C5" s="3">
        <v>4125</v>
      </c>
      <c r="D5" s="3">
        <v>3248</v>
      </c>
      <c r="E5" s="3">
        <v>3550</v>
      </c>
      <c r="F5" s="3">
        <v>4358</v>
      </c>
    </row>
    <row r="6" spans="2:6" x14ac:dyDescent="0.3">
      <c r="B6" s="2" t="s">
        <v>129</v>
      </c>
      <c r="C6" s="3">
        <v>2120</v>
      </c>
      <c r="D6" s="3">
        <v>3592</v>
      </c>
      <c r="E6" s="3">
        <v>2621</v>
      </c>
      <c r="F6" s="3">
        <v>1850</v>
      </c>
    </row>
    <row r="7" spans="2:6" x14ac:dyDescent="0.3">
      <c r="B7" s="2" t="s">
        <v>130</v>
      </c>
      <c r="C7" s="3">
        <v>1020</v>
      </c>
      <c r="D7" s="3">
        <v>1150</v>
      </c>
      <c r="E7" s="3">
        <v>2750</v>
      </c>
      <c r="F7" s="3">
        <v>1820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2:F16"/>
  <sheetViews>
    <sheetView workbookViewId="0"/>
  </sheetViews>
  <sheetFormatPr defaultRowHeight="16.5" x14ac:dyDescent="0.3"/>
  <cols>
    <col min="2" max="2" width="10.25" customWidth="1"/>
    <col min="3" max="3" width="12.5" bestFit="1" customWidth="1"/>
    <col min="4" max="4" width="15.25" customWidth="1"/>
    <col min="5" max="5" width="11.75" customWidth="1"/>
    <col min="6" max="6" width="11.125" customWidth="1"/>
  </cols>
  <sheetData>
    <row r="2" spans="2:6" x14ac:dyDescent="0.3">
      <c r="B2" s="2" t="s">
        <v>96</v>
      </c>
      <c r="C2" s="2" t="s">
        <v>94</v>
      </c>
      <c r="D2" s="2" t="s">
        <v>95</v>
      </c>
      <c r="E2" s="2" t="s">
        <v>97</v>
      </c>
      <c r="F2" s="2" t="s">
        <v>98</v>
      </c>
    </row>
    <row r="3" spans="2:6" x14ac:dyDescent="0.3">
      <c r="B3" s="2" t="s">
        <v>99</v>
      </c>
      <c r="C3" s="14">
        <v>3202</v>
      </c>
      <c r="D3" s="2" t="s">
        <v>113</v>
      </c>
      <c r="E3" s="15">
        <v>1200</v>
      </c>
      <c r="F3" s="1">
        <v>20</v>
      </c>
    </row>
    <row r="4" spans="2:6" x14ac:dyDescent="0.3">
      <c r="B4" s="2" t="s">
        <v>100</v>
      </c>
      <c r="C4" s="14">
        <v>31105</v>
      </c>
      <c r="D4" s="2" t="s">
        <v>114</v>
      </c>
      <c r="E4" s="15">
        <v>350</v>
      </c>
      <c r="F4" s="1">
        <v>30</v>
      </c>
    </row>
    <row r="5" spans="2:6" x14ac:dyDescent="0.3">
      <c r="B5" s="2" t="s">
        <v>101</v>
      </c>
      <c r="C5" s="14">
        <v>3105</v>
      </c>
      <c r="D5" s="2" t="s">
        <v>115</v>
      </c>
      <c r="E5" s="15">
        <v>100</v>
      </c>
      <c r="F5" s="1">
        <v>50</v>
      </c>
    </row>
    <row r="6" spans="2:6" x14ac:dyDescent="0.3">
      <c r="B6" s="2" t="s">
        <v>102</v>
      </c>
      <c r="C6" s="14">
        <v>3702</v>
      </c>
      <c r="D6" s="2" t="s">
        <v>116</v>
      </c>
      <c r="E6" s="15">
        <v>1150</v>
      </c>
      <c r="F6" s="1">
        <v>35</v>
      </c>
    </row>
    <row r="7" spans="2:6" x14ac:dyDescent="0.3">
      <c r="B7" s="2" t="s">
        <v>103</v>
      </c>
      <c r="C7" s="14">
        <v>31203</v>
      </c>
      <c r="D7" s="2" t="s">
        <v>117</v>
      </c>
      <c r="E7" s="15">
        <v>852</v>
      </c>
      <c r="F7" s="1">
        <v>42</v>
      </c>
    </row>
    <row r="8" spans="2:6" x14ac:dyDescent="0.3">
      <c r="B8" s="2" t="s">
        <v>104</v>
      </c>
      <c r="C8" s="14">
        <v>31401</v>
      </c>
      <c r="D8" s="2" t="s">
        <v>118</v>
      </c>
      <c r="E8" s="15">
        <v>510</v>
      </c>
      <c r="F8" s="1">
        <v>31</v>
      </c>
    </row>
    <row r="9" spans="2:6" x14ac:dyDescent="0.3">
      <c r="B9" s="2" t="s">
        <v>105</v>
      </c>
      <c r="C9" s="14">
        <v>31506</v>
      </c>
      <c r="D9" s="2" t="s">
        <v>119</v>
      </c>
      <c r="E9" s="15">
        <v>380</v>
      </c>
      <c r="F9" s="1">
        <v>28</v>
      </c>
    </row>
    <row r="10" spans="2:6" x14ac:dyDescent="0.3">
      <c r="B10" s="2" t="s">
        <v>106</v>
      </c>
      <c r="C10" s="14">
        <v>3904</v>
      </c>
      <c r="D10" s="2" t="s">
        <v>120</v>
      </c>
      <c r="E10" s="15">
        <v>120</v>
      </c>
      <c r="F10" s="1">
        <v>18</v>
      </c>
    </row>
    <row r="11" spans="2:6" x14ac:dyDescent="0.3">
      <c r="B11" s="2" t="s">
        <v>107</v>
      </c>
      <c r="C11" s="14">
        <v>5101</v>
      </c>
      <c r="D11" s="2" t="s">
        <v>121</v>
      </c>
      <c r="E11" s="15">
        <v>1050</v>
      </c>
      <c r="F11" s="1">
        <v>15</v>
      </c>
    </row>
    <row r="12" spans="2:6" x14ac:dyDescent="0.3">
      <c r="B12" s="2" t="s">
        <v>108</v>
      </c>
      <c r="C12" s="14">
        <v>51101</v>
      </c>
      <c r="D12" s="2" t="s">
        <v>122</v>
      </c>
      <c r="E12" s="15">
        <v>452</v>
      </c>
      <c r="F12" s="1">
        <v>24</v>
      </c>
    </row>
    <row r="13" spans="2:6" x14ac:dyDescent="0.3">
      <c r="B13" s="2" t="s">
        <v>109</v>
      </c>
      <c r="C13" s="14">
        <v>51302</v>
      </c>
      <c r="D13" s="2" t="s">
        <v>123</v>
      </c>
      <c r="E13" s="15">
        <v>112</v>
      </c>
      <c r="F13" s="1">
        <v>22</v>
      </c>
    </row>
    <row r="14" spans="2:6" x14ac:dyDescent="0.3">
      <c r="B14" s="2" t="s">
        <v>110</v>
      </c>
      <c r="C14" s="14">
        <v>5202</v>
      </c>
      <c r="D14" s="2" t="s">
        <v>124</v>
      </c>
      <c r="E14" s="15">
        <v>698</v>
      </c>
      <c r="F14" s="1">
        <v>37</v>
      </c>
    </row>
    <row r="15" spans="2:6" x14ac:dyDescent="0.3">
      <c r="B15" s="2" t="s">
        <v>111</v>
      </c>
      <c r="C15" s="14">
        <v>5404</v>
      </c>
      <c r="D15" s="2" t="s">
        <v>125</v>
      </c>
      <c r="E15" s="15">
        <v>1010</v>
      </c>
      <c r="F15" s="1">
        <v>36</v>
      </c>
    </row>
    <row r="16" spans="2:6" x14ac:dyDescent="0.3">
      <c r="B16" s="2" t="s">
        <v>112</v>
      </c>
      <c r="C16" s="14">
        <v>51503</v>
      </c>
      <c r="D16" s="2" t="s">
        <v>126</v>
      </c>
      <c r="E16" s="15">
        <v>950</v>
      </c>
      <c r="F16" s="1">
        <v>16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아파트동호수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전기사용량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B3:L12"/>
  <sheetViews>
    <sheetView workbookViewId="0"/>
  </sheetViews>
  <sheetFormatPr defaultRowHeight="16.5" x14ac:dyDescent="0.3"/>
  <cols>
    <col min="1" max="1" width="1.625" customWidth="1"/>
    <col min="4" max="4" width="12.375" customWidth="1"/>
    <col min="6" max="6" width="10.75" customWidth="1"/>
    <col min="8" max="8" width="10.375" customWidth="1"/>
    <col min="9" max="10" width="11.5" customWidth="1"/>
    <col min="11" max="11" width="1.625" customWidth="1"/>
    <col min="12" max="12" width="15.125" customWidth="1"/>
  </cols>
  <sheetData>
    <row r="3" spans="2:12" x14ac:dyDescent="0.3">
      <c r="H3" t="s">
        <v>93</v>
      </c>
      <c r="I3" s="37">
        <v>45377.635995370372</v>
      </c>
      <c r="J3" s="38"/>
    </row>
    <row r="5" spans="2:12" x14ac:dyDescent="0.3">
      <c r="B5" s="2" t="s">
        <v>16</v>
      </c>
      <c r="C5" s="2" t="s">
        <v>17</v>
      </c>
      <c r="D5" s="2" t="s">
        <v>88</v>
      </c>
      <c r="E5" s="2" t="s">
        <v>18</v>
      </c>
      <c r="F5" s="2" t="s">
        <v>19</v>
      </c>
      <c r="G5" s="2" t="s">
        <v>20</v>
      </c>
      <c r="H5" s="2" t="s">
        <v>92</v>
      </c>
      <c r="I5" s="2" t="s">
        <v>91</v>
      </c>
      <c r="J5" s="2" t="s">
        <v>21</v>
      </c>
      <c r="L5" s="2" t="s">
        <v>87</v>
      </c>
    </row>
    <row r="6" spans="2:12" x14ac:dyDescent="0.3">
      <c r="B6" s="4">
        <v>1</v>
      </c>
      <c r="C6" s="4" t="s">
        <v>22</v>
      </c>
      <c r="D6" s="4" t="s">
        <v>86</v>
      </c>
      <c r="E6" s="4" t="s">
        <v>90</v>
      </c>
      <c r="F6" s="5">
        <v>31146</v>
      </c>
      <c r="G6" s="4">
        <v>35</v>
      </c>
      <c r="H6" s="4">
        <v>60</v>
      </c>
      <c r="I6" s="4">
        <v>175</v>
      </c>
      <c r="J6" s="4">
        <v>19.591836730000001</v>
      </c>
      <c r="L6" s="10" t="s">
        <v>83</v>
      </c>
    </row>
    <row r="7" spans="2:12" x14ac:dyDescent="0.3">
      <c r="F7" s="16"/>
      <c r="L7" s="10" t="s">
        <v>82</v>
      </c>
    </row>
    <row r="8" spans="2:12" x14ac:dyDescent="0.3">
      <c r="F8" s="16"/>
      <c r="L8" s="10" t="s">
        <v>80</v>
      </c>
    </row>
    <row r="9" spans="2:12" x14ac:dyDescent="0.3">
      <c r="F9" s="16"/>
      <c r="L9" s="10" t="s">
        <v>81</v>
      </c>
    </row>
    <row r="10" spans="2:12" x14ac:dyDescent="0.3">
      <c r="L10" s="2" t="s">
        <v>84</v>
      </c>
    </row>
    <row r="11" spans="2:12" x14ac:dyDescent="0.3">
      <c r="L11" s="2" t="s">
        <v>85</v>
      </c>
    </row>
    <row r="12" spans="2:12" x14ac:dyDescent="0.3">
      <c r="L12" s="10" t="s">
        <v>89</v>
      </c>
    </row>
  </sheetData>
  <mergeCells count="1">
    <mergeCell ref="I3:J3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md등록">
          <controlPr defaultSize="0" autoLine="0" r:id="rId4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3</xdr:col>
                <xdr:colOff>19050</xdr:colOff>
                <xdr:row>3</xdr:row>
                <xdr:rowOff>28575</xdr:rowOff>
              </to>
            </anchor>
          </controlPr>
        </control>
      </mc:Choice>
      <mc:Fallback>
        <control shapeId="9217" r:id="rId3" name="cmd등록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4EDB8B-84F3-4817-B1EF-E287B5B9448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4</vt:i4>
      </vt:variant>
    </vt:vector>
  </HeadingPairs>
  <TitlesOfParts>
    <vt:vector size="13" baseType="lpstr">
      <vt:lpstr>기본작업-1</vt:lpstr>
      <vt:lpstr>기본작업-2</vt:lpstr>
      <vt:lpstr>계산작업</vt:lpstr>
      <vt:lpstr>5월제주공항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2022-08-21T02:32:32Z</cp:lastPrinted>
  <dcterms:created xsi:type="dcterms:W3CDTF">2021-03-11T05:14:31Z</dcterms:created>
  <dcterms:modified xsi:type="dcterms:W3CDTF">2024-01-04T09:04:33Z</dcterms:modified>
</cp:coreProperties>
</file>