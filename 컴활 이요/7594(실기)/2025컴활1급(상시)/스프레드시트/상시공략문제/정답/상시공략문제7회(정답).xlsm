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상시공략집\2024컴활1급(상시)\스프레드시트\상시공략문제\정답\"/>
    </mc:Choice>
  </mc:AlternateContent>
  <xr:revisionPtr revIDLastSave="0" documentId="13_ncr:1_{506B320B-23F9-46C6-AE32-A30C7150BBCA}" xr6:coauthVersionLast="47" xr6:coauthVersionMax="47" xr10:uidLastSave="{00000000-0000-0000-0000-000000000000}"/>
  <bookViews>
    <workbookView xWindow="15330" yWindow="645" windowWidth="21660" windowHeight="12930" tabRatio="865" xr2:uid="{00000000-000D-0000-FFFF-FFFF00000000}"/>
  </bookViews>
  <sheets>
    <sheet name="기본작업-1" sheetId="1" r:id="rId1"/>
    <sheet name="기본작업-2" sheetId="2" r:id="rId2"/>
    <sheet name="계산작업" sheetId="9" r:id="rId3"/>
    <sheet name="분석작업-1" sheetId="12" r:id="rId4"/>
    <sheet name="분석작업-2" sheetId="10" r:id="rId5"/>
    <sheet name="기타작업-1" sheetId="6" r:id="rId6"/>
    <sheet name="기타작업-2" sheetId="7" r:id="rId7"/>
    <sheet name="기타작업-3" sheetId="8" r:id="rId8"/>
  </sheets>
  <functionGroups builtInGroupCount="19"/>
  <definedNames>
    <definedName name="_xlnm._FilterDatabase" localSheetId="0" hidden="1">'기본작업-1'!$A$2:$J$21</definedName>
    <definedName name="_xlnm.Criteria" localSheetId="0">'기본작업-1'!$A$23:$A$24</definedName>
    <definedName name="_xlnm.Extract" localSheetId="0">'기본작업-1'!$A$26:$D$26</definedName>
    <definedName name="_xlnm.Print_Area" localSheetId="1">'기본작업-2'!$A$2:$I$22</definedName>
    <definedName name="_xlnm.Print_Titles" localSheetId="1">'기본작업-2'!$2:$2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2" i="10" l="1"/>
  <c r="E22" i="10"/>
  <c r="D22" i="10"/>
  <c r="F15" i="10"/>
  <c r="E15" i="10"/>
  <c r="D15" i="10"/>
  <c r="F8" i="10"/>
  <c r="F24" i="10" s="1"/>
  <c r="E8" i="10"/>
  <c r="E24" i="10" s="1"/>
  <c r="D8" i="10"/>
  <c r="D24" i="10" s="1"/>
  <c r="F23" i="10"/>
  <c r="E23" i="10"/>
  <c r="D23" i="10"/>
  <c r="F16" i="10"/>
  <c r="E16" i="10"/>
  <c r="D16" i="10"/>
  <c r="F9" i="10"/>
  <c r="E9" i="10"/>
  <c r="E25" i="10" s="1"/>
  <c r="D9" i="10"/>
  <c r="E25" i="9"/>
  <c r="E26" i="9"/>
  <c r="E27" i="9"/>
  <c r="E28" i="9"/>
  <c r="E29" i="9"/>
  <c r="E30" i="9"/>
  <c r="E31" i="9"/>
  <c r="E32" i="9"/>
  <c r="E33" i="9"/>
  <c r="E24" i="9"/>
  <c r="F8" i="9" a="1"/>
  <c r="F19" i="9" a="1"/>
  <c r="F12" i="9" a="1"/>
  <c r="F13" i="9" a="1"/>
  <c r="F3" i="9" a="1"/>
  <c r="F20" i="9" a="1"/>
  <c r="F4" i="9" a="1"/>
  <c r="F14" i="9" a="1"/>
  <c r="F7" i="9" a="1"/>
  <c r="F11" i="9" a="1"/>
  <c r="F15" i="9" a="1"/>
  <c r="F6" i="9" a="1"/>
  <c r="F16" i="9" a="1"/>
  <c r="F17" i="9" a="1"/>
  <c r="F18" i="9" a="1"/>
  <c r="F9" i="9" a="1"/>
  <c r="F10" i="9" a="1"/>
  <c r="F5" i="9" a="1"/>
  <c r="F25" i="10" l="1"/>
  <c r="D25" i="10"/>
  <c r="F13" i="9"/>
  <c r="F12" i="9"/>
  <c r="F19" i="9"/>
  <c r="F8" i="9"/>
  <c r="F7" i="9"/>
  <c r="F5" i="9"/>
  <c r="F10" i="9"/>
  <c r="F9" i="9"/>
  <c r="F18" i="9"/>
  <c r="F17" i="9"/>
  <c r="F16" i="9"/>
  <c r="F6" i="9"/>
  <c r="F15" i="9"/>
  <c r="F11" i="9"/>
  <c r="F20" i="9"/>
  <c r="F14" i="9"/>
  <c r="F4" i="9"/>
  <c r="F3" i="9"/>
  <c r="J20" i="9"/>
  <c r="E20" i="9"/>
  <c r="J19" i="9"/>
  <c r="E19" i="9"/>
  <c r="J18" i="9"/>
  <c r="E18" i="9"/>
  <c r="J17" i="9"/>
  <c r="E17" i="9"/>
  <c r="J16" i="9"/>
  <c r="E16" i="9"/>
  <c r="J15" i="9"/>
  <c r="E15" i="9"/>
  <c r="J14" i="9"/>
  <c r="E14" i="9"/>
  <c r="J13" i="9"/>
  <c r="E13" i="9"/>
  <c r="J12" i="9"/>
  <c r="E12" i="9"/>
  <c r="J11" i="9"/>
  <c r="E11" i="9"/>
  <c r="J10" i="9"/>
  <c r="E10" i="9"/>
  <c r="J9" i="9"/>
  <c r="E9" i="9"/>
  <c r="J8" i="9"/>
  <c r="E8" i="9"/>
  <c r="E7" i="9"/>
  <c r="E6" i="9"/>
  <c r="E5" i="9"/>
  <c r="K4" i="9" a="1"/>
  <c r="K4" i="9" s="1"/>
  <c r="J4" i="9" a="1"/>
  <c r="J4" i="9" s="1"/>
  <c r="I4" i="9" a="1"/>
  <c r="I4" i="9" s="1"/>
  <c r="E4" i="9"/>
  <c r="K3" i="9" a="1"/>
  <c r="K3" i="9" s="1"/>
  <c r="J3" i="9" a="1"/>
  <c r="J3" i="9" s="1"/>
  <c r="I3" i="9" a="1"/>
  <c r="I3" i="9" s="1"/>
  <c r="E3" i="9"/>
  <c r="A24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6">
    <dbPr connection="DSN=MS Access Database;DBQ=E:\영진(2022년)\기출예상문제집\1급\엑셀\예상4회\아파트관리비.accdb;DefaultDir=E:\영진(2022년)\기출예상문제집\1급\엑셀\예상4회;DriverId=25;FIL=MS Access;MaxBufferSize=2048;PageTimeout=5;" command="SELECT `5월`.동, `5월`.호, `5월`.면적, `5월`.도시가스, `5월`.`전기(kwh)`, `5월`.`수도(ton)`_x000d__x000a_FROM `5월` `5월`"/>
  </connection>
  <connection id="2" xr16:uid="{00000000-0015-0000-FFFF-FFFF01000000}" name="MS Access Database_Query1" type="1" refreshedVersion="6">
    <dbPr connection="DSN=MS Access Database;DBQ=E:\영진(2022년)\기출예상문제집\1급\엑셀\예상4회\아파트관리비.accdb;DefaultDir=E:\영진(2022년)\기출예상문제집\1급\엑셀\예상4회;DriverId=25;FIL=MS Access;MaxBufferSize=2048;PageTimeout=5;" command="SELECT `5월`.동, `5월`.호, `5월`.면적, `5월`.도시가스, `5월`.`전기(kwh)`, `5월`.`수도(ton)`_x000d__x000a_FROM `5월` `5월`"/>
  </connection>
  <connection id="3" xr16:uid="{6F1063DA-2CFA-47C4-8FB7-654FAD2F74A9}" sourceFile="C:\컴활1급(상시)\스프레드시트\상시공략문제\아파트관리비.accdb" keepAlive="1" name="아파트관리비" type="5" refreshedVersion="7" background="1">
    <dbPr connection="Provider=Microsoft.ACE.OLEDB.12.0;User ID=Admin;Data Source=C:\컴활1급(상시)\스프레드시트\상시공략문제\아파트관리비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5월" commandType="3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<sst xmlns="http://schemas.openxmlformats.org/spreadsheetml/2006/main" count="496" uniqueCount="292">
  <si>
    <t>기간</t>
    <phoneticPr fontId="1" type="noConversion"/>
  </si>
  <si>
    <t>숙박비</t>
    <phoneticPr fontId="1" type="noConversion"/>
  </si>
  <si>
    <t>식비</t>
    <phoneticPr fontId="1" type="noConversion"/>
  </si>
  <si>
    <t>식비비율</t>
    <phoneticPr fontId="1" type="noConversion"/>
  </si>
  <si>
    <t>여행지</t>
    <phoneticPr fontId="1" type="noConversion"/>
  </si>
  <si>
    <t>속초</t>
    <phoneticPr fontId="1" type="noConversion"/>
  </si>
  <si>
    <t>제주도</t>
    <phoneticPr fontId="1" type="noConversion"/>
  </si>
  <si>
    <t>울릉도</t>
    <phoneticPr fontId="1" type="noConversion"/>
  </si>
  <si>
    <t>부산</t>
    <phoneticPr fontId="1" type="noConversion"/>
  </si>
  <si>
    <t>강릉</t>
    <phoneticPr fontId="1" type="noConversion"/>
  </si>
  <si>
    <t>태백</t>
    <phoneticPr fontId="1" type="noConversion"/>
  </si>
  <si>
    <t>태안</t>
    <phoneticPr fontId="1" type="noConversion"/>
  </si>
  <si>
    <t>양평</t>
    <phoneticPr fontId="1" type="noConversion"/>
  </si>
  <si>
    <t>춘천</t>
    <phoneticPr fontId="1" type="noConversion"/>
  </si>
  <si>
    <t>진도</t>
    <phoneticPr fontId="1" type="noConversion"/>
  </si>
  <si>
    <t>해남도</t>
    <phoneticPr fontId="1" type="noConversion"/>
  </si>
  <si>
    <t>통영</t>
    <phoneticPr fontId="1" type="noConversion"/>
  </si>
  <si>
    <t>안면도</t>
    <phoneticPr fontId="1" type="noConversion"/>
  </si>
  <si>
    <t>보은</t>
    <phoneticPr fontId="1" type="noConversion"/>
  </si>
  <si>
    <t>원주</t>
    <phoneticPr fontId="1" type="noConversion"/>
  </si>
  <si>
    <t>단양</t>
    <phoneticPr fontId="1" type="noConversion"/>
  </si>
  <si>
    <t>경주</t>
    <phoneticPr fontId="1" type="noConversion"/>
  </si>
  <si>
    <t>3박 4일</t>
  </si>
  <si>
    <t>3박 4일</t>
    <phoneticPr fontId="1" type="noConversion"/>
  </si>
  <si>
    <t>5박 6일</t>
    <phoneticPr fontId="1" type="noConversion"/>
  </si>
  <si>
    <t>2박 3일</t>
    <phoneticPr fontId="1" type="noConversion"/>
  </si>
  <si>
    <t>4박 5일</t>
    <phoneticPr fontId="1" type="noConversion"/>
  </si>
  <si>
    <t>1박 2일</t>
  </si>
  <si>
    <t>3박 4일</t>
    <phoneticPr fontId="1" type="noConversion"/>
  </si>
  <si>
    <t>2박 3일</t>
    <phoneticPr fontId="1" type="noConversion"/>
  </si>
  <si>
    <t>1박 2일</t>
    <phoneticPr fontId="1" type="noConversion"/>
  </si>
  <si>
    <t>4박 5일</t>
    <phoneticPr fontId="1" type="noConversion"/>
  </si>
  <si>
    <t>3박 4일</t>
    <phoneticPr fontId="1" type="noConversion"/>
  </si>
  <si>
    <t>2박 3일</t>
    <phoneticPr fontId="1" type="noConversion"/>
  </si>
  <si>
    <t>2박 3일</t>
    <phoneticPr fontId="1" type="noConversion"/>
  </si>
  <si>
    <t>교통비</t>
    <phoneticPr fontId="1" type="noConversion"/>
  </si>
  <si>
    <t>계약종료일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</si>
  <si>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</si>
  <si>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</si>
  <si>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</si>
  <si>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</si>
  <si>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</si>
  <si>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직원코드</t>
    <phoneticPr fontId="1" type="noConversion"/>
  </si>
  <si>
    <t>직원명</t>
    <phoneticPr fontId="1" type="noConversion"/>
  </si>
  <si>
    <t>박미진</t>
  </si>
  <si>
    <t>노국희</t>
  </si>
  <si>
    <t>김윤경</t>
  </si>
  <si>
    <t>1B45</t>
    <phoneticPr fontId="1" type="noConversion"/>
  </si>
  <si>
    <t>강석중</t>
  </si>
  <si>
    <t>노성일</t>
  </si>
  <si>
    <t>이서진</t>
    <phoneticPr fontId="1" type="noConversion"/>
  </si>
  <si>
    <t>김정환</t>
  </si>
  <si>
    <t>양미라</t>
  </si>
  <si>
    <t>직위</t>
    <phoneticPr fontId="1" type="noConversion"/>
  </si>
  <si>
    <t>매니저</t>
    <phoneticPr fontId="1" type="noConversion"/>
  </si>
  <si>
    <t>책임매니저</t>
    <phoneticPr fontId="1" type="noConversion"/>
  </si>
  <si>
    <t>책임매니저</t>
    <phoneticPr fontId="1" type="noConversion"/>
  </si>
  <si>
    <t>3C53</t>
    <phoneticPr fontId="1" type="noConversion"/>
  </si>
  <si>
    <t>김주희</t>
  </si>
  <si>
    <t>송은희</t>
  </si>
  <si>
    <t>이보라</t>
  </si>
  <si>
    <t>김현희</t>
  </si>
  <si>
    <t>조건</t>
    <phoneticPr fontId="1" type="noConversion"/>
  </si>
  <si>
    <t>계약시작일</t>
    <phoneticPr fontId="1" type="noConversion"/>
  </si>
  <si>
    <t>동</t>
  </si>
  <si>
    <t>(모두)</t>
  </si>
  <si>
    <t>호</t>
  </si>
  <si>
    <t>합계 : 도시가스요금</t>
  </si>
  <si>
    <t>합계 : 전기료</t>
  </si>
  <si>
    <t>합계 : 수도세</t>
  </si>
  <si>
    <t>값</t>
  </si>
  <si>
    <t>면적</t>
  </si>
  <si>
    <t>제품명</t>
    <phoneticPr fontId="1" type="noConversion"/>
  </si>
  <si>
    <t>분류</t>
    <phoneticPr fontId="1" type="noConversion"/>
  </si>
  <si>
    <t>대여기간</t>
    <phoneticPr fontId="1" type="noConversion"/>
  </si>
  <si>
    <t>대여료</t>
    <phoneticPr fontId="1" type="noConversion"/>
  </si>
  <si>
    <t>총금액</t>
    <phoneticPr fontId="1" type="noConversion"/>
  </si>
  <si>
    <t>대여날짜</t>
    <phoneticPr fontId="1" type="noConversion"/>
  </si>
  <si>
    <t>텐트</t>
  </si>
  <si>
    <t>2박/3일</t>
  </si>
  <si>
    <t>원터치자동텐트</t>
  </si>
  <si>
    <t>파세코 팬히터</t>
  </si>
  <si>
    <t>계절용품</t>
  </si>
  <si>
    <t>3박/4일</t>
  </si>
  <si>
    <t>도시가스</t>
  </si>
  <si>
    <t>전기(kwh)</t>
    <phoneticPr fontId="9" type="noConversion"/>
  </si>
  <si>
    <t>수도(ton)</t>
    <phoneticPr fontId="9" type="noConversion"/>
  </si>
  <si>
    <t>85 평균</t>
  </si>
  <si>
    <t>115 평균</t>
  </si>
  <si>
    <t>153 평균</t>
  </si>
  <si>
    <t>전체 평균</t>
  </si>
  <si>
    <t>전체 최대값</t>
  </si>
  <si>
    <t>[표1]</t>
    <phoneticPr fontId="1" type="noConversion"/>
  </si>
  <si>
    <t>계약자</t>
  </si>
  <si>
    <t>피보험자</t>
  </si>
  <si>
    <t>관계</t>
  </si>
  <si>
    <t>보험명</t>
  </si>
  <si>
    <t>계약일</t>
  </si>
  <si>
    <t>병원 구분</t>
  </si>
  <si>
    <t>병원비</t>
  </si>
  <si>
    <t>입원일</t>
  </si>
  <si>
    <t>입원비특약</t>
  </si>
  <si>
    <t>이민형</t>
  </si>
  <si>
    <t>이도원</t>
  </si>
  <si>
    <t>부</t>
  </si>
  <si>
    <t>LIG희망플러스자녀보험</t>
  </si>
  <si>
    <t>병원</t>
  </si>
  <si>
    <t>박윤정</t>
  </si>
  <si>
    <t>이주아</t>
  </si>
  <si>
    <t>모</t>
  </si>
  <si>
    <t>행복을 多주는 가족사랑보험</t>
  </si>
  <si>
    <t>종합전문요양기관</t>
  </si>
  <si>
    <t>김수영</t>
  </si>
  <si>
    <t>전정아</t>
  </si>
  <si>
    <t>무배당 신한아이사랑보험名作</t>
  </si>
  <si>
    <t>의원</t>
  </si>
  <si>
    <t>최미정</t>
  </si>
  <si>
    <t>김한성</t>
  </si>
  <si>
    <t>무배당 굿앤굿 어린이 CI보험</t>
  </si>
  <si>
    <t>최영국</t>
  </si>
  <si>
    <t>최윤서</t>
  </si>
  <si>
    <t>꿈나무 보장 보험1형</t>
  </si>
  <si>
    <t>황재현</t>
  </si>
  <si>
    <t>본인</t>
  </si>
  <si>
    <t>슈퍼라이프 연금보험</t>
  </si>
  <si>
    <t>한수진</t>
  </si>
  <si>
    <t>무배당 굿라이프 암치료보험</t>
  </si>
  <si>
    <t>김예나</t>
  </si>
  <si>
    <t>뉴-생생 여성건강보험</t>
  </si>
  <si>
    <t>강수지</t>
  </si>
  <si>
    <t>프로미라이프 브라보라이프보험</t>
  </si>
  <si>
    <t>김미자</t>
  </si>
  <si>
    <t>이성근</t>
  </si>
  <si>
    <t>배우자</t>
  </si>
  <si>
    <t>무배당 종신스페셜보험</t>
  </si>
  <si>
    <t>종합병원</t>
  </si>
  <si>
    <t>유전희</t>
  </si>
  <si>
    <t>이진호</t>
  </si>
  <si>
    <t>마음든든 럭키 가족사랑보험</t>
  </si>
  <si>
    <t>김종호</t>
  </si>
  <si>
    <t>최수정</t>
  </si>
  <si>
    <t>행복을 다주는 가족사랑보험</t>
  </si>
  <si>
    <t>이승하</t>
  </si>
  <si>
    <t>이승주</t>
  </si>
  <si>
    <t>형</t>
  </si>
  <si>
    <t>알파Plus 보장보험</t>
  </si>
  <si>
    <t>오연미</t>
  </si>
  <si>
    <t>오연경</t>
  </si>
  <si>
    <t>언니</t>
  </si>
  <si>
    <t>닥터 플러스 건강보험</t>
  </si>
  <si>
    <t>최용남</t>
  </si>
  <si>
    <t>최승연</t>
  </si>
  <si>
    <t>내Mom 같은 어린이보험</t>
  </si>
  <si>
    <t>전웅기</t>
  </si>
  <si>
    <t>퍼펙트 통합 정기보험</t>
  </si>
  <si>
    <t>김준규</t>
  </si>
  <si>
    <t>프로미라이프 내생애 든든 종합 보험</t>
  </si>
  <si>
    <t>나영규</t>
  </si>
  <si>
    <t>이미자</t>
  </si>
  <si>
    <t>무배당 마이라이프 한아름 종합보험</t>
  </si>
  <si>
    <t>강현경</t>
  </si>
  <si>
    <t>강준수</t>
  </si>
  <si>
    <t>누나</t>
  </si>
  <si>
    <t>(무)MG원더풀 통합보험</t>
  </si>
  <si>
    <t>윤현덕</t>
  </si>
  <si>
    <t>윤미연</t>
  </si>
  <si>
    <t>오빠</t>
  </si>
  <si>
    <t>(무)행복을 다주는 행복통합보험</t>
  </si>
  <si>
    <t>[표1]</t>
    <phoneticPr fontId="1" type="noConversion"/>
  </si>
  <si>
    <t>[표1]</t>
    <phoneticPr fontId="9" type="noConversion"/>
  </si>
  <si>
    <t>기준일</t>
    <phoneticPr fontId="9" type="noConversion"/>
  </si>
  <si>
    <t>[표2] 운용방법과 펀드명별 가장 빠른 가입년도</t>
    <phoneticPr fontId="9" type="noConversion"/>
  </si>
  <si>
    <t>펀드명</t>
    <phoneticPr fontId="9" type="noConversion"/>
  </si>
  <si>
    <t>가입일자</t>
    <phoneticPr fontId="9" type="noConversion"/>
  </si>
  <si>
    <t>운용방법</t>
    <phoneticPr fontId="9" type="noConversion"/>
  </si>
  <si>
    <t>특성</t>
    <phoneticPr fontId="9" type="noConversion"/>
  </si>
  <si>
    <t>가입기간</t>
    <phoneticPr fontId="9" type="noConversion"/>
  </si>
  <si>
    <t>수수료</t>
    <phoneticPr fontId="9" type="noConversion"/>
  </si>
  <si>
    <t>미래</t>
    <phoneticPr fontId="9" type="noConversion"/>
  </si>
  <si>
    <t>성장</t>
    <phoneticPr fontId="9" type="noConversion"/>
  </si>
  <si>
    <t>수익</t>
    <phoneticPr fontId="9" type="noConversion"/>
  </si>
  <si>
    <t>미래자산</t>
    <phoneticPr fontId="9" type="noConversion"/>
  </si>
  <si>
    <t>주식형</t>
    <phoneticPr fontId="9" type="noConversion"/>
  </si>
  <si>
    <t>국내</t>
    <phoneticPr fontId="9" type="noConversion"/>
  </si>
  <si>
    <t>채권형</t>
    <phoneticPr fontId="9" type="noConversion"/>
  </si>
  <si>
    <t>국내</t>
    <phoneticPr fontId="9" type="noConversion"/>
  </si>
  <si>
    <t>채권형</t>
    <phoneticPr fontId="9" type="noConversion"/>
  </si>
  <si>
    <t>성장자산</t>
    <phoneticPr fontId="9" type="noConversion"/>
  </si>
  <si>
    <t>해외</t>
    <phoneticPr fontId="9" type="noConversion"/>
  </si>
  <si>
    <t>성장펀드</t>
    <phoneticPr fontId="9" type="noConversion"/>
  </si>
  <si>
    <t>채권형</t>
    <phoneticPr fontId="9" type="noConversion"/>
  </si>
  <si>
    <t>[표3] 브랜드커피</t>
    <phoneticPr fontId="9" type="noConversion"/>
  </si>
  <si>
    <t>수익펀드</t>
    <phoneticPr fontId="9" type="noConversion"/>
  </si>
  <si>
    <t>브랜드명</t>
    <phoneticPr fontId="9" type="noConversion"/>
  </si>
  <si>
    <t>추천메뉴</t>
    <phoneticPr fontId="9" type="noConversion"/>
  </si>
  <si>
    <t>인기메뉴</t>
    <phoneticPr fontId="9" type="noConversion"/>
  </si>
  <si>
    <t>미래펀드</t>
    <phoneticPr fontId="9" type="noConversion"/>
  </si>
  <si>
    <t>어디야커피</t>
    <phoneticPr fontId="9" type="noConversion"/>
  </si>
  <si>
    <t>터피넛라떼, 쇼콜라</t>
    <phoneticPr fontId="9" type="noConversion"/>
  </si>
  <si>
    <t>스타박스커피</t>
    <phoneticPr fontId="9" type="noConversion"/>
  </si>
  <si>
    <t>푸라푸치노, 달체라떼</t>
    <phoneticPr fontId="9" type="noConversion"/>
  </si>
  <si>
    <t>주식형</t>
    <phoneticPr fontId="9" type="noConversion"/>
  </si>
  <si>
    <t>투썬플레이스</t>
    <phoneticPr fontId="9" type="noConversion"/>
  </si>
  <si>
    <t>로알밀크티, 프라페</t>
    <phoneticPr fontId="9" type="noConversion"/>
  </si>
  <si>
    <t>성장자산</t>
    <phoneticPr fontId="9" type="noConversion"/>
  </si>
  <si>
    <t>메가커피</t>
    <phoneticPr fontId="9" type="noConversion"/>
  </si>
  <si>
    <t>퐁크러시</t>
    <phoneticPr fontId="9" type="noConversion"/>
  </si>
  <si>
    <t>커피에빤하다</t>
    <phoneticPr fontId="9" type="noConversion"/>
  </si>
  <si>
    <t>흑당버블티</t>
    <phoneticPr fontId="9" type="noConversion"/>
  </si>
  <si>
    <t>성장펀드</t>
    <phoneticPr fontId="9" type="noConversion"/>
  </si>
  <si>
    <t>요가프레소</t>
    <phoneticPr fontId="9" type="noConversion"/>
  </si>
  <si>
    <t>메리메리딸기, 바닐라슈</t>
    <phoneticPr fontId="9" type="noConversion"/>
  </si>
  <si>
    <t>수익자산</t>
    <phoneticPr fontId="9" type="noConversion"/>
  </si>
  <si>
    <t>벽다방</t>
    <phoneticPr fontId="9" type="noConversion"/>
  </si>
  <si>
    <t>청포도꽃, 사라빵</t>
    <phoneticPr fontId="9" type="noConversion"/>
  </si>
  <si>
    <t>커피페이</t>
    <phoneticPr fontId="9" type="noConversion"/>
  </si>
  <si>
    <t>브라운바블티,멜로우크림</t>
    <phoneticPr fontId="9" type="noConversion"/>
  </si>
  <si>
    <t>미래펀드</t>
    <phoneticPr fontId="9" type="noConversion"/>
  </si>
  <si>
    <t>파스고찌</t>
    <phoneticPr fontId="9" type="noConversion"/>
  </si>
  <si>
    <t xml:space="preserve"> 그라나따,레드벨벳</t>
    <phoneticPr fontId="9" type="noConversion"/>
  </si>
  <si>
    <t>헐리스커피</t>
    <phoneticPr fontId="9" type="noConversion"/>
  </si>
  <si>
    <t>바나나딜라이트</t>
    <phoneticPr fontId="9" type="noConversion"/>
  </si>
  <si>
    <t>커피베너</t>
    <phoneticPr fontId="9" type="noConversion"/>
  </si>
  <si>
    <t>콜드브루, 우리라떼</t>
    <phoneticPr fontId="9" type="noConversion"/>
  </si>
  <si>
    <t>탐엔텀스커피</t>
    <phoneticPr fontId="9" type="noConversion"/>
  </si>
  <si>
    <t>호두치노</t>
    <phoneticPr fontId="9" type="noConversion"/>
  </si>
  <si>
    <t>미래펀드</t>
    <phoneticPr fontId="9" type="noConversion"/>
  </si>
  <si>
    <t>주식형</t>
    <phoneticPr fontId="9" type="noConversion"/>
  </si>
  <si>
    <t>국내</t>
    <phoneticPr fontId="9" type="noConversion"/>
  </si>
  <si>
    <t>커피콩</t>
    <phoneticPr fontId="9" type="noConversion"/>
  </si>
  <si>
    <t>블랙포라스트,헤이즐넛</t>
    <phoneticPr fontId="9" type="noConversion"/>
  </si>
  <si>
    <t>[표4]</t>
    <phoneticPr fontId="9" type="noConversion"/>
  </si>
  <si>
    <t>기업명</t>
    <phoneticPr fontId="9" type="noConversion"/>
  </si>
  <si>
    <t>신용등급</t>
    <phoneticPr fontId="9" type="noConversion"/>
  </si>
  <si>
    <t>신용대출액</t>
    <phoneticPr fontId="9" type="noConversion"/>
  </si>
  <si>
    <t>대출기간(년)</t>
    <phoneticPr fontId="9" type="noConversion"/>
  </si>
  <si>
    <t>대출상환금액</t>
    <phoneticPr fontId="9" type="noConversion"/>
  </si>
  <si>
    <t>레드스타</t>
    <phoneticPr fontId="9" type="noConversion"/>
  </si>
  <si>
    <t>A</t>
    <phoneticPr fontId="9" type="noConversion"/>
  </si>
  <si>
    <t>블루칩</t>
    <phoneticPr fontId="9" type="noConversion"/>
  </si>
  <si>
    <t>B</t>
    <phoneticPr fontId="9" type="noConversion"/>
  </si>
  <si>
    <t>나이스</t>
    <phoneticPr fontId="9" type="noConversion"/>
  </si>
  <si>
    <t>C</t>
    <phoneticPr fontId="9" type="noConversion"/>
  </si>
  <si>
    <t>화이트펄</t>
    <phoneticPr fontId="9" type="noConversion"/>
  </si>
  <si>
    <t>B</t>
    <phoneticPr fontId="9" type="noConversion"/>
  </si>
  <si>
    <t>돌고래</t>
    <phoneticPr fontId="9" type="noConversion"/>
  </si>
  <si>
    <t>A</t>
    <phoneticPr fontId="9" type="noConversion"/>
  </si>
  <si>
    <t>은하수</t>
    <phoneticPr fontId="9" type="noConversion"/>
  </si>
  <si>
    <t>C</t>
    <phoneticPr fontId="9" type="noConversion"/>
  </si>
  <si>
    <t>로드킹</t>
    <phoneticPr fontId="9" type="noConversion"/>
  </si>
  <si>
    <t>러브레터</t>
    <phoneticPr fontId="9" type="noConversion"/>
  </si>
  <si>
    <t>스피드</t>
    <phoneticPr fontId="9" type="noConversion"/>
  </si>
  <si>
    <t>골드핑거</t>
    <phoneticPr fontId="9" type="noConversion"/>
  </si>
  <si>
    <t>7A02</t>
    <phoneticPr fontId="1" type="noConversion"/>
  </si>
  <si>
    <t>○</t>
    <phoneticPr fontId="1" type="noConversion"/>
  </si>
  <si>
    <t>○</t>
    <phoneticPr fontId="1" type="noConversion"/>
  </si>
  <si>
    <t>센터장</t>
    <phoneticPr fontId="1" type="noConversion"/>
  </si>
  <si>
    <t>1C09</t>
    <phoneticPr fontId="1" type="noConversion"/>
  </si>
  <si>
    <t>○</t>
    <phoneticPr fontId="1" type="noConversion"/>
  </si>
  <si>
    <t>파트장</t>
    <phoneticPr fontId="1" type="noConversion"/>
  </si>
  <si>
    <t>4D25</t>
    <phoneticPr fontId="1" type="noConversion"/>
  </si>
  <si>
    <t>매니저</t>
    <phoneticPr fontId="1" type="noConversion"/>
  </si>
  <si>
    <t>1B45</t>
    <phoneticPr fontId="1" type="noConversion"/>
  </si>
  <si>
    <t>책임매니저</t>
    <phoneticPr fontId="1" type="noConversion"/>
  </si>
  <si>
    <t>8B10</t>
    <phoneticPr fontId="1" type="noConversion"/>
  </si>
  <si>
    <t>1A05</t>
    <phoneticPr fontId="1" type="noConversion"/>
  </si>
  <si>
    <t>센터장</t>
    <phoneticPr fontId="1" type="noConversion"/>
  </si>
  <si>
    <t>9B01</t>
    <phoneticPr fontId="1" type="noConversion"/>
  </si>
  <si>
    <t>박영하</t>
    <phoneticPr fontId="1" type="noConversion"/>
  </si>
  <si>
    <t>6B34</t>
    <phoneticPr fontId="1" type="noConversion"/>
  </si>
  <si>
    <t>박명훈</t>
    <phoneticPr fontId="1" type="noConversion"/>
  </si>
  <si>
    <t>8C62</t>
    <phoneticPr fontId="1" type="noConversion"/>
  </si>
  <si>
    <t>백수희</t>
    <phoneticPr fontId="1" type="noConversion"/>
  </si>
  <si>
    <t>매니저</t>
    <phoneticPr fontId="1" type="noConversion"/>
  </si>
  <si>
    <t>3A04</t>
    <phoneticPr fontId="1" type="noConversion"/>
  </si>
  <si>
    <t>오동석</t>
    <phoneticPr fontId="1" type="noConversion"/>
  </si>
  <si>
    <t>팀장</t>
    <phoneticPr fontId="1" type="noConversion"/>
  </si>
  <si>
    <t>8A13</t>
    <phoneticPr fontId="1" type="noConversion"/>
  </si>
  <si>
    <t>9A25</t>
    <phoneticPr fontId="1" type="noConversion"/>
  </si>
  <si>
    <t>4B24</t>
    <phoneticPr fontId="1" type="noConversion"/>
  </si>
  <si>
    <t>백영재</t>
    <phoneticPr fontId="1" type="noConversion"/>
  </si>
  <si>
    <t>5B20</t>
    <phoneticPr fontId="1" type="noConversion"/>
  </si>
  <si>
    <t>유동희</t>
    <phoneticPr fontId="1" type="noConversion"/>
  </si>
  <si>
    <t>9B12</t>
    <phoneticPr fontId="1" type="noConversion"/>
  </si>
  <si>
    <t>전인지</t>
    <phoneticPr fontId="1" type="noConversion"/>
  </si>
  <si>
    <t>3C53</t>
    <phoneticPr fontId="1" type="noConversion"/>
  </si>
  <si>
    <t>1D12</t>
    <phoneticPr fontId="1" type="noConversion"/>
  </si>
  <si>
    <t>5A09</t>
    <phoneticPr fontId="1" type="noConversion"/>
  </si>
  <si>
    <t>2B19</t>
    <phoneticPr fontId="1" type="noConversion"/>
  </si>
  <si>
    <t>153 최대</t>
  </si>
  <si>
    <t>115 최대</t>
  </si>
  <si>
    <t>85 최대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</si>
</sst>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43" formatCode="_-* #,##0.00_-;\-* #,##0.00_-;_-* &quot;-&quot;??_-;_-@_-"/>
    <numFmt numFmtId="176" formatCode="[Red][&gt;=0.25]&quot;♠&quot;0%;[Blue][&lt;=0.15]&quot;♤&quot;0%;0%"/>
    <numFmt numFmtId="177" formatCode="0.0_ "/>
    <numFmt numFmtId="178" formatCode="[Blue][&lt;200000]&quot;작은평수&quot;* #,##0;[Red][&gt;600000]&quot;큰평수&quot;* #,##0;* #,##0"/>
    <numFmt numFmtId="179" formatCode="yyyy&quot;년&quot;\ mm&quot;월&quot;\ d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/>
    <xf numFmtId="0" fontId="2" fillId="0" borderId="0"/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</cellStyleXfs>
  <cellXfs count="35">
    <xf numFmtId="0" fontId="0" fillId="0" borderId="0" xfId="0">
      <alignment vertical="center"/>
    </xf>
    <xf numFmtId="0" fontId="0" fillId="0" borderId="0" xfId="0" applyAlignment="1">
      <alignment vertical="center"/>
    </xf>
    <xf numFmtId="0" fontId="4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3" applyFont="1" applyBorder="1">
      <alignment vertical="center"/>
    </xf>
    <xf numFmtId="43" fontId="0" fillId="0" borderId="0" xfId="0" applyNumberFormat="1">
      <alignment vertical="center"/>
    </xf>
    <xf numFmtId="176" fontId="0" fillId="0" borderId="1" xfId="4" applyNumberFormat="1" applyFont="1" applyBorder="1">
      <alignment vertical="center"/>
    </xf>
    <xf numFmtId="0" fontId="4" fillId="0" borderId="1" xfId="0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pivotButton="1">
      <alignment vertical="center"/>
    </xf>
    <xf numFmtId="41" fontId="0" fillId="0" borderId="0" xfId="0" applyNumberFormat="1">
      <alignment vertical="center"/>
    </xf>
    <xf numFmtId="0" fontId="0" fillId="0" borderId="1" xfId="0" applyBorder="1">
      <alignment vertical="center"/>
    </xf>
    <xf numFmtId="14" fontId="7" fillId="0" borderId="0" xfId="0" applyNumberFormat="1" applyFont="1">
      <alignment vertical="center"/>
    </xf>
    <xf numFmtId="9" fontId="0" fillId="0" borderId="1" xfId="4" applyFont="1" applyBorder="1">
      <alignment vertical="center"/>
    </xf>
    <xf numFmtId="0" fontId="0" fillId="0" borderId="0" xfId="0" applyAlignment="1"/>
    <xf numFmtId="0" fontId="8" fillId="0" borderId="0" xfId="0" applyFont="1" applyAlignment="1"/>
    <xf numFmtId="177" fontId="0" fillId="0" borderId="0" xfId="0" applyNumberFormat="1" applyAlignment="1"/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>
      <alignment vertical="center"/>
    </xf>
    <xf numFmtId="14" fontId="5" fillId="0" borderId="1" xfId="0" applyNumberFormat="1" applyFont="1" applyFill="1" applyBorder="1" applyAlignment="1">
      <alignment horizontal="center" vertical="center"/>
    </xf>
    <xf numFmtId="41" fontId="5" fillId="0" borderId="1" xfId="5" applyFont="1" applyFill="1" applyBorder="1">
      <alignment vertical="center"/>
    </xf>
    <xf numFmtId="178" fontId="0" fillId="0" borderId="1" xfId="3" applyNumberFormat="1" applyFont="1" applyBorder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79" fontId="0" fillId="0" borderId="1" xfId="0" applyNumberFormat="1" applyBorder="1" applyAlignment="1">
      <alignment horizontal="center" vertical="center"/>
    </xf>
    <xf numFmtId="4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right" vertical="center"/>
    </xf>
  </cellXfs>
  <cellStyles count="6">
    <cellStyle name="백분율" xfId="4" builtinId="5"/>
    <cellStyle name="쉼표 [0]" xfId="3" builtinId="6"/>
    <cellStyle name="쉼표 [0] 2" xfId="1" xr:uid="{00000000-0005-0000-0000-000002000000}"/>
    <cellStyle name="쉼표 [0] 3" xfId="5" xr:uid="{00000000-0005-0000-0000-000003000000}"/>
    <cellStyle name="표준" xfId="0" builtinId="0"/>
    <cellStyle name="표준 3" xfId="2" xr:uid="{00000000-0005-0000-0000-000005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r>
              <a:rPr lang="en-US"/>
              <a:t>4</a:t>
            </a:r>
            <a:r>
              <a:rPr lang="ko-KR"/>
              <a:t>박 </a:t>
            </a:r>
            <a:r>
              <a:rPr lang="en-US"/>
              <a:t>5</a:t>
            </a:r>
            <a:r>
              <a:rPr lang="ko-KR"/>
              <a:t>일 여행지 경비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'기타작업-1'!$C$2</c:f>
              <c:strCache>
                <c:ptCount val="1"/>
                <c:pt idx="0">
                  <c:v>숙박비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'기타작업-1'!$B$3:$B$6</c:f>
              <c:strCache>
                <c:ptCount val="4"/>
                <c:pt idx="0">
                  <c:v>부산</c:v>
                </c:pt>
                <c:pt idx="1">
                  <c:v>진도</c:v>
                </c:pt>
                <c:pt idx="2">
                  <c:v>통영</c:v>
                </c:pt>
                <c:pt idx="3">
                  <c:v>경주</c:v>
                </c:pt>
              </c:strCache>
            </c:strRef>
          </c:cat>
          <c:val>
            <c:numRef>
              <c:f>'기타작업-1'!$C$3:$C$6</c:f>
              <c:numCache>
                <c:formatCode>_(* #,##0_);_(* \(#,##0\);_(* "-"_);_(@_)</c:formatCode>
                <c:ptCount val="4"/>
                <c:pt idx="0">
                  <c:v>620000</c:v>
                </c:pt>
                <c:pt idx="1">
                  <c:v>500000</c:v>
                </c:pt>
                <c:pt idx="2">
                  <c:v>390000</c:v>
                </c:pt>
                <c:pt idx="3">
                  <c:v>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0D-4F70-AC3C-01ABF7FDE026}"/>
            </c:ext>
          </c:extLst>
        </c:ser>
        <c:ser>
          <c:idx val="2"/>
          <c:order val="1"/>
          <c:tx>
            <c:strRef>
              <c:f>'기타작업-1'!$E$2</c:f>
              <c:strCache>
                <c:ptCount val="1"/>
                <c:pt idx="0">
                  <c:v>식비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dLbls>
            <c:dLbl>
              <c:idx val="1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5F0-4BFA-92AB-358C8A4349FD}"/>
                </c:ext>
              </c:extLst>
            </c:dLbl>
            <c:dLbl>
              <c:idx val="3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5F0-4BFA-92AB-358C8A4349F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ound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'기타작업-1'!$B$3:$B$6</c:f>
              <c:strCache>
                <c:ptCount val="4"/>
                <c:pt idx="0">
                  <c:v>부산</c:v>
                </c:pt>
                <c:pt idx="1">
                  <c:v>진도</c:v>
                </c:pt>
                <c:pt idx="2">
                  <c:v>통영</c:v>
                </c:pt>
                <c:pt idx="3">
                  <c:v>경주</c:v>
                </c:pt>
              </c:strCache>
            </c:strRef>
          </c:cat>
          <c:val>
            <c:numRef>
              <c:f>'기타작업-1'!$E$3:$E$6</c:f>
              <c:numCache>
                <c:formatCode>_(* #,##0_);_(* \(#,##0\);_(* "-"_);_(@_)</c:formatCode>
                <c:ptCount val="4"/>
                <c:pt idx="0">
                  <c:v>190000</c:v>
                </c:pt>
                <c:pt idx="1">
                  <c:v>110000</c:v>
                </c:pt>
                <c:pt idx="2">
                  <c:v>130000</c:v>
                </c:pt>
                <c:pt idx="3">
                  <c:v>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0D-4F70-AC3C-01ABF7FDE026}"/>
            </c:ext>
          </c:extLst>
        </c:ser>
        <c:ser>
          <c:idx val="1"/>
          <c:order val="2"/>
          <c:tx>
            <c:strRef>
              <c:f>'기타작업-1'!$D$2</c:f>
              <c:strCache>
                <c:ptCount val="1"/>
                <c:pt idx="0">
                  <c:v>교통비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'기타작업-1'!$B$3:$B$6</c:f>
              <c:strCache>
                <c:ptCount val="4"/>
                <c:pt idx="0">
                  <c:v>부산</c:v>
                </c:pt>
                <c:pt idx="1">
                  <c:v>진도</c:v>
                </c:pt>
                <c:pt idx="2">
                  <c:v>통영</c:v>
                </c:pt>
                <c:pt idx="3">
                  <c:v>경주</c:v>
                </c:pt>
              </c:strCache>
            </c:strRef>
          </c:cat>
          <c:val>
            <c:numRef>
              <c:f>'기타작업-1'!$D$3:$D$6</c:f>
              <c:numCache>
                <c:formatCode>_(* #,##0_);_(* \(#,##0\);_(* "-"_);_(@_)</c:formatCode>
                <c:ptCount val="4"/>
                <c:pt idx="0">
                  <c:v>100000</c:v>
                </c:pt>
                <c:pt idx="1">
                  <c:v>90000</c:v>
                </c:pt>
                <c:pt idx="2">
                  <c:v>85000</c:v>
                </c:pt>
                <c:pt idx="3">
                  <c:v>93000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0D-4F70-AC3C-01ABF7FDE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722195136"/>
        <c:axId val="1722188064"/>
        <c:axId val="0"/>
      </c:bar3DChart>
      <c:catAx>
        <c:axId val="1722195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1722188064"/>
        <c:crosses val="autoZero"/>
        <c:auto val="1"/>
        <c:lblAlgn val="ctr"/>
        <c:lblOffset val="100"/>
        <c:noMultiLvlLbl val="0"/>
      </c:catAx>
      <c:valAx>
        <c:axId val="172218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HY중고딕" panose="02030600000101010101" pitchFamily="18" charset="-127"/>
                <a:ea typeface="HY중고딕" panose="02030600000101010101" pitchFamily="18" charset="-127"/>
                <a:cs typeface="+mn-cs"/>
              </a:defRPr>
            </a:pPr>
            <a:endParaRPr lang="ko-KR"/>
          </a:p>
        </c:txPr>
        <c:crossAx val="1722195136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HY중고딕" panose="02030600000101010101" pitchFamily="18" charset="-127"/>
                    <a:ea typeface="HY중고딕" panose="02030600000101010101" pitchFamily="18" charset="-127"/>
                    <a:cs typeface="+mn-cs"/>
                  </a:defRPr>
                </a:pPr>
                <a:endParaRPr lang="ko-KR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HY중고딕" panose="02030600000101010101" pitchFamily="18" charset="-127"/>
              <a:ea typeface="HY중고딕" panose="02030600000101010101" pitchFamily="18" charset="-127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 rad="63500">
        <a:schemeClr val="accent2">
          <a:satMod val="175000"/>
          <a:alpha val="40000"/>
        </a:schemeClr>
      </a:glow>
    </a:effectLst>
  </c:spPr>
  <c:txPr>
    <a:bodyPr/>
    <a:lstStyle/>
    <a:p>
      <a:pPr>
        <a:defRPr>
          <a:latin typeface="HY중고딕" panose="02030600000101010101" pitchFamily="18" charset="-127"/>
          <a:ea typeface="HY중고딕" panose="02030600000101010101" pitchFamily="18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7</xdr:col>
      <xdr:colOff>0</xdr:colOff>
      <xdr:row>26</xdr:row>
      <xdr:rowOff>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평수비교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서식설정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666750</xdr:colOff>
          <xdr:row>3</xdr:row>
          <xdr:rowOff>9525</xdr:rowOff>
        </xdr:to>
        <xdr:sp macro="" textlink="">
          <xdr:nvSpPr>
            <xdr:cNvPr id="8193" name="cmd대여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297.554624652781" backgroundQuery="1" createdVersion="7" refreshedVersion="7" minRefreshableVersion="3" recordCount="21" xr:uid="{DFC84E2D-549E-4F08-9087-4234B1D41617}">
  <cacheSource type="external" connectionId="3"/>
  <cacheFields count="9">
    <cacheField name="동" numFmtId="0">
      <sharedItems containsSemiMixedTypes="0" containsString="0" containsNumber="1" containsInteger="1" minValue="201" maxValue="204" count="4">
        <n v="203"/>
        <n v="202"/>
        <n v="204"/>
        <n v="201"/>
      </sharedItems>
    </cacheField>
    <cacheField name="호" numFmtId="0">
      <sharedItems containsSemiMixedTypes="0" containsString="0" containsNumber="1" containsInteger="1" minValue="101" maxValue="701" count="10">
        <n v="501"/>
        <n v="201"/>
        <n v="102"/>
        <n v="701"/>
        <n v="402"/>
        <n v="202"/>
        <n v="302"/>
        <n v="301"/>
        <n v="602"/>
        <n v="101"/>
      </sharedItems>
    </cacheField>
    <cacheField name="면적" numFmtId="0">
      <sharedItems containsSemiMixedTypes="0" containsString="0" containsNumber="1" containsInteger="1" minValue="85" maxValue="153" count="4">
        <n v="96"/>
        <n v="115"/>
        <n v="85"/>
        <n v="153"/>
      </sharedItems>
    </cacheField>
    <cacheField name="도시가스" numFmtId="0">
      <sharedItems containsSemiMixedTypes="0" containsString="0" containsNumber="1" containsInteger="1" minValue="50" maxValue="200" count="18">
        <n v="100"/>
        <n v="85"/>
        <n v="75"/>
        <n v="50"/>
        <n v="150"/>
        <n v="200"/>
        <n v="90"/>
        <n v="120"/>
        <n v="135"/>
        <n v="55"/>
        <n v="110"/>
        <n v="105"/>
        <n v="60"/>
        <n v="121"/>
        <n v="81"/>
        <n v="119"/>
        <n v="87"/>
        <n v="111"/>
      </sharedItems>
    </cacheField>
    <cacheField name="전기(kwh)" numFmtId="0">
      <sharedItems containsSemiMixedTypes="0" containsString="0" containsNumber="1" containsInteger="1" minValue="205" maxValue="500" count="19">
        <n v="318"/>
        <n v="450"/>
        <n v="300"/>
        <n v="290"/>
        <n v="205"/>
        <n v="500"/>
        <n v="430"/>
        <n v="285"/>
        <n v="310"/>
        <n v="255"/>
        <n v="340"/>
        <n v="330"/>
        <n v="273"/>
        <n v="395"/>
        <n v="301"/>
        <n v="278"/>
        <n v="329"/>
        <n v="311"/>
        <n v="444"/>
      </sharedItems>
    </cacheField>
    <cacheField name="수도(ton)" numFmtId="0">
      <sharedItems containsSemiMixedTypes="0" containsString="0" containsNumber="1" containsInteger="1" minValue="17" maxValue="40" count="19">
        <n v="20"/>
        <n v="21"/>
        <n v="25"/>
        <n v="30"/>
        <n v="28"/>
        <n v="22"/>
        <n v="23"/>
        <n v="38"/>
        <n v="40"/>
        <n v="18"/>
        <n v="26"/>
        <n v="19"/>
        <n v="32"/>
        <n v="33"/>
        <n v="17"/>
        <n v="39"/>
        <n v="24"/>
        <n v="34"/>
        <n v="36"/>
      </sharedItems>
    </cacheField>
    <cacheField name="도시가스요금" numFmtId="0" formula="도시가스 *725" databaseField="0"/>
    <cacheField name="전기료" numFmtId="0" formula="'전기(kwh)' *118" databaseField="0"/>
    <cacheField name="수도세" numFmtId="0" formula="'수도(ton)'*150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x v="0"/>
    <x v="0"/>
    <x v="0"/>
    <x v="0"/>
    <x v="0"/>
  </r>
  <r>
    <x v="1"/>
    <x v="0"/>
    <x v="1"/>
    <x v="1"/>
    <x v="1"/>
    <x v="1"/>
  </r>
  <r>
    <x v="2"/>
    <x v="0"/>
    <x v="2"/>
    <x v="2"/>
    <x v="2"/>
    <x v="2"/>
  </r>
  <r>
    <x v="0"/>
    <x v="1"/>
    <x v="0"/>
    <x v="3"/>
    <x v="3"/>
    <x v="3"/>
  </r>
  <r>
    <x v="0"/>
    <x v="2"/>
    <x v="0"/>
    <x v="4"/>
    <x v="4"/>
    <x v="4"/>
  </r>
  <r>
    <x v="0"/>
    <x v="3"/>
    <x v="0"/>
    <x v="5"/>
    <x v="4"/>
    <x v="5"/>
  </r>
  <r>
    <x v="0"/>
    <x v="4"/>
    <x v="0"/>
    <x v="6"/>
    <x v="2"/>
    <x v="6"/>
  </r>
  <r>
    <x v="3"/>
    <x v="2"/>
    <x v="3"/>
    <x v="7"/>
    <x v="5"/>
    <x v="7"/>
  </r>
  <r>
    <x v="3"/>
    <x v="5"/>
    <x v="3"/>
    <x v="8"/>
    <x v="6"/>
    <x v="8"/>
  </r>
  <r>
    <x v="2"/>
    <x v="6"/>
    <x v="2"/>
    <x v="2"/>
    <x v="7"/>
    <x v="9"/>
  </r>
  <r>
    <x v="1"/>
    <x v="4"/>
    <x v="1"/>
    <x v="0"/>
    <x v="8"/>
    <x v="10"/>
  </r>
  <r>
    <x v="2"/>
    <x v="4"/>
    <x v="2"/>
    <x v="9"/>
    <x v="9"/>
    <x v="11"/>
  </r>
  <r>
    <x v="1"/>
    <x v="2"/>
    <x v="1"/>
    <x v="10"/>
    <x v="10"/>
    <x v="12"/>
  </r>
  <r>
    <x v="1"/>
    <x v="3"/>
    <x v="1"/>
    <x v="11"/>
    <x v="11"/>
    <x v="13"/>
  </r>
  <r>
    <x v="2"/>
    <x v="2"/>
    <x v="2"/>
    <x v="12"/>
    <x v="12"/>
    <x v="14"/>
  </r>
  <r>
    <x v="3"/>
    <x v="7"/>
    <x v="3"/>
    <x v="13"/>
    <x v="13"/>
    <x v="15"/>
  </r>
  <r>
    <x v="2"/>
    <x v="8"/>
    <x v="2"/>
    <x v="12"/>
    <x v="14"/>
    <x v="16"/>
  </r>
  <r>
    <x v="2"/>
    <x v="0"/>
    <x v="2"/>
    <x v="14"/>
    <x v="15"/>
    <x v="10"/>
  </r>
  <r>
    <x v="3"/>
    <x v="0"/>
    <x v="3"/>
    <x v="15"/>
    <x v="16"/>
    <x v="17"/>
  </r>
  <r>
    <x v="1"/>
    <x v="1"/>
    <x v="1"/>
    <x v="16"/>
    <x v="17"/>
    <x v="10"/>
  </r>
  <r>
    <x v="3"/>
    <x v="9"/>
    <x v="3"/>
    <x v="17"/>
    <x v="18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070E9-778A-440E-95D8-9A16A0F56BF1}" name="피벗 테이블1" cacheId="4" dataOnRows="1" applyNumberFormats="0" applyBorderFormats="0" applyFontFormats="0" applyPatternFormats="0" applyAlignmentFormats="0" applyWidthHeightFormats="1" dataCaption="값" updatedVersion="7" minRefreshableVersion="3" useAutoFormatting="1" rowGrandTotals="0" colGrandTotals="0" itemPrintTitles="1" createdVersion="7" indent="0" compact="0" outline="1" outlineData="1" compactData="0" multipleFieldFilters="0" fieldListSortAscending="1">
  <location ref="B5:G22" firstHeaderRow="1" firstDataRow="2" firstDataCol="2" rowPageCount="1" colPageCount="1"/>
  <pivotFields count="9">
    <pivotField axis="axisCol" compact="0" showAll="0">
      <items count="5">
        <item x="3"/>
        <item x="1"/>
        <item x="0"/>
        <item x="2"/>
        <item t="default"/>
      </items>
    </pivotField>
    <pivotField axis="axisPage" compact="0" showAll="0">
      <items count="11">
        <item x="9"/>
        <item x="2"/>
        <item x="1"/>
        <item x="5"/>
        <item x="7"/>
        <item x="6"/>
        <item x="4"/>
        <item x="0"/>
        <item x="8"/>
        <item x="3"/>
        <item t="default"/>
      </items>
    </pivotField>
    <pivotField axis="axisRow" compact="0" showAll="0" sortType="descending">
      <items count="5">
        <item x="3"/>
        <item x="1"/>
        <item x="0"/>
        <item x="2"/>
        <item t="default"/>
      </items>
    </pivotField>
    <pivotField compact="0" showAll="0"/>
    <pivotField compact="0" showAll="0"/>
    <pivotField compact="0" showAll="0"/>
    <pivotField dataField="1" compact="0" dragToRow="0" dragToCol="0" dragToPage="0" showAll="0" defaultSubtotal="0"/>
    <pivotField dataField="1" compact="0" dragToRow="0" dragToCol="0" dragToPage="0" showAll="0" defaultSubtotal="0"/>
    <pivotField dataField="1" compact="0" dragToRow="0" dragToCol="0" dragToPage="0" showAll="0" defaultSubtotal="0"/>
  </pivotFields>
  <rowFields count="2">
    <field x="2"/>
    <field x="-2"/>
  </rowFields>
  <rowItems count="16">
    <i>
      <x/>
    </i>
    <i r="1">
      <x/>
    </i>
    <i r="1" i="1">
      <x v="1"/>
    </i>
    <i r="1" i="2">
      <x v="2"/>
    </i>
    <i>
      <x v="1"/>
    </i>
    <i r="1">
      <x/>
    </i>
    <i r="1" i="1">
      <x v="1"/>
    </i>
    <i r="1" i="2">
      <x v="2"/>
    </i>
    <i>
      <x v="2"/>
    </i>
    <i r="1">
      <x/>
    </i>
    <i r="1" i="1">
      <x v="1"/>
    </i>
    <i r="1" i="2">
      <x v="2"/>
    </i>
    <i>
      <x v="3"/>
    </i>
    <i r="1">
      <x/>
    </i>
    <i r="1" i="1">
      <x v="1"/>
    </i>
    <i r="1" i="2">
      <x v="2"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3">
    <dataField name="합계 : 도시가스요금" fld="6" baseField="2" baseItem="0" numFmtId="41"/>
    <dataField name="합계 : 전기료" fld="7" baseField="2" baseItem="0" numFmtId="41"/>
    <dataField name="합계 : 수도세" fld="8" baseField="2" baseItem="0" numFmtId="41"/>
  </dataField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8"/>
  <sheetViews>
    <sheetView tabSelected="1" workbookViewId="0"/>
  </sheetViews>
  <sheetFormatPr defaultRowHeight="16.5"/>
  <cols>
    <col min="3" max="7" width="10.625" customWidth="1"/>
    <col min="8" max="8" width="11.625" bestFit="1" customWidth="1"/>
    <col min="9" max="9" width="12.625" customWidth="1"/>
    <col min="10" max="10" width="10.5" customWidth="1"/>
  </cols>
  <sheetData>
    <row r="1" spans="1:10">
      <c r="I1" s="13"/>
    </row>
    <row r="2" spans="1:10">
      <c r="A2" s="11" t="s">
        <v>42</v>
      </c>
      <c r="B2" s="11" t="s">
        <v>43</v>
      </c>
      <c r="C2" s="11" t="s">
        <v>37</v>
      </c>
      <c r="D2" s="11" t="s">
        <v>38</v>
      </c>
      <c r="E2" s="11" t="s">
        <v>39</v>
      </c>
      <c r="F2" s="11" t="s">
        <v>40</v>
      </c>
      <c r="G2" s="11" t="s">
        <v>41</v>
      </c>
      <c r="H2" s="11" t="s">
        <v>63</v>
      </c>
      <c r="I2" s="11" t="s">
        <v>36</v>
      </c>
      <c r="J2" s="11" t="s">
        <v>53</v>
      </c>
    </row>
    <row r="3" spans="1:10">
      <c r="A3" s="10" t="s">
        <v>253</v>
      </c>
      <c r="B3" s="10" t="s">
        <v>44</v>
      </c>
      <c r="C3" s="8" t="s">
        <v>254</v>
      </c>
      <c r="D3" s="8" t="s">
        <v>254</v>
      </c>
      <c r="E3" s="8" t="s">
        <v>255</v>
      </c>
      <c r="F3" s="8" t="s">
        <v>254</v>
      </c>
      <c r="G3" s="8" t="s">
        <v>254</v>
      </c>
      <c r="H3" s="9">
        <v>43547</v>
      </c>
      <c r="I3" s="9">
        <v>45374</v>
      </c>
      <c r="J3" s="10" t="s">
        <v>256</v>
      </c>
    </row>
    <row r="4" spans="1:10">
      <c r="A4" s="10" t="s">
        <v>257</v>
      </c>
      <c r="B4" s="10" t="s">
        <v>45</v>
      </c>
      <c r="C4" s="8"/>
      <c r="D4" s="8" t="s">
        <v>258</v>
      </c>
      <c r="E4" s="8" t="s">
        <v>254</v>
      </c>
      <c r="F4" s="8" t="s">
        <v>254</v>
      </c>
      <c r="G4" s="8" t="s">
        <v>255</v>
      </c>
      <c r="H4" s="9">
        <v>42853</v>
      </c>
      <c r="I4" s="9">
        <v>44679</v>
      </c>
      <c r="J4" s="10" t="s">
        <v>259</v>
      </c>
    </row>
    <row r="5" spans="1:10">
      <c r="A5" s="10" t="s">
        <v>260</v>
      </c>
      <c r="B5" s="10" t="s">
        <v>46</v>
      </c>
      <c r="C5" s="8" t="s">
        <v>254</v>
      </c>
      <c r="D5" s="8" t="s">
        <v>258</v>
      </c>
      <c r="E5" s="8" t="s">
        <v>254</v>
      </c>
      <c r="F5" s="8" t="s">
        <v>254</v>
      </c>
      <c r="G5" s="8" t="s">
        <v>254</v>
      </c>
      <c r="H5" s="9">
        <v>42101</v>
      </c>
      <c r="I5" s="9">
        <v>45754</v>
      </c>
      <c r="J5" s="10" t="s">
        <v>261</v>
      </c>
    </row>
    <row r="6" spans="1:10">
      <c r="A6" s="10" t="s">
        <v>262</v>
      </c>
      <c r="B6" s="10" t="s">
        <v>48</v>
      </c>
      <c r="C6" s="8" t="s">
        <v>254</v>
      </c>
      <c r="D6" s="8" t="s">
        <v>258</v>
      </c>
      <c r="E6" s="8" t="s">
        <v>258</v>
      </c>
      <c r="F6" s="8" t="s">
        <v>254</v>
      </c>
      <c r="G6" s="8" t="s">
        <v>258</v>
      </c>
      <c r="H6" s="9">
        <v>43090</v>
      </c>
      <c r="I6" s="9">
        <v>44916</v>
      </c>
      <c r="J6" s="10" t="s">
        <v>263</v>
      </c>
    </row>
    <row r="7" spans="1:10">
      <c r="A7" s="10" t="s">
        <v>264</v>
      </c>
      <c r="B7" s="10" t="s">
        <v>49</v>
      </c>
      <c r="C7" s="8" t="s">
        <v>254</v>
      </c>
      <c r="D7" s="8" t="s">
        <v>254</v>
      </c>
      <c r="E7" s="8"/>
      <c r="F7" s="8" t="s">
        <v>254</v>
      </c>
      <c r="G7" s="8" t="s">
        <v>254</v>
      </c>
      <c r="H7" s="9">
        <v>42965</v>
      </c>
      <c r="I7" s="9">
        <v>44791</v>
      </c>
      <c r="J7" s="10" t="s">
        <v>259</v>
      </c>
    </row>
    <row r="8" spans="1:10">
      <c r="A8" s="10" t="s">
        <v>265</v>
      </c>
      <c r="B8" s="10" t="s">
        <v>50</v>
      </c>
      <c r="C8" s="8" t="s">
        <v>258</v>
      </c>
      <c r="D8" s="8" t="s">
        <v>254</v>
      </c>
      <c r="E8" s="8" t="s">
        <v>254</v>
      </c>
      <c r="F8" s="8" t="s">
        <v>258</v>
      </c>
      <c r="G8" s="8" t="s">
        <v>258</v>
      </c>
      <c r="H8" s="9">
        <v>42015</v>
      </c>
      <c r="I8" s="9">
        <v>45668</v>
      </c>
      <c r="J8" s="10" t="s">
        <v>266</v>
      </c>
    </row>
    <row r="9" spans="1:10">
      <c r="A9" s="10" t="s">
        <v>267</v>
      </c>
      <c r="B9" s="10" t="s">
        <v>268</v>
      </c>
      <c r="C9" s="8" t="s">
        <v>258</v>
      </c>
      <c r="D9" s="8" t="s">
        <v>258</v>
      </c>
      <c r="E9" s="8" t="s">
        <v>258</v>
      </c>
      <c r="F9" s="8" t="s">
        <v>258</v>
      </c>
      <c r="G9" s="8" t="s">
        <v>254</v>
      </c>
      <c r="H9" s="9">
        <v>43472</v>
      </c>
      <c r="I9" s="9">
        <v>45298</v>
      </c>
      <c r="J9" s="10" t="s">
        <v>263</v>
      </c>
    </row>
    <row r="10" spans="1:10">
      <c r="A10" s="10" t="s">
        <v>269</v>
      </c>
      <c r="B10" s="10" t="s">
        <v>270</v>
      </c>
      <c r="C10" s="8" t="s">
        <v>258</v>
      </c>
      <c r="D10" s="8" t="s">
        <v>258</v>
      </c>
      <c r="E10" s="8" t="s">
        <v>258</v>
      </c>
      <c r="F10" s="8" t="s">
        <v>258</v>
      </c>
      <c r="G10" s="8" t="s">
        <v>258</v>
      </c>
      <c r="H10" s="9">
        <v>43143</v>
      </c>
      <c r="I10" s="9">
        <v>44969</v>
      </c>
      <c r="J10" s="10" t="s">
        <v>263</v>
      </c>
    </row>
    <row r="11" spans="1:10">
      <c r="A11" s="10" t="s">
        <v>271</v>
      </c>
      <c r="B11" s="10" t="s">
        <v>272</v>
      </c>
      <c r="C11" s="8" t="s">
        <v>258</v>
      </c>
      <c r="D11" s="8" t="s">
        <v>254</v>
      </c>
      <c r="E11" s="8" t="s">
        <v>258</v>
      </c>
      <c r="F11" s="8" t="s">
        <v>258</v>
      </c>
      <c r="G11" s="8" t="s">
        <v>258</v>
      </c>
      <c r="H11" s="9">
        <v>43533</v>
      </c>
      <c r="I11" s="9">
        <v>45360</v>
      </c>
      <c r="J11" s="10" t="s">
        <v>273</v>
      </c>
    </row>
    <row r="12" spans="1:10">
      <c r="A12" s="10" t="s">
        <v>274</v>
      </c>
      <c r="B12" s="10" t="s">
        <v>275</v>
      </c>
      <c r="C12" s="8" t="s">
        <v>254</v>
      </c>
      <c r="D12" s="8"/>
      <c r="E12" s="8" t="s">
        <v>258</v>
      </c>
      <c r="F12" s="8" t="s">
        <v>258</v>
      </c>
      <c r="G12" s="8" t="s">
        <v>258</v>
      </c>
      <c r="H12" s="9">
        <v>42743</v>
      </c>
      <c r="I12" s="9">
        <v>44569</v>
      </c>
      <c r="J12" s="10" t="s">
        <v>276</v>
      </c>
    </row>
    <row r="13" spans="1:10">
      <c r="A13" s="10" t="s">
        <v>277</v>
      </c>
      <c r="B13" s="10" t="s">
        <v>51</v>
      </c>
      <c r="C13" s="8" t="s">
        <v>258</v>
      </c>
      <c r="D13" s="8" t="s">
        <v>258</v>
      </c>
      <c r="E13" s="8" t="s">
        <v>258</v>
      </c>
      <c r="F13" s="8" t="s">
        <v>258</v>
      </c>
      <c r="G13" s="8" t="s">
        <v>258</v>
      </c>
      <c r="H13" s="9">
        <v>42139</v>
      </c>
      <c r="I13" s="9">
        <v>45792</v>
      </c>
      <c r="J13" s="10" t="s">
        <v>259</v>
      </c>
    </row>
    <row r="14" spans="1:10">
      <c r="A14" s="10" t="s">
        <v>278</v>
      </c>
      <c r="B14" s="10" t="s">
        <v>52</v>
      </c>
      <c r="C14" s="8" t="s">
        <v>258</v>
      </c>
      <c r="D14" s="8" t="s">
        <v>258</v>
      </c>
      <c r="E14" s="8" t="s">
        <v>258</v>
      </c>
      <c r="F14" s="8" t="s">
        <v>258</v>
      </c>
      <c r="G14" s="8" t="s">
        <v>258</v>
      </c>
      <c r="H14" s="9">
        <v>44161</v>
      </c>
      <c r="I14" s="9">
        <v>45987</v>
      </c>
      <c r="J14" s="10" t="s">
        <v>259</v>
      </c>
    </row>
    <row r="15" spans="1:10">
      <c r="A15" s="10" t="s">
        <v>279</v>
      </c>
      <c r="B15" s="10" t="s">
        <v>280</v>
      </c>
      <c r="C15" s="8" t="s">
        <v>258</v>
      </c>
      <c r="D15" s="8" t="s">
        <v>258</v>
      </c>
      <c r="E15" s="8" t="s">
        <v>258</v>
      </c>
      <c r="F15" s="8"/>
      <c r="G15" s="8" t="s">
        <v>254</v>
      </c>
      <c r="H15" s="9">
        <v>44154</v>
      </c>
      <c r="I15" s="9">
        <v>45980</v>
      </c>
      <c r="J15" s="10" t="s">
        <v>263</v>
      </c>
    </row>
    <row r="16" spans="1:10">
      <c r="A16" s="10" t="s">
        <v>281</v>
      </c>
      <c r="B16" s="10" t="s">
        <v>282</v>
      </c>
      <c r="C16" s="8" t="s">
        <v>258</v>
      </c>
      <c r="D16" s="8" t="s">
        <v>254</v>
      </c>
      <c r="E16" s="8" t="s">
        <v>258</v>
      </c>
      <c r="F16" s="8" t="s">
        <v>258</v>
      </c>
      <c r="G16" s="8" t="s">
        <v>258</v>
      </c>
      <c r="H16" s="9">
        <v>43939</v>
      </c>
      <c r="I16" s="9">
        <v>45034</v>
      </c>
      <c r="J16" s="10" t="s">
        <v>56</v>
      </c>
    </row>
    <row r="17" spans="1:10">
      <c r="A17" s="10" t="s">
        <v>283</v>
      </c>
      <c r="B17" s="10" t="s">
        <v>284</v>
      </c>
      <c r="C17" s="8" t="s">
        <v>254</v>
      </c>
      <c r="D17" s="8" t="s">
        <v>258</v>
      </c>
      <c r="E17" s="8" t="s">
        <v>258</v>
      </c>
      <c r="F17" s="8" t="s">
        <v>254</v>
      </c>
      <c r="G17" s="8" t="s">
        <v>258</v>
      </c>
      <c r="H17" s="9">
        <v>43548</v>
      </c>
      <c r="I17" s="9">
        <v>45375</v>
      </c>
      <c r="J17" s="10" t="s">
        <v>263</v>
      </c>
    </row>
    <row r="18" spans="1:10">
      <c r="A18" s="4" t="s">
        <v>285</v>
      </c>
      <c r="B18" s="4" t="s">
        <v>58</v>
      </c>
      <c r="C18" s="8" t="s">
        <v>258</v>
      </c>
      <c r="D18" s="8" t="s">
        <v>254</v>
      </c>
      <c r="E18" s="8" t="s">
        <v>254</v>
      </c>
      <c r="F18" s="8" t="s">
        <v>254</v>
      </c>
      <c r="G18" s="8" t="s">
        <v>258</v>
      </c>
      <c r="H18" s="9">
        <v>43073</v>
      </c>
      <c r="I18" s="9">
        <v>44899</v>
      </c>
      <c r="J18" s="10" t="s">
        <v>261</v>
      </c>
    </row>
    <row r="19" spans="1:10">
      <c r="A19" s="4" t="s">
        <v>286</v>
      </c>
      <c r="B19" s="4" t="s">
        <v>59</v>
      </c>
      <c r="C19" s="8" t="s">
        <v>258</v>
      </c>
      <c r="D19" s="8"/>
      <c r="E19" s="8" t="s">
        <v>254</v>
      </c>
      <c r="F19" s="8" t="s">
        <v>258</v>
      </c>
      <c r="G19" s="8" t="s">
        <v>258</v>
      </c>
      <c r="H19" s="9">
        <v>42195</v>
      </c>
      <c r="I19" s="9">
        <v>45848</v>
      </c>
      <c r="J19" s="10" t="s">
        <v>263</v>
      </c>
    </row>
    <row r="20" spans="1:10">
      <c r="A20" s="4" t="s">
        <v>287</v>
      </c>
      <c r="B20" s="4" t="s">
        <v>60</v>
      </c>
      <c r="C20" s="8" t="s">
        <v>258</v>
      </c>
      <c r="D20" s="8" t="s">
        <v>258</v>
      </c>
      <c r="E20" s="8" t="s">
        <v>258</v>
      </c>
      <c r="F20" s="8" t="s">
        <v>258</v>
      </c>
      <c r="G20" s="8" t="s">
        <v>258</v>
      </c>
      <c r="H20" s="9">
        <v>43226</v>
      </c>
      <c r="I20" s="9">
        <v>45052</v>
      </c>
      <c r="J20" s="10" t="s">
        <v>266</v>
      </c>
    </row>
    <row r="21" spans="1:10">
      <c r="A21" s="4" t="s">
        <v>288</v>
      </c>
      <c r="B21" s="4" t="s">
        <v>61</v>
      </c>
      <c r="C21" s="8" t="s">
        <v>258</v>
      </c>
      <c r="D21" s="8" t="s">
        <v>258</v>
      </c>
      <c r="E21" s="8" t="s">
        <v>258</v>
      </c>
      <c r="F21" s="8" t="s">
        <v>258</v>
      </c>
      <c r="G21" s="8" t="s">
        <v>258</v>
      </c>
      <c r="H21" s="9">
        <v>42630</v>
      </c>
      <c r="I21" s="9">
        <v>46282</v>
      </c>
      <c r="J21" s="10" t="s">
        <v>263</v>
      </c>
    </row>
    <row r="23" spans="1:10">
      <c r="A23" s="12" t="s">
        <v>62</v>
      </c>
    </row>
    <row r="24" spans="1:10">
      <c r="A24" t="b">
        <f>AND(COUNTA(C3:G3)=5,YEAR(I3)=2022)</f>
        <v>0</v>
      </c>
    </row>
    <row r="26" spans="1:10">
      <c r="A26" s="11" t="s">
        <v>42</v>
      </c>
      <c r="B26" s="11" t="s">
        <v>43</v>
      </c>
      <c r="C26" s="11" t="s">
        <v>36</v>
      </c>
      <c r="D26" s="11" t="s">
        <v>53</v>
      </c>
    </row>
    <row r="27" spans="1:10">
      <c r="A27" s="10" t="s">
        <v>47</v>
      </c>
      <c r="B27" s="10" t="s">
        <v>48</v>
      </c>
      <c r="C27" s="9">
        <v>44916</v>
      </c>
      <c r="D27" s="10" t="s">
        <v>55</v>
      </c>
    </row>
    <row r="28" spans="1:10">
      <c r="A28" s="4" t="s">
        <v>57</v>
      </c>
      <c r="B28" s="4" t="s">
        <v>58</v>
      </c>
      <c r="C28" s="9">
        <v>44899</v>
      </c>
      <c r="D28" s="10" t="s">
        <v>54</v>
      </c>
    </row>
  </sheetData>
  <phoneticPr fontId="1" type="noConversion"/>
  <conditionalFormatting sqref="A3:J21">
    <cfRule type="expression" dxfId="0" priority="1">
      <formula>AND($I3&lt;=DATE(2024,12,31),$J3="책임매니저")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I22"/>
  <sheetViews>
    <sheetView workbookViewId="0"/>
  </sheetViews>
  <sheetFormatPr defaultRowHeight="16.5"/>
  <cols>
    <col min="1" max="1" width="12.375" bestFit="1" customWidth="1"/>
    <col min="4" max="4" width="32.875" bestFit="1" customWidth="1"/>
    <col min="5" max="5" width="12.75" customWidth="1"/>
    <col min="6" max="6" width="16.25" bestFit="1" customWidth="1"/>
    <col min="7" max="7" width="10.375" bestFit="1" customWidth="1"/>
    <col min="9" max="9" width="10.375" bestFit="1" customWidth="1"/>
  </cols>
  <sheetData>
    <row r="1" spans="1:9">
      <c r="A1" t="s">
        <v>92</v>
      </c>
    </row>
    <row r="2" spans="1:9">
      <c r="A2" s="22" t="s">
        <v>93</v>
      </c>
      <c r="B2" s="22" t="s">
        <v>94</v>
      </c>
      <c r="C2" s="22" t="s">
        <v>95</v>
      </c>
      <c r="D2" s="22" t="s">
        <v>96</v>
      </c>
      <c r="E2" s="22" t="s">
        <v>97</v>
      </c>
      <c r="F2" s="22" t="s">
        <v>98</v>
      </c>
      <c r="G2" s="22" t="s">
        <v>99</v>
      </c>
      <c r="H2" s="22" t="s">
        <v>100</v>
      </c>
      <c r="I2" s="22" t="s">
        <v>101</v>
      </c>
    </row>
    <row r="3" spans="1:9">
      <c r="A3" s="22" t="s">
        <v>102</v>
      </c>
      <c r="B3" s="22" t="s">
        <v>103</v>
      </c>
      <c r="C3" s="23" t="s">
        <v>104</v>
      </c>
      <c r="D3" s="23" t="s">
        <v>105</v>
      </c>
      <c r="E3" s="24">
        <v>41019</v>
      </c>
      <c r="F3" s="23" t="s">
        <v>106</v>
      </c>
      <c r="G3" s="25">
        <v>78000</v>
      </c>
      <c r="H3" s="23">
        <v>5</v>
      </c>
      <c r="I3" s="25">
        <v>20000</v>
      </c>
    </row>
    <row r="4" spans="1:9">
      <c r="A4" s="22" t="s">
        <v>107</v>
      </c>
      <c r="B4" s="22" t="s">
        <v>108</v>
      </c>
      <c r="C4" s="23" t="s">
        <v>109</v>
      </c>
      <c r="D4" s="23" t="s">
        <v>110</v>
      </c>
      <c r="E4" s="24">
        <v>39374</v>
      </c>
      <c r="F4" s="23" t="s">
        <v>111</v>
      </c>
      <c r="G4" s="25">
        <v>1410000</v>
      </c>
      <c r="H4" s="23">
        <v>10</v>
      </c>
      <c r="I4" s="25">
        <v>10000</v>
      </c>
    </row>
    <row r="5" spans="1:9">
      <c r="A5" s="22" t="s">
        <v>112</v>
      </c>
      <c r="B5" s="22" t="s">
        <v>113</v>
      </c>
      <c r="C5" s="23" t="s">
        <v>109</v>
      </c>
      <c r="D5" s="23" t="s">
        <v>114</v>
      </c>
      <c r="E5" s="24">
        <v>41058</v>
      </c>
      <c r="F5" s="23" t="s">
        <v>115</v>
      </c>
      <c r="G5" s="25">
        <v>55000</v>
      </c>
      <c r="H5" s="23">
        <v>6</v>
      </c>
      <c r="I5" s="25">
        <v>50000</v>
      </c>
    </row>
    <row r="6" spans="1:9">
      <c r="A6" s="22" t="s">
        <v>116</v>
      </c>
      <c r="B6" s="22" t="s">
        <v>117</v>
      </c>
      <c r="C6" s="23" t="s">
        <v>109</v>
      </c>
      <c r="D6" s="23" t="s">
        <v>118</v>
      </c>
      <c r="E6" s="24">
        <v>39135</v>
      </c>
      <c r="F6" s="23" t="s">
        <v>106</v>
      </c>
      <c r="G6" s="25">
        <v>89000</v>
      </c>
      <c r="H6" s="23">
        <v>7</v>
      </c>
      <c r="I6" s="25">
        <v>20000</v>
      </c>
    </row>
    <row r="7" spans="1:9">
      <c r="A7" s="22" t="s">
        <v>119</v>
      </c>
      <c r="B7" s="22" t="s">
        <v>120</v>
      </c>
      <c r="C7" s="23" t="s">
        <v>104</v>
      </c>
      <c r="D7" s="23" t="s">
        <v>121</v>
      </c>
      <c r="E7" s="24">
        <v>39196</v>
      </c>
      <c r="F7" s="23" t="s">
        <v>111</v>
      </c>
      <c r="G7" s="25">
        <v>1980000</v>
      </c>
      <c r="H7" s="23">
        <v>15</v>
      </c>
      <c r="I7" s="25">
        <v>30000</v>
      </c>
    </row>
    <row r="8" spans="1:9">
      <c r="A8" s="22" t="s">
        <v>122</v>
      </c>
      <c r="B8" s="22" t="s">
        <v>122</v>
      </c>
      <c r="C8" s="23" t="s">
        <v>123</v>
      </c>
      <c r="D8" s="23" t="s">
        <v>124</v>
      </c>
      <c r="E8" s="24">
        <v>35130</v>
      </c>
      <c r="F8" s="23" t="s">
        <v>111</v>
      </c>
      <c r="G8" s="25">
        <v>2540000</v>
      </c>
      <c r="H8" s="23">
        <v>28</v>
      </c>
      <c r="I8" s="25">
        <v>20000</v>
      </c>
    </row>
    <row r="9" spans="1:9">
      <c r="A9" s="22" t="s">
        <v>125</v>
      </c>
      <c r="B9" s="22" t="s">
        <v>125</v>
      </c>
      <c r="C9" s="23" t="s">
        <v>123</v>
      </c>
      <c r="D9" s="23" t="s">
        <v>126</v>
      </c>
      <c r="E9" s="24">
        <v>36825</v>
      </c>
      <c r="F9" s="23" t="s">
        <v>115</v>
      </c>
      <c r="G9" s="25">
        <v>48000</v>
      </c>
      <c r="H9" s="23">
        <v>4</v>
      </c>
      <c r="I9" s="25">
        <v>40000</v>
      </c>
    </row>
    <row r="10" spans="1:9">
      <c r="A10" s="22" t="s">
        <v>127</v>
      </c>
      <c r="B10" s="22" t="s">
        <v>127</v>
      </c>
      <c r="C10" s="23" t="s">
        <v>123</v>
      </c>
      <c r="D10" s="23" t="s">
        <v>128</v>
      </c>
      <c r="E10" s="24">
        <v>36504</v>
      </c>
      <c r="F10" s="23" t="s">
        <v>106</v>
      </c>
      <c r="G10" s="25">
        <v>65000</v>
      </c>
      <c r="H10" s="23">
        <v>5</v>
      </c>
      <c r="I10" s="25">
        <v>10000</v>
      </c>
    </row>
    <row r="11" spans="1:9">
      <c r="A11" s="22" t="s">
        <v>129</v>
      </c>
      <c r="B11" s="22" t="s">
        <v>129</v>
      </c>
      <c r="C11" s="23" t="s">
        <v>123</v>
      </c>
      <c r="D11" s="23" t="s">
        <v>130</v>
      </c>
      <c r="E11" s="24">
        <v>40008</v>
      </c>
      <c r="F11" s="23" t="s">
        <v>106</v>
      </c>
      <c r="G11" s="25">
        <v>108000</v>
      </c>
      <c r="H11" s="23">
        <v>8</v>
      </c>
      <c r="I11" s="25">
        <v>20000</v>
      </c>
    </row>
    <row r="12" spans="1:9">
      <c r="A12" s="22" t="s">
        <v>131</v>
      </c>
      <c r="B12" s="22" t="s">
        <v>132</v>
      </c>
      <c r="C12" s="23" t="s">
        <v>133</v>
      </c>
      <c r="D12" s="23" t="s">
        <v>134</v>
      </c>
      <c r="E12" s="24">
        <v>37718</v>
      </c>
      <c r="F12" s="23" t="s">
        <v>135</v>
      </c>
      <c r="G12" s="25">
        <v>985700</v>
      </c>
      <c r="H12" s="23">
        <v>9</v>
      </c>
      <c r="I12" s="25">
        <v>30000</v>
      </c>
    </row>
    <row r="13" spans="1:9">
      <c r="A13" s="22" t="s">
        <v>136</v>
      </c>
      <c r="B13" s="22" t="s">
        <v>137</v>
      </c>
      <c r="C13" s="23" t="s">
        <v>133</v>
      </c>
      <c r="D13" s="23" t="s">
        <v>138</v>
      </c>
      <c r="E13" s="24">
        <v>38638</v>
      </c>
      <c r="F13" s="23" t="s">
        <v>135</v>
      </c>
      <c r="G13" s="25">
        <v>1697000</v>
      </c>
      <c r="H13" s="23">
        <v>11</v>
      </c>
      <c r="I13" s="25">
        <v>50000</v>
      </c>
    </row>
    <row r="14" spans="1:9">
      <c r="A14" s="22" t="s">
        <v>139</v>
      </c>
      <c r="B14" s="22" t="s">
        <v>140</v>
      </c>
      <c r="C14" s="23" t="s">
        <v>133</v>
      </c>
      <c r="D14" s="23" t="s">
        <v>141</v>
      </c>
      <c r="E14" s="24">
        <v>41276</v>
      </c>
      <c r="F14" s="23" t="s">
        <v>135</v>
      </c>
      <c r="G14" s="25">
        <v>2078000</v>
      </c>
      <c r="H14" s="23">
        <v>18</v>
      </c>
      <c r="I14" s="25">
        <v>20000</v>
      </c>
    </row>
    <row r="15" spans="1:9">
      <c r="A15" s="22" t="s">
        <v>142</v>
      </c>
      <c r="B15" s="22" t="s">
        <v>143</v>
      </c>
      <c r="C15" s="23" t="s">
        <v>144</v>
      </c>
      <c r="D15" s="23" t="s">
        <v>145</v>
      </c>
      <c r="E15" s="24">
        <v>41931</v>
      </c>
      <c r="F15" s="23" t="s">
        <v>115</v>
      </c>
      <c r="G15" s="25">
        <v>5500</v>
      </c>
      <c r="H15" s="23">
        <v>0</v>
      </c>
      <c r="I15" s="25">
        <v>0</v>
      </c>
    </row>
    <row r="16" spans="1:9">
      <c r="A16" s="22" t="s">
        <v>146</v>
      </c>
      <c r="B16" s="22" t="s">
        <v>147</v>
      </c>
      <c r="C16" s="23" t="s">
        <v>148</v>
      </c>
      <c r="D16" s="23" t="s">
        <v>149</v>
      </c>
      <c r="E16" s="24">
        <v>42014</v>
      </c>
      <c r="F16" s="23" t="s">
        <v>135</v>
      </c>
      <c r="G16" s="25">
        <v>59700</v>
      </c>
      <c r="H16" s="23">
        <v>5</v>
      </c>
      <c r="I16" s="25">
        <v>30000</v>
      </c>
    </row>
    <row r="17" spans="1:9">
      <c r="A17" s="22" t="s">
        <v>150</v>
      </c>
      <c r="B17" s="22" t="s">
        <v>151</v>
      </c>
      <c r="C17" s="23" t="s">
        <v>104</v>
      </c>
      <c r="D17" s="23" t="s">
        <v>152</v>
      </c>
      <c r="E17" s="24">
        <v>41764</v>
      </c>
      <c r="F17" s="23" t="s">
        <v>115</v>
      </c>
      <c r="G17" s="25">
        <v>68000</v>
      </c>
      <c r="H17" s="23">
        <v>4</v>
      </c>
      <c r="I17" s="25">
        <v>20000</v>
      </c>
    </row>
    <row r="18" spans="1:9">
      <c r="A18" s="22" t="s">
        <v>153</v>
      </c>
      <c r="B18" s="22" t="s">
        <v>153</v>
      </c>
      <c r="C18" s="23" t="s">
        <v>123</v>
      </c>
      <c r="D18" s="23" t="s">
        <v>154</v>
      </c>
      <c r="E18" s="24">
        <v>41885</v>
      </c>
      <c r="F18" s="23" t="s">
        <v>111</v>
      </c>
      <c r="G18" s="25">
        <v>789400</v>
      </c>
      <c r="H18" s="23">
        <v>7</v>
      </c>
      <c r="I18" s="25">
        <v>10000</v>
      </c>
    </row>
    <row r="19" spans="1:9">
      <c r="A19" s="22" t="s">
        <v>155</v>
      </c>
      <c r="B19" s="22" t="s">
        <v>155</v>
      </c>
      <c r="C19" s="23" t="s">
        <v>123</v>
      </c>
      <c r="D19" s="23" t="s">
        <v>156</v>
      </c>
      <c r="E19" s="24">
        <v>41403</v>
      </c>
      <c r="F19" s="23" t="s">
        <v>106</v>
      </c>
      <c r="G19" s="25">
        <v>98000</v>
      </c>
      <c r="H19" s="23">
        <v>4</v>
      </c>
      <c r="I19" s="25">
        <v>100000</v>
      </c>
    </row>
    <row r="20" spans="1:9">
      <c r="A20" s="22" t="s">
        <v>157</v>
      </c>
      <c r="B20" s="22" t="s">
        <v>158</v>
      </c>
      <c r="C20" s="23" t="s">
        <v>133</v>
      </c>
      <c r="D20" s="23" t="s">
        <v>159</v>
      </c>
      <c r="E20" s="24">
        <v>42004</v>
      </c>
      <c r="F20" s="23" t="s">
        <v>135</v>
      </c>
      <c r="G20" s="25">
        <v>190000</v>
      </c>
      <c r="H20" s="23">
        <v>5</v>
      </c>
      <c r="I20" s="25">
        <v>30000</v>
      </c>
    </row>
    <row r="21" spans="1:9">
      <c r="A21" s="22" t="s">
        <v>160</v>
      </c>
      <c r="B21" s="22" t="s">
        <v>161</v>
      </c>
      <c r="C21" s="23" t="s">
        <v>162</v>
      </c>
      <c r="D21" s="23" t="s">
        <v>163</v>
      </c>
      <c r="E21" s="24">
        <v>42038</v>
      </c>
      <c r="F21" s="23" t="s">
        <v>135</v>
      </c>
      <c r="G21" s="25">
        <v>230000</v>
      </c>
      <c r="H21" s="23">
        <v>6</v>
      </c>
      <c r="I21" s="25">
        <v>20000</v>
      </c>
    </row>
    <row r="22" spans="1:9">
      <c r="A22" s="22" t="s">
        <v>164</v>
      </c>
      <c r="B22" s="22" t="s">
        <v>165</v>
      </c>
      <c r="C22" s="23" t="s">
        <v>166</v>
      </c>
      <c r="D22" s="23" t="s">
        <v>167</v>
      </c>
      <c r="E22" s="24">
        <v>41954</v>
      </c>
      <c r="F22" s="23" t="s">
        <v>111</v>
      </c>
      <c r="G22" s="25">
        <v>1200000</v>
      </c>
      <c r="H22" s="23">
        <v>7</v>
      </c>
      <c r="I22" s="25">
        <v>30000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scale="99" orientation="landscape" r:id="rId1"/>
  <headerFooter>
    <oddHeader>&amp;R&amp;D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2"/>
  <sheetViews>
    <sheetView workbookViewId="0">
      <selection activeCell="I3" sqref="I3"/>
    </sheetView>
  </sheetViews>
  <sheetFormatPr defaultColWidth="8.625" defaultRowHeight="16.5"/>
  <cols>
    <col min="1" max="1" width="8.625" style="2"/>
    <col min="2" max="2" width="16.5" style="2" bestFit="1" customWidth="1"/>
    <col min="3" max="3" width="13.125" style="2" bestFit="1" customWidth="1"/>
    <col min="4" max="4" width="13.25" style="2" bestFit="1" customWidth="1"/>
    <col min="5" max="5" width="12.125" style="2" customWidth="1"/>
    <col min="6" max="6" width="11.125" style="2" bestFit="1" customWidth="1"/>
    <col min="7" max="7" width="1.625" style="2" customWidth="1"/>
    <col min="8" max="8" width="13.375" style="2" customWidth="1"/>
    <col min="9" max="9" width="22.625" style="2" bestFit="1" customWidth="1"/>
    <col min="10" max="10" width="16.125" style="2" customWidth="1"/>
    <col min="11" max="11" width="8.875" style="2" bestFit="1" customWidth="1"/>
    <col min="12" max="16384" width="8.625" style="2"/>
  </cols>
  <sheetData>
    <row r="1" spans="1:13">
      <c r="A1" s="27" t="s">
        <v>169</v>
      </c>
      <c r="B1" s="27"/>
      <c r="C1" s="27"/>
      <c r="D1" s="27"/>
      <c r="E1" s="1" t="s">
        <v>170</v>
      </c>
      <c r="F1" s="28">
        <v>45659</v>
      </c>
      <c r="G1" s="1"/>
      <c r="H1" s="1" t="s">
        <v>171</v>
      </c>
      <c r="I1" s="1"/>
      <c r="J1" s="1"/>
      <c r="K1" s="1"/>
      <c r="L1" s="19"/>
      <c r="M1" s="19"/>
    </row>
    <row r="2" spans="1:13">
      <c r="A2" s="4" t="s">
        <v>172</v>
      </c>
      <c r="B2" s="4" t="s">
        <v>173</v>
      </c>
      <c r="C2" s="4" t="s">
        <v>174</v>
      </c>
      <c r="D2" s="4" t="s">
        <v>175</v>
      </c>
      <c r="E2" s="29" t="s">
        <v>176</v>
      </c>
      <c r="F2" s="29" t="s">
        <v>177</v>
      </c>
      <c r="G2" s="1"/>
      <c r="H2" s="30"/>
      <c r="I2" s="29" t="s">
        <v>178</v>
      </c>
      <c r="J2" s="29" t="s">
        <v>179</v>
      </c>
      <c r="K2" s="29" t="s">
        <v>180</v>
      </c>
      <c r="L2" s="19"/>
      <c r="M2" s="19"/>
    </row>
    <row r="3" spans="1:13">
      <c r="A3" s="4" t="s">
        <v>181</v>
      </c>
      <c r="B3" s="31">
        <v>43486</v>
      </c>
      <c r="C3" s="4" t="s">
        <v>182</v>
      </c>
      <c r="D3" s="4" t="s">
        <v>183</v>
      </c>
      <c r="E3" s="4" t="str">
        <f>QUOTIENT($F$1-B3,365)&amp;"년 "&amp;QUOTIENT(MOD($F$1-B3,365),30)&amp;"개월"</f>
        <v>5년 11개월</v>
      </c>
      <c r="F3" s="4" t="str" cm="1">
        <f t="array" ref="F3">fn수수료(A3)</f>
        <v>5% 할인</v>
      </c>
      <c r="G3" s="1"/>
      <c r="H3" s="29" t="s">
        <v>182</v>
      </c>
      <c r="I3" s="4" t="str">
        <f t="array" ref="I3">TEXT(MIN(IF((LEFT($A$3:$A$20,2)=I$2)*($C$3:$C$20=$H3),$B$3:$B$20)),"yyyy년도")</f>
        <v>2010년도</v>
      </c>
      <c r="J3" s="4" t="str">
        <f t="array" ref="J3">TEXT(MIN(IF((LEFT($A$3:$A$20,2)=J$2)*($C$3:$C$20=$H3),$B$3:$B$20)),"yyyy년도")</f>
        <v>2020년도</v>
      </c>
      <c r="K3" s="4" t="str">
        <f t="array" ref="K3">TEXT(MIN(IF((LEFT($A$3:$A$20,2)=K$2)*($C$3:$C$20=$H3),$B$3:$B$20)),"yyyy년도")</f>
        <v>2016년도</v>
      </c>
      <c r="L3" s="19"/>
      <c r="M3" s="19"/>
    </row>
    <row r="4" spans="1:13">
      <c r="A4" s="4" t="s">
        <v>181</v>
      </c>
      <c r="B4" s="31">
        <v>44322</v>
      </c>
      <c r="C4" s="4" t="s">
        <v>184</v>
      </c>
      <c r="D4" s="4" t="s">
        <v>185</v>
      </c>
      <c r="E4" s="4" t="str">
        <f t="shared" ref="E4:E20" si="0">QUOTIENT($F$1-B4,365)&amp;"년 "&amp;QUOTIENT(MOD($F$1-B4,365),30)&amp;"개월"</f>
        <v>3년 8개월</v>
      </c>
      <c r="F4" s="4" t="str" cm="1">
        <f t="array" ref="F4">fn수수료(A4)</f>
        <v>5% 할인</v>
      </c>
      <c r="G4" s="1"/>
      <c r="H4" s="29" t="s">
        <v>186</v>
      </c>
      <c r="I4" s="4" t="str">
        <f t="array" ref="I4">TEXT(MIN(IF((LEFT($A$3:$A$20,2)=I$2)*($C$3:$C$20=$H4),$B$3:$B$20)),"yyyy년도")</f>
        <v>2018년도</v>
      </c>
      <c r="J4" s="4" t="str">
        <f t="array" ref="J4">TEXT(MIN(IF((LEFT($A$3:$A$20,2)=J$2)*($C$3:$C$20=$H4),$B$3:$B$20)),"yyyy년도")</f>
        <v>2017년도</v>
      </c>
      <c r="K4" s="4" t="str">
        <f t="array" ref="K4">TEXT(MIN(IF((LEFT($A$3:$A$20,2)=K$2)*($C$3:$C$20=$H4),$B$3:$B$20)),"yyyy년도")</f>
        <v>2018년도</v>
      </c>
      <c r="L4" s="19"/>
      <c r="M4" s="19"/>
    </row>
    <row r="5" spans="1:13">
      <c r="A5" s="4" t="s">
        <v>187</v>
      </c>
      <c r="B5" s="31">
        <v>44868</v>
      </c>
      <c r="C5" s="4" t="s">
        <v>184</v>
      </c>
      <c r="D5" s="4" t="s">
        <v>188</v>
      </c>
      <c r="E5" s="4" t="str">
        <f t="shared" si="0"/>
        <v>2년 2개월</v>
      </c>
      <c r="F5" s="4" t="str" cm="1">
        <f t="array" ref="F5">fn수수료(A5)</f>
        <v>없음</v>
      </c>
      <c r="G5" s="1"/>
      <c r="H5" s="1"/>
      <c r="I5" s="1"/>
      <c r="J5" s="1"/>
      <c r="K5" s="1"/>
      <c r="L5" s="19"/>
      <c r="M5" s="19"/>
    </row>
    <row r="6" spans="1:13">
      <c r="A6" s="4" t="s">
        <v>189</v>
      </c>
      <c r="B6" s="31">
        <v>42802</v>
      </c>
      <c r="C6" s="4" t="s">
        <v>190</v>
      </c>
      <c r="D6" s="4" t="s">
        <v>185</v>
      </c>
      <c r="E6" s="4" t="str">
        <f t="shared" si="0"/>
        <v>7년 10개월</v>
      </c>
      <c r="F6" s="4" t="str" cm="1">
        <f t="array" ref="F6">fn수수료(A6)</f>
        <v>없음</v>
      </c>
      <c r="G6" s="1"/>
      <c r="H6" s="1" t="s">
        <v>191</v>
      </c>
      <c r="I6" s="1"/>
      <c r="J6" s="1"/>
      <c r="K6" s="1"/>
      <c r="L6" s="19"/>
      <c r="M6" s="19"/>
    </row>
    <row r="7" spans="1:13">
      <c r="A7" s="4" t="s">
        <v>192</v>
      </c>
      <c r="B7" s="31">
        <v>44394</v>
      </c>
      <c r="C7" s="4" t="s">
        <v>182</v>
      </c>
      <c r="D7" s="4" t="s">
        <v>188</v>
      </c>
      <c r="E7" s="4" t="str">
        <f t="shared" si="0"/>
        <v>3년 5개월</v>
      </c>
      <c r="F7" s="4" t="str" cm="1">
        <f t="array" ref="F7">fn수수료(A7)</f>
        <v>10% 할인</v>
      </c>
      <c r="G7" s="1"/>
      <c r="H7" s="4" t="s">
        <v>193</v>
      </c>
      <c r="I7" s="4" t="s">
        <v>194</v>
      </c>
      <c r="J7" s="29" t="s">
        <v>195</v>
      </c>
      <c r="K7" s="1"/>
      <c r="L7" s="19"/>
      <c r="M7" s="19"/>
    </row>
    <row r="8" spans="1:13">
      <c r="A8" s="4" t="s">
        <v>196</v>
      </c>
      <c r="B8" s="31">
        <v>40430</v>
      </c>
      <c r="C8" s="4" t="s">
        <v>182</v>
      </c>
      <c r="D8" s="4" t="s">
        <v>185</v>
      </c>
      <c r="E8" s="4" t="str">
        <f t="shared" si="0"/>
        <v>14년 3개월</v>
      </c>
      <c r="F8" s="4" t="str" cm="1">
        <f t="array" ref="F8">fn수수료(A8)</f>
        <v>5% 할인</v>
      </c>
      <c r="G8" s="1"/>
      <c r="H8" s="4" t="s">
        <v>197</v>
      </c>
      <c r="I8" s="4" t="s">
        <v>198</v>
      </c>
      <c r="J8" s="4" t="str">
        <f>IFERROR(LEFT(I8,FIND(",",I8)-1),I8)</f>
        <v>터피넛라떼</v>
      </c>
      <c r="K8" s="1"/>
      <c r="L8" s="19"/>
      <c r="M8" s="19"/>
    </row>
    <row r="9" spans="1:13">
      <c r="A9" s="4" t="s">
        <v>181</v>
      </c>
      <c r="B9" s="31">
        <v>43402</v>
      </c>
      <c r="C9" s="4" t="s">
        <v>184</v>
      </c>
      <c r="D9" s="4" t="s">
        <v>183</v>
      </c>
      <c r="E9" s="4" t="str">
        <f t="shared" si="0"/>
        <v>6년 2개월</v>
      </c>
      <c r="F9" s="4" t="str" cm="1">
        <f t="array" ref="F9">fn수수료(A9)</f>
        <v>5% 할인</v>
      </c>
      <c r="G9" s="1"/>
      <c r="H9" s="4" t="s">
        <v>199</v>
      </c>
      <c r="I9" s="4" t="s">
        <v>200</v>
      </c>
      <c r="J9" s="4" t="str">
        <f t="shared" ref="J9:J20" si="1">IFERROR(LEFT(I9,FIND(",",I9)-1),I9)</f>
        <v>푸라푸치노</v>
      </c>
      <c r="K9" s="1"/>
      <c r="L9" s="19"/>
      <c r="M9" s="19"/>
    </row>
    <row r="10" spans="1:13">
      <c r="A10" s="4" t="s">
        <v>192</v>
      </c>
      <c r="B10" s="31">
        <v>43685</v>
      </c>
      <c r="C10" s="4" t="s">
        <v>201</v>
      </c>
      <c r="D10" s="4" t="s">
        <v>183</v>
      </c>
      <c r="E10" s="4" t="str">
        <f t="shared" si="0"/>
        <v>5년 4개월</v>
      </c>
      <c r="F10" s="4" t="str" cm="1">
        <f t="array" ref="F10">fn수수료(A10)</f>
        <v>10% 할인</v>
      </c>
      <c r="G10" s="1"/>
      <c r="H10" s="4" t="s">
        <v>202</v>
      </c>
      <c r="I10" s="4" t="s">
        <v>203</v>
      </c>
      <c r="J10" s="4" t="str">
        <f t="shared" si="1"/>
        <v>로알밀크티</v>
      </c>
      <c r="K10" s="1"/>
      <c r="L10" s="19"/>
      <c r="M10" s="19"/>
    </row>
    <row r="11" spans="1:13">
      <c r="A11" s="4" t="s">
        <v>204</v>
      </c>
      <c r="B11" s="31">
        <v>43835</v>
      </c>
      <c r="C11" s="4" t="s">
        <v>184</v>
      </c>
      <c r="D11" s="4" t="s">
        <v>188</v>
      </c>
      <c r="E11" s="4" t="str">
        <f t="shared" si="0"/>
        <v>4년 12개월</v>
      </c>
      <c r="F11" s="4" t="str" cm="1">
        <f t="array" ref="F11">fn수수료(A11)</f>
        <v>없음</v>
      </c>
      <c r="G11" s="1"/>
      <c r="H11" s="4" t="s">
        <v>205</v>
      </c>
      <c r="I11" s="4" t="s">
        <v>206</v>
      </c>
      <c r="J11" s="4" t="str">
        <f t="shared" si="1"/>
        <v>퐁크러시</v>
      </c>
      <c r="K11" s="1"/>
      <c r="L11" s="19"/>
      <c r="M11" s="19"/>
    </row>
    <row r="12" spans="1:13">
      <c r="A12" s="4" t="s">
        <v>192</v>
      </c>
      <c r="B12" s="31">
        <v>45089</v>
      </c>
      <c r="C12" s="4" t="s">
        <v>182</v>
      </c>
      <c r="D12" s="4" t="s">
        <v>183</v>
      </c>
      <c r="E12" s="4" t="str">
        <f t="shared" si="0"/>
        <v>1년 6개월</v>
      </c>
      <c r="F12" s="4" t="str" cm="1">
        <f t="array" ref="F12">fn수수료(A12)</f>
        <v>10% 할인</v>
      </c>
      <c r="G12" s="1"/>
      <c r="H12" s="4" t="s">
        <v>207</v>
      </c>
      <c r="I12" s="4" t="s">
        <v>208</v>
      </c>
      <c r="J12" s="4" t="str">
        <f t="shared" si="1"/>
        <v>흑당버블티</v>
      </c>
      <c r="K12" s="1"/>
      <c r="L12" s="19"/>
      <c r="M12" s="19"/>
    </row>
    <row r="13" spans="1:13">
      <c r="A13" s="4" t="s">
        <v>209</v>
      </c>
      <c r="B13" s="31">
        <v>44449</v>
      </c>
      <c r="C13" s="4" t="s">
        <v>182</v>
      </c>
      <c r="D13" s="4" t="s">
        <v>183</v>
      </c>
      <c r="E13" s="4" t="str">
        <f t="shared" si="0"/>
        <v>3년 3개월</v>
      </c>
      <c r="F13" s="4" t="str" cm="1">
        <f t="array" ref="F13">fn수수료(A13)</f>
        <v>없음</v>
      </c>
      <c r="G13" s="1"/>
      <c r="H13" s="4" t="s">
        <v>210</v>
      </c>
      <c r="I13" s="4" t="s">
        <v>211</v>
      </c>
      <c r="J13" s="4" t="str">
        <f t="shared" si="1"/>
        <v>메리메리딸기</v>
      </c>
      <c r="K13" s="1"/>
      <c r="L13" s="19"/>
      <c r="M13" s="19"/>
    </row>
    <row r="14" spans="1:13">
      <c r="A14" s="4" t="s">
        <v>212</v>
      </c>
      <c r="B14" s="31">
        <v>42623</v>
      </c>
      <c r="C14" s="4" t="s">
        <v>182</v>
      </c>
      <c r="D14" s="4" t="s">
        <v>188</v>
      </c>
      <c r="E14" s="4" t="str">
        <f t="shared" si="0"/>
        <v>8년 3개월</v>
      </c>
      <c r="F14" s="4" t="str" cm="1">
        <f t="array" ref="F14">fn수수료(A14)</f>
        <v>10% 할인</v>
      </c>
      <c r="G14" s="1"/>
      <c r="H14" s="4" t="s">
        <v>213</v>
      </c>
      <c r="I14" s="4" t="s">
        <v>214</v>
      </c>
      <c r="J14" s="4" t="str">
        <f t="shared" si="1"/>
        <v>청포도꽃</v>
      </c>
      <c r="K14" s="1"/>
      <c r="L14" s="19"/>
      <c r="M14" s="19"/>
    </row>
    <row r="15" spans="1:13">
      <c r="A15" s="4" t="s">
        <v>189</v>
      </c>
      <c r="B15" s="31">
        <v>44147</v>
      </c>
      <c r="C15" s="4" t="s">
        <v>182</v>
      </c>
      <c r="D15" s="4" t="s">
        <v>183</v>
      </c>
      <c r="E15" s="4" t="str">
        <f t="shared" si="0"/>
        <v>4년 1개월</v>
      </c>
      <c r="F15" s="4" t="str" cm="1">
        <f t="array" ref="F15">fn수수료(A15)</f>
        <v>없음</v>
      </c>
      <c r="G15" s="1"/>
      <c r="H15" s="4" t="s">
        <v>215</v>
      </c>
      <c r="I15" s="4" t="s">
        <v>216</v>
      </c>
      <c r="J15" s="4" t="str">
        <f t="shared" si="1"/>
        <v>브라운바블티</v>
      </c>
      <c r="K15" s="1"/>
      <c r="L15" s="19"/>
      <c r="M15" s="19"/>
    </row>
    <row r="16" spans="1:13">
      <c r="A16" s="4" t="s">
        <v>217</v>
      </c>
      <c r="B16" s="31">
        <v>43371</v>
      </c>
      <c r="C16" s="4" t="s">
        <v>184</v>
      </c>
      <c r="D16" s="4" t="s">
        <v>183</v>
      </c>
      <c r="E16" s="4" t="str">
        <f t="shared" si="0"/>
        <v>6년 3개월</v>
      </c>
      <c r="F16" s="4" t="str" cm="1">
        <f t="array" ref="F16">fn수수료(A16)</f>
        <v>5% 할인</v>
      </c>
      <c r="G16" s="1"/>
      <c r="H16" s="4" t="s">
        <v>218</v>
      </c>
      <c r="I16" s="4" t="s">
        <v>219</v>
      </c>
      <c r="J16" s="4" t="str">
        <f t="shared" si="1"/>
        <v xml:space="preserve"> 그라나따</v>
      </c>
      <c r="K16" s="1"/>
      <c r="L16" s="19"/>
      <c r="M16" s="19"/>
    </row>
    <row r="17" spans="1:13">
      <c r="A17" s="4" t="s">
        <v>181</v>
      </c>
      <c r="B17" s="31">
        <v>43456</v>
      </c>
      <c r="C17" s="4" t="s">
        <v>182</v>
      </c>
      <c r="D17" s="4" t="s">
        <v>188</v>
      </c>
      <c r="E17" s="4" t="str">
        <f t="shared" si="0"/>
        <v>6년 0개월</v>
      </c>
      <c r="F17" s="4" t="str" cm="1">
        <f t="array" ref="F17">fn수수료(A17)</f>
        <v>5% 할인</v>
      </c>
      <c r="G17" s="1"/>
      <c r="H17" s="4" t="s">
        <v>220</v>
      </c>
      <c r="I17" s="4" t="s">
        <v>221</v>
      </c>
      <c r="J17" s="4" t="str">
        <f t="shared" si="1"/>
        <v>바나나딜라이트</v>
      </c>
      <c r="K17" s="1"/>
      <c r="L17" s="19"/>
      <c r="M17" s="19"/>
    </row>
    <row r="18" spans="1:13">
      <c r="A18" s="4" t="s">
        <v>192</v>
      </c>
      <c r="B18" s="31">
        <v>43325</v>
      </c>
      <c r="C18" s="4" t="s">
        <v>184</v>
      </c>
      <c r="D18" s="4" t="s">
        <v>183</v>
      </c>
      <c r="E18" s="4" t="str">
        <f t="shared" si="0"/>
        <v>6년 4개월</v>
      </c>
      <c r="F18" s="4" t="str" cm="1">
        <f t="array" ref="F18">fn수수료(A18)</f>
        <v>10% 할인</v>
      </c>
      <c r="G18" s="1"/>
      <c r="H18" s="4" t="s">
        <v>222</v>
      </c>
      <c r="I18" s="4" t="s">
        <v>223</v>
      </c>
      <c r="J18" s="4" t="str">
        <f t="shared" si="1"/>
        <v>콜드브루</v>
      </c>
      <c r="K18" s="1"/>
      <c r="L18" s="19"/>
      <c r="M18" s="19"/>
    </row>
    <row r="19" spans="1:13">
      <c r="A19" s="4" t="s">
        <v>187</v>
      </c>
      <c r="B19" s="31">
        <v>43608</v>
      </c>
      <c r="C19" s="4" t="s">
        <v>186</v>
      </c>
      <c r="D19" s="4" t="s">
        <v>185</v>
      </c>
      <c r="E19" s="4" t="str">
        <f t="shared" si="0"/>
        <v>5년 7개월</v>
      </c>
      <c r="F19" s="4" t="str" cm="1">
        <f t="array" ref="F19">fn수수료(A19)</f>
        <v>없음</v>
      </c>
      <c r="G19" s="1"/>
      <c r="H19" s="4" t="s">
        <v>224</v>
      </c>
      <c r="I19" s="4" t="s">
        <v>225</v>
      </c>
      <c r="J19" s="4" t="str">
        <f t="shared" si="1"/>
        <v>호두치노</v>
      </c>
      <c r="K19" s="1"/>
      <c r="L19" s="19"/>
      <c r="M19" s="19"/>
    </row>
    <row r="20" spans="1:13">
      <c r="A20" s="4" t="s">
        <v>226</v>
      </c>
      <c r="B20" s="31">
        <v>42592</v>
      </c>
      <c r="C20" s="4" t="s">
        <v>227</v>
      </c>
      <c r="D20" s="4" t="s">
        <v>228</v>
      </c>
      <c r="E20" s="4" t="str">
        <f t="shared" si="0"/>
        <v>8년 4개월</v>
      </c>
      <c r="F20" s="4" t="str" cm="1">
        <f t="array" ref="F20">fn수수료(A20)</f>
        <v>5% 할인</v>
      </c>
      <c r="G20" s="1"/>
      <c r="H20" s="4" t="s">
        <v>229</v>
      </c>
      <c r="I20" s="4" t="s">
        <v>230</v>
      </c>
      <c r="J20" s="4" t="str">
        <f t="shared" si="1"/>
        <v>블랙포라스트</v>
      </c>
      <c r="K20" s="1"/>
      <c r="L20" s="19"/>
      <c r="M20" s="19"/>
    </row>
    <row r="21" spans="1:13">
      <c r="A21" s="27"/>
      <c r="B21" s="27"/>
      <c r="C21" s="27"/>
      <c r="D21" s="27"/>
      <c r="E21" s="19"/>
      <c r="F21" s="19"/>
      <c r="G21" s="19"/>
      <c r="H21" s="19"/>
      <c r="I21" s="19"/>
      <c r="J21" s="19"/>
      <c r="K21" s="19"/>
      <c r="L21" s="19"/>
      <c r="M21" s="19"/>
    </row>
    <row r="22" spans="1:13">
      <c r="A22" s="1" t="s">
        <v>231</v>
      </c>
      <c r="B22" s="27"/>
      <c r="C22" s="27"/>
      <c r="D22" s="27"/>
      <c r="E22" s="1"/>
      <c r="F22" s="19"/>
      <c r="G22" s="19"/>
      <c r="H22" s="19"/>
      <c r="I22" s="19"/>
      <c r="J22" s="19"/>
      <c r="K22" s="19"/>
      <c r="L22" s="19"/>
      <c r="M22" s="19"/>
    </row>
    <row r="23" spans="1:13">
      <c r="A23" s="4" t="s">
        <v>232</v>
      </c>
      <c r="B23" s="4" t="s">
        <v>233</v>
      </c>
      <c r="C23" s="4" t="s">
        <v>234</v>
      </c>
      <c r="D23" s="4" t="s">
        <v>235</v>
      </c>
      <c r="E23" s="29" t="s">
        <v>236</v>
      </c>
      <c r="F23" s="19"/>
      <c r="G23" s="19"/>
      <c r="H23" s="19"/>
      <c r="I23" s="19"/>
      <c r="J23" s="19"/>
      <c r="K23" s="19"/>
      <c r="L23" s="19"/>
      <c r="M23" s="19"/>
    </row>
    <row r="24" spans="1:13">
      <c r="A24" s="4" t="s">
        <v>237</v>
      </c>
      <c r="B24" s="4" t="s">
        <v>238</v>
      </c>
      <c r="C24" s="32">
        <v>10000000</v>
      </c>
      <c r="D24" s="33">
        <v>2</v>
      </c>
      <c r="E24" s="34" t="str">
        <f>TEXT(PMT(IF(B24="A",3%,5%)/12,D24*12,-C24,,1),"#,##0원")</f>
        <v>428,740원</v>
      </c>
      <c r="F24" s="19"/>
      <c r="G24" s="19"/>
      <c r="H24" s="19"/>
      <c r="I24" s="19"/>
      <c r="J24" s="19"/>
      <c r="K24" s="19"/>
      <c r="L24" s="19"/>
      <c r="M24" s="19"/>
    </row>
    <row r="25" spans="1:13">
      <c r="A25" s="4" t="s">
        <v>239</v>
      </c>
      <c r="B25" s="4" t="s">
        <v>240</v>
      </c>
      <c r="C25" s="32">
        <v>10000000</v>
      </c>
      <c r="D25" s="33">
        <v>2</v>
      </c>
      <c r="E25" s="34" t="str">
        <f t="shared" ref="E25:E33" si="2">TEXT(PMT(IF(B25="A",3%,5%)/12,D25*12,-C25,,1),"#,##0원")</f>
        <v>436,894원</v>
      </c>
      <c r="F25" s="19"/>
      <c r="G25" s="19"/>
      <c r="H25" s="19"/>
      <c r="I25" s="19"/>
      <c r="J25" s="19"/>
      <c r="K25" s="19"/>
      <c r="L25" s="19"/>
      <c r="M25" s="19"/>
    </row>
    <row r="26" spans="1:13">
      <c r="A26" s="4" t="s">
        <v>241</v>
      </c>
      <c r="B26" s="4" t="s">
        <v>242</v>
      </c>
      <c r="C26" s="32">
        <v>10000000</v>
      </c>
      <c r="D26" s="33">
        <v>2</v>
      </c>
      <c r="E26" s="34" t="str">
        <f t="shared" si="2"/>
        <v>436,894원</v>
      </c>
      <c r="F26" s="19"/>
      <c r="G26" s="19"/>
      <c r="H26" s="19"/>
      <c r="I26" s="19"/>
      <c r="J26" s="19"/>
      <c r="K26" s="19"/>
      <c r="L26" s="19"/>
      <c r="M26" s="19"/>
    </row>
    <row r="27" spans="1:13">
      <c r="A27" s="4" t="s">
        <v>243</v>
      </c>
      <c r="B27" s="4" t="s">
        <v>244</v>
      </c>
      <c r="C27" s="32">
        <v>5000000</v>
      </c>
      <c r="D27" s="33">
        <v>3</v>
      </c>
      <c r="E27" s="34" t="str">
        <f t="shared" si="2"/>
        <v>149,233원</v>
      </c>
      <c r="F27" s="19"/>
      <c r="G27" s="19"/>
      <c r="H27" s="19"/>
      <c r="I27" s="19"/>
      <c r="J27" s="19"/>
      <c r="K27" s="19"/>
      <c r="L27" s="19"/>
      <c r="M27" s="19"/>
    </row>
    <row r="28" spans="1:13">
      <c r="A28" s="4" t="s">
        <v>245</v>
      </c>
      <c r="B28" s="4" t="s">
        <v>246</v>
      </c>
      <c r="C28" s="32">
        <v>5000000</v>
      </c>
      <c r="D28" s="33">
        <v>3</v>
      </c>
      <c r="E28" s="34" t="str">
        <f t="shared" si="2"/>
        <v>145,043원</v>
      </c>
      <c r="F28" s="19"/>
      <c r="G28" s="19"/>
      <c r="H28" s="19"/>
      <c r="I28" s="19"/>
      <c r="J28" s="19"/>
      <c r="K28" s="19"/>
      <c r="L28" s="19"/>
      <c r="M28" s="19"/>
    </row>
    <row r="29" spans="1:13">
      <c r="A29" s="4" t="s">
        <v>247</v>
      </c>
      <c r="B29" s="4" t="s">
        <v>248</v>
      </c>
      <c r="C29" s="32">
        <v>5000000</v>
      </c>
      <c r="D29" s="33">
        <v>3</v>
      </c>
      <c r="E29" s="34" t="str">
        <f t="shared" si="2"/>
        <v>149,233원</v>
      </c>
      <c r="F29" s="19"/>
      <c r="G29" s="19"/>
      <c r="H29" s="19"/>
      <c r="I29" s="19"/>
      <c r="J29" s="19"/>
      <c r="K29" s="19"/>
      <c r="L29" s="19"/>
      <c r="M29" s="19"/>
    </row>
    <row r="30" spans="1:13">
      <c r="A30" s="4" t="s">
        <v>249</v>
      </c>
      <c r="B30" s="4" t="s">
        <v>246</v>
      </c>
      <c r="C30" s="32">
        <v>25000000</v>
      </c>
      <c r="D30" s="33">
        <v>1</v>
      </c>
      <c r="E30" s="34" t="str">
        <f t="shared" si="2"/>
        <v>2,112,062원</v>
      </c>
      <c r="F30" s="19"/>
      <c r="G30" s="19"/>
      <c r="H30" s="19"/>
      <c r="I30" s="19"/>
      <c r="J30" s="19"/>
      <c r="K30" s="19"/>
      <c r="L30" s="19"/>
      <c r="M30" s="19"/>
    </row>
    <row r="31" spans="1:13">
      <c r="A31" s="4" t="s">
        <v>250</v>
      </c>
      <c r="B31" s="4" t="s">
        <v>244</v>
      </c>
      <c r="C31" s="32">
        <v>23000000</v>
      </c>
      <c r="D31" s="33">
        <v>1</v>
      </c>
      <c r="E31" s="34" t="str">
        <f t="shared" si="2"/>
        <v>1,960,802원</v>
      </c>
      <c r="F31" s="19"/>
      <c r="G31" s="19"/>
      <c r="H31" s="19"/>
      <c r="I31" s="19"/>
      <c r="J31" s="19"/>
      <c r="K31" s="19"/>
      <c r="L31" s="19"/>
      <c r="M31" s="19"/>
    </row>
    <row r="32" spans="1:13">
      <c r="A32" s="4" t="s">
        <v>251</v>
      </c>
      <c r="B32" s="4" t="s">
        <v>248</v>
      </c>
      <c r="C32" s="32">
        <v>25000000</v>
      </c>
      <c r="D32" s="33">
        <v>1</v>
      </c>
      <c r="E32" s="34" t="str">
        <f t="shared" si="2"/>
        <v>2,131,307원</v>
      </c>
      <c r="F32" s="19"/>
      <c r="G32" s="19"/>
      <c r="H32" s="19"/>
      <c r="I32" s="19"/>
      <c r="J32" s="19"/>
      <c r="K32" s="19"/>
      <c r="L32" s="19"/>
      <c r="M32" s="19"/>
    </row>
    <row r="33" spans="1:13">
      <c r="A33" s="4" t="s">
        <v>252</v>
      </c>
      <c r="B33" s="4" t="s">
        <v>246</v>
      </c>
      <c r="C33" s="32">
        <v>50000000</v>
      </c>
      <c r="D33" s="33">
        <v>3</v>
      </c>
      <c r="E33" s="34" t="str">
        <f t="shared" si="2"/>
        <v>1,450,434원</v>
      </c>
      <c r="F33" s="19"/>
      <c r="G33" s="19"/>
      <c r="H33" s="19"/>
      <c r="I33" s="19"/>
      <c r="J33" s="19"/>
      <c r="K33" s="19"/>
      <c r="L33" s="19"/>
      <c r="M33" s="19"/>
    </row>
    <row r="34" spans="1:13">
      <c r="A34" s="27"/>
      <c r="B34" s="27"/>
      <c r="C34" s="27"/>
      <c r="D34" s="27"/>
      <c r="E34" s="19"/>
      <c r="F34" s="19"/>
      <c r="G34" s="19"/>
      <c r="H34" s="19"/>
      <c r="I34" s="19"/>
      <c r="J34" s="19"/>
      <c r="K34" s="19"/>
      <c r="L34" s="19"/>
      <c r="M34" s="19"/>
    </row>
    <row r="35" spans="1:13">
      <c r="A35" s="27"/>
      <c r="B35" s="27"/>
      <c r="C35" s="27"/>
      <c r="D35" s="27"/>
      <c r="E35" s="19"/>
      <c r="F35" s="19"/>
      <c r="G35" s="19"/>
      <c r="H35" s="19"/>
      <c r="I35" s="19"/>
      <c r="J35" s="19"/>
      <c r="K35" s="19"/>
      <c r="L35" s="19"/>
      <c r="M35" s="19"/>
    </row>
    <row r="36" spans="1:13">
      <c r="A36" s="27"/>
      <c r="B36" s="27"/>
      <c r="C36" s="27"/>
      <c r="D36" s="27"/>
      <c r="E36" s="19"/>
      <c r="F36" s="19"/>
      <c r="G36" s="19"/>
      <c r="H36" s="19"/>
      <c r="I36" s="19"/>
      <c r="J36" s="19"/>
      <c r="K36" s="19"/>
      <c r="L36" s="19"/>
      <c r="M36" s="19"/>
    </row>
    <row r="37" spans="1:13">
      <c r="A37" s="27"/>
      <c r="B37" s="27"/>
      <c r="C37" s="27"/>
      <c r="D37" s="27"/>
      <c r="E37" s="19"/>
      <c r="F37" s="19"/>
      <c r="G37" s="19"/>
      <c r="H37" s="19"/>
      <c r="I37" s="19"/>
      <c r="J37" s="19"/>
      <c r="K37" s="19"/>
      <c r="L37" s="19"/>
      <c r="M37" s="19"/>
    </row>
    <row r="38" spans="1:13">
      <c r="A38" s="27"/>
      <c r="B38" s="27"/>
      <c r="C38" s="27"/>
      <c r="D38" s="27"/>
      <c r="E38" s="19"/>
      <c r="F38" s="19"/>
      <c r="G38" s="19"/>
      <c r="H38" s="19"/>
      <c r="I38" s="19"/>
      <c r="J38" s="19"/>
      <c r="K38" s="19"/>
      <c r="L38" s="19"/>
      <c r="M38" s="19"/>
    </row>
    <row r="39" spans="1:13">
      <c r="A39" s="27"/>
      <c r="B39" s="27"/>
      <c r="C39" s="27"/>
      <c r="D39" s="27"/>
      <c r="E39" s="19"/>
      <c r="F39" s="19"/>
      <c r="G39" s="19"/>
      <c r="H39" s="19"/>
      <c r="I39" s="19"/>
      <c r="J39" s="19"/>
      <c r="K39" s="19"/>
      <c r="L39" s="19"/>
      <c r="M39" s="19"/>
    </row>
    <row r="42" spans="1:13">
      <c r="L42" s="19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D4B55-F2B8-4CE4-9226-6A2335473020}">
  <sheetPr codeName="Sheet4"/>
  <dimension ref="B3:G22"/>
  <sheetViews>
    <sheetView workbookViewId="0"/>
  </sheetViews>
  <sheetFormatPr defaultRowHeight="16.5"/>
  <cols>
    <col min="2" max="2" width="7.5" bestFit="1" customWidth="1"/>
    <col min="3" max="3" width="19" bestFit="1" customWidth="1"/>
    <col min="4" max="7" width="9.375" bestFit="1" customWidth="1"/>
    <col min="8" max="8" width="12.375" bestFit="1" customWidth="1"/>
    <col min="9" max="14" width="19.375" bestFit="1" customWidth="1"/>
    <col min="15" max="15" width="24.25" bestFit="1" customWidth="1"/>
    <col min="16" max="17" width="18" bestFit="1" customWidth="1"/>
  </cols>
  <sheetData>
    <row r="3" spans="2:7">
      <c r="B3" s="14" t="s">
        <v>66</v>
      </c>
      <c r="C3" t="s">
        <v>65</v>
      </c>
    </row>
    <row r="5" spans="2:7">
      <c r="D5" s="14" t="s">
        <v>64</v>
      </c>
    </row>
    <row r="6" spans="2:7">
      <c r="B6" s="14" t="s">
        <v>71</v>
      </c>
      <c r="C6" s="14" t="s">
        <v>70</v>
      </c>
      <c r="D6">
        <v>201</v>
      </c>
      <c r="E6">
        <v>202</v>
      </c>
      <c r="F6">
        <v>203</v>
      </c>
      <c r="G6">
        <v>204</v>
      </c>
    </row>
    <row r="7" spans="2:7">
      <c r="B7">
        <v>153</v>
      </c>
      <c r="D7" s="15"/>
      <c r="E7" s="15"/>
      <c r="F7" s="15"/>
      <c r="G7" s="15"/>
    </row>
    <row r="8" spans="2:7">
      <c r="C8" t="s">
        <v>67</v>
      </c>
      <c r="D8" s="15">
        <v>439350</v>
      </c>
      <c r="E8" s="15">
        <v>0</v>
      </c>
      <c r="F8" s="15">
        <v>0</v>
      </c>
      <c r="G8" s="15">
        <v>0</v>
      </c>
    </row>
    <row r="9" spans="2:7">
      <c r="C9" t="s">
        <v>68</v>
      </c>
      <c r="D9" s="15">
        <v>247564</v>
      </c>
      <c r="E9" s="15">
        <v>0</v>
      </c>
      <c r="F9" s="15">
        <v>0</v>
      </c>
      <c r="G9" s="15">
        <v>0</v>
      </c>
    </row>
    <row r="10" spans="2:7">
      <c r="C10" t="s">
        <v>69</v>
      </c>
      <c r="D10" s="15">
        <v>280500</v>
      </c>
      <c r="E10" s="15">
        <v>0</v>
      </c>
      <c r="F10" s="15">
        <v>0</v>
      </c>
      <c r="G10" s="15">
        <v>0</v>
      </c>
    </row>
    <row r="11" spans="2:7">
      <c r="B11">
        <v>115</v>
      </c>
      <c r="D11" s="15"/>
      <c r="E11" s="15"/>
      <c r="F11" s="15"/>
      <c r="G11" s="15"/>
    </row>
    <row r="12" spans="2:7">
      <c r="C12" t="s">
        <v>67</v>
      </c>
      <c r="D12" s="15">
        <v>0</v>
      </c>
      <c r="E12" s="15">
        <v>353075</v>
      </c>
      <c r="F12" s="15">
        <v>0</v>
      </c>
      <c r="G12" s="15">
        <v>0</v>
      </c>
    </row>
    <row r="13" spans="2:7">
      <c r="C13" t="s">
        <v>68</v>
      </c>
      <c r="D13" s="15">
        <v>0</v>
      </c>
      <c r="E13" s="15">
        <v>205438</v>
      </c>
      <c r="F13" s="15">
        <v>0</v>
      </c>
      <c r="G13" s="15">
        <v>0</v>
      </c>
    </row>
    <row r="14" spans="2:7">
      <c r="C14" t="s">
        <v>69</v>
      </c>
      <c r="D14" s="15">
        <v>0</v>
      </c>
      <c r="E14" s="15">
        <v>207000</v>
      </c>
      <c r="F14" s="15">
        <v>0</v>
      </c>
      <c r="G14" s="15">
        <v>0</v>
      </c>
    </row>
    <row r="15" spans="2:7">
      <c r="B15">
        <v>96</v>
      </c>
      <c r="D15" s="15"/>
      <c r="E15" s="15"/>
      <c r="F15" s="15"/>
      <c r="G15" s="15"/>
    </row>
    <row r="16" spans="2:7">
      <c r="C16" t="s">
        <v>67</v>
      </c>
      <c r="D16" s="15">
        <v>0</v>
      </c>
      <c r="E16" s="15">
        <v>0</v>
      </c>
      <c r="F16" s="15">
        <v>427750</v>
      </c>
      <c r="G16" s="15">
        <v>0</v>
      </c>
    </row>
    <row r="17" spans="2:7">
      <c r="C17" t="s">
        <v>68</v>
      </c>
      <c r="D17" s="15">
        <v>0</v>
      </c>
      <c r="E17" s="15">
        <v>0</v>
      </c>
      <c r="F17" s="15">
        <v>155524</v>
      </c>
      <c r="G17" s="15">
        <v>0</v>
      </c>
    </row>
    <row r="18" spans="2:7">
      <c r="C18" t="s">
        <v>69</v>
      </c>
      <c r="D18" s="15">
        <v>0</v>
      </c>
      <c r="E18" s="15">
        <v>0</v>
      </c>
      <c r="F18" s="15">
        <v>184500</v>
      </c>
      <c r="G18" s="15">
        <v>0</v>
      </c>
    </row>
    <row r="19" spans="2:7">
      <c r="B19">
        <v>85</v>
      </c>
      <c r="D19" s="15"/>
      <c r="E19" s="15"/>
      <c r="F19" s="15"/>
      <c r="G19" s="15"/>
    </row>
    <row r="20" spans="2:7">
      <c r="C20" t="s">
        <v>67</v>
      </c>
      <c r="D20" s="15">
        <v>0</v>
      </c>
      <c r="E20" s="15">
        <v>0</v>
      </c>
      <c r="F20" s="15">
        <v>0</v>
      </c>
      <c r="G20" s="15">
        <v>294350</v>
      </c>
    </row>
    <row r="21" spans="2:7">
      <c r="C21" t="s">
        <v>68</v>
      </c>
      <c r="D21" s="15">
        <v>0</v>
      </c>
      <c r="E21" s="15">
        <v>0</v>
      </c>
      <c r="F21" s="15">
        <v>0</v>
      </c>
      <c r="G21" s="15">
        <v>199656</v>
      </c>
    </row>
    <row r="22" spans="2:7">
      <c r="C22" t="s">
        <v>69</v>
      </c>
      <c r="D22" s="15">
        <v>0</v>
      </c>
      <c r="E22" s="15">
        <v>0</v>
      </c>
      <c r="F22" s="15">
        <v>0</v>
      </c>
      <c r="G22" s="15">
        <v>193500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F28"/>
  <sheetViews>
    <sheetView workbookViewId="0"/>
  </sheetViews>
  <sheetFormatPr defaultColWidth="9.125" defaultRowHeight="16.5" outlineLevelRow="3"/>
  <cols>
    <col min="1" max="2" width="9.125" style="1"/>
    <col min="3" max="3" width="11.25" style="1" bestFit="1" customWidth="1"/>
    <col min="4" max="16384" width="9.125" style="1"/>
  </cols>
  <sheetData>
    <row r="1" spans="1:6">
      <c r="A1" s="1" t="s">
        <v>168</v>
      </c>
    </row>
    <row r="2" spans="1:6">
      <c r="A2" s="19" t="s">
        <v>64</v>
      </c>
      <c r="B2" s="19" t="s">
        <v>66</v>
      </c>
      <c r="C2" s="19" t="s">
        <v>71</v>
      </c>
      <c r="D2" s="19" t="s">
        <v>84</v>
      </c>
      <c r="E2" s="19" t="s">
        <v>85</v>
      </c>
      <c r="F2" s="19" t="s">
        <v>86</v>
      </c>
    </row>
    <row r="3" spans="1:6" outlineLevel="3">
      <c r="A3" s="19">
        <v>201</v>
      </c>
      <c r="B3" s="19">
        <v>102</v>
      </c>
      <c r="C3" s="19">
        <v>153</v>
      </c>
      <c r="D3" s="19">
        <v>120</v>
      </c>
      <c r="E3" s="19">
        <v>500</v>
      </c>
      <c r="F3" s="19">
        <v>38</v>
      </c>
    </row>
    <row r="4" spans="1:6" outlineLevel="3">
      <c r="A4" s="19">
        <v>201</v>
      </c>
      <c r="B4" s="19">
        <v>202</v>
      </c>
      <c r="C4" s="19">
        <v>153</v>
      </c>
      <c r="D4" s="19">
        <v>135</v>
      </c>
      <c r="E4" s="19">
        <v>430</v>
      </c>
      <c r="F4" s="19">
        <v>40</v>
      </c>
    </row>
    <row r="5" spans="1:6" outlineLevel="3">
      <c r="A5" s="19">
        <v>201</v>
      </c>
      <c r="B5" s="19">
        <v>301</v>
      </c>
      <c r="C5" s="19">
        <v>153</v>
      </c>
      <c r="D5" s="19">
        <v>121</v>
      </c>
      <c r="E5" s="19">
        <v>395</v>
      </c>
      <c r="F5" s="19">
        <v>39</v>
      </c>
    </row>
    <row r="6" spans="1:6" outlineLevel="3">
      <c r="A6" s="19">
        <v>201</v>
      </c>
      <c r="B6" s="19">
        <v>501</v>
      </c>
      <c r="C6" s="19">
        <v>153</v>
      </c>
      <c r="D6" s="19">
        <v>119</v>
      </c>
      <c r="E6" s="19">
        <v>329</v>
      </c>
      <c r="F6" s="19">
        <v>34</v>
      </c>
    </row>
    <row r="7" spans="1:6" outlineLevel="3">
      <c r="A7" s="19">
        <v>201</v>
      </c>
      <c r="B7" s="19">
        <v>101</v>
      </c>
      <c r="C7" s="19">
        <v>153</v>
      </c>
      <c r="D7" s="19">
        <v>111</v>
      </c>
      <c r="E7" s="19">
        <v>444</v>
      </c>
      <c r="F7" s="19">
        <v>36</v>
      </c>
    </row>
    <row r="8" spans="1:6" outlineLevel="2">
      <c r="A8" s="19"/>
      <c r="B8" s="19"/>
      <c r="C8" s="20" t="s">
        <v>289</v>
      </c>
      <c r="D8" s="19">
        <f>SUBTOTAL(4,D3:D7)</f>
        <v>135</v>
      </c>
      <c r="E8" s="19">
        <f>SUBTOTAL(4,E3:E7)</f>
        <v>500</v>
      </c>
      <c r="F8" s="19">
        <f>SUBTOTAL(4,F3:F7)</f>
        <v>40</v>
      </c>
    </row>
    <row r="9" spans="1:6" outlineLevel="1">
      <c r="A9" s="19"/>
      <c r="B9" s="19"/>
      <c r="C9" s="20" t="s">
        <v>89</v>
      </c>
      <c r="D9" s="21">
        <f>SUBTOTAL(1,D3:D7)</f>
        <v>121.2</v>
      </c>
      <c r="E9" s="21">
        <f>SUBTOTAL(1,E3:E7)</f>
        <v>419.6</v>
      </c>
      <c r="F9" s="21">
        <f>SUBTOTAL(1,F3:F7)</f>
        <v>37.4</v>
      </c>
    </row>
    <row r="10" spans="1:6" outlineLevel="3">
      <c r="A10" s="19">
        <v>202</v>
      </c>
      <c r="B10" s="19">
        <v>501</v>
      </c>
      <c r="C10" s="19">
        <v>115</v>
      </c>
      <c r="D10" s="19">
        <v>85</v>
      </c>
      <c r="E10" s="19">
        <v>450</v>
      </c>
      <c r="F10" s="19">
        <v>21</v>
      </c>
    </row>
    <row r="11" spans="1:6" outlineLevel="3">
      <c r="A11" s="19">
        <v>202</v>
      </c>
      <c r="B11" s="19">
        <v>402</v>
      </c>
      <c r="C11" s="19">
        <v>115</v>
      </c>
      <c r="D11" s="19">
        <v>100</v>
      </c>
      <c r="E11" s="19">
        <v>310</v>
      </c>
      <c r="F11" s="19">
        <v>26</v>
      </c>
    </row>
    <row r="12" spans="1:6" outlineLevel="3">
      <c r="A12" s="19">
        <v>202</v>
      </c>
      <c r="B12" s="19">
        <v>102</v>
      </c>
      <c r="C12" s="19">
        <v>115</v>
      </c>
      <c r="D12" s="19">
        <v>110</v>
      </c>
      <c r="E12" s="19">
        <v>340</v>
      </c>
      <c r="F12" s="19">
        <v>32</v>
      </c>
    </row>
    <row r="13" spans="1:6" outlineLevel="3">
      <c r="A13" s="19">
        <v>202</v>
      </c>
      <c r="B13" s="19">
        <v>701</v>
      </c>
      <c r="C13" s="19">
        <v>115</v>
      </c>
      <c r="D13" s="19">
        <v>105</v>
      </c>
      <c r="E13" s="19">
        <v>330</v>
      </c>
      <c r="F13" s="19">
        <v>33</v>
      </c>
    </row>
    <row r="14" spans="1:6" outlineLevel="3">
      <c r="A14" s="19">
        <v>202</v>
      </c>
      <c r="B14" s="19">
        <v>201</v>
      </c>
      <c r="C14" s="19">
        <v>115</v>
      </c>
      <c r="D14" s="19">
        <v>87</v>
      </c>
      <c r="E14" s="19">
        <v>311</v>
      </c>
      <c r="F14" s="19">
        <v>26</v>
      </c>
    </row>
    <row r="15" spans="1:6" outlineLevel="2">
      <c r="A15" s="19"/>
      <c r="B15" s="19"/>
      <c r="C15" s="20" t="s">
        <v>290</v>
      </c>
      <c r="D15" s="19">
        <f>SUBTOTAL(4,D10:D14)</f>
        <v>110</v>
      </c>
      <c r="E15" s="19">
        <f>SUBTOTAL(4,E10:E14)</f>
        <v>450</v>
      </c>
      <c r="F15" s="19">
        <f>SUBTOTAL(4,F10:F14)</f>
        <v>33</v>
      </c>
    </row>
    <row r="16" spans="1:6" outlineLevel="1">
      <c r="A16" s="19"/>
      <c r="B16" s="19"/>
      <c r="C16" s="20" t="s">
        <v>88</v>
      </c>
      <c r="D16" s="21">
        <f>SUBTOTAL(1,D10:D14)</f>
        <v>97.4</v>
      </c>
      <c r="E16" s="21">
        <f>SUBTOTAL(1,E10:E14)</f>
        <v>348.2</v>
      </c>
      <c r="F16" s="21">
        <f>SUBTOTAL(1,F10:F14)</f>
        <v>27.6</v>
      </c>
    </row>
    <row r="17" spans="1:6" outlineLevel="3">
      <c r="A17" s="19">
        <v>204</v>
      </c>
      <c r="B17" s="19">
        <v>501</v>
      </c>
      <c r="C17" s="19">
        <v>85</v>
      </c>
      <c r="D17" s="19">
        <v>75</v>
      </c>
      <c r="E17" s="19">
        <v>300</v>
      </c>
      <c r="F17" s="19">
        <v>25</v>
      </c>
    </row>
    <row r="18" spans="1:6" outlineLevel="3">
      <c r="A18" s="19">
        <v>204</v>
      </c>
      <c r="B18" s="19">
        <v>302</v>
      </c>
      <c r="C18" s="19">
        <v>85</v>
      </c>
      <c r="D18" s="19">
        <v>75</v>
      </c>
      <c r="E18" s="19">
        <v>285</v>
      </c>
      <c r="F18" s="19">
        <v>18</v>
      </c>
    </row>
    <row r="19" spans="1:6" outlineLevel="3">
      <c r="A19" s="19">
        <v>204</v>
      </c>
      <c r="B19" s="19">
        <v>402</v>
      </c>
      <c r="C19" s="19">
        <v>85</v>
      </c>
      <c r="D19" s="19">
        <v>55</v>
      </c>
      <c r="E19" s="19">
        <v>255</v>
      </c>
      <c r="F19" s="19">
        <v>19</v>
      </c>
    </row>
    <row r="20" spans="1:6" outlineLevel="3">
      <c r="A20" s="19">
        <v>204</v>
      </c>
      <c r="B20" s="19">
        <v>102</v>
      </c>
      <c r="C20" s="19">
        <v>85</v>
      </c>
      <c r="D20" s="19">
        <v>60</v>
      </c>
      <c r="E20" s="19">
        <v>273</v>
      </c>
      <c r="F20" s="19">
        <v>17</v>
      </c>
    </row>
    <row r="21" spans="1:6" outlineLevel="3">
      <c r="A21" s="19">
        <v>204</v>
      </c>
      <c r="B21" s="19">
        <v>602</v>
      </c>
      <c r="C21" s="19">
        <v>85</v>
      </c>
      <c r="D21" s="19">
        <v>60</v>
      </c>
      <c r="E21" s="19">
        <v>301</v>
      </c>
      <c r="F21" s="19">
        <v>24</v>
      </c>
    </row>
    <row r="22" spans="1:6" outlineLevel="2">
      <c r="A22" s="19"/>
      <c r="B22" s="19"/>
      <c r="C22" s="20" t="s">
        <v>291</v>
      </c>
      <c r="D22" s="19">
        <f>SUBTOTAL(4,D17:D21)</f>
        <v>75</v>
      </c>
      <c r="E22" s="19">
        <f>SUBTOTAL(4,E17:E21)</f>
        <v>301</v>
      </c>
      <c r="F22" s="19">
        <f>SUBTOTAL(4,F17:F21)</f>
        <v>25</v>
      </c>
    </row>
    <row r="23" spans="1:6" outlineLevel="1">
      <c r="A23" s="19"/>
      <c r="B23" s="19"/>
      <c r="C23" s="20" t="s">
        <v>87</v>
      </c>
      <c r="D23" s="21">
        <f>SUBTOTAL(1,D17:D21)</f>
        <v>65</v>
      </c>
      <c r="E23" s="21">
        <f>SUBTOTAL(1,E17:E21)</f>
        <v>282.8</v>
      </c>
      <c r="F23" s="21">
        <f>SUBTOTAL(1,F17:F21)</f>
        <v>20.6</v>
      </c>
    </row>
    <row r="24" spans="1:6">
      <c r="A24" s="19"/>
      <c r="B24" s="19"/>
      <c r="C24" s="20" t="s">
        <v>91</v>
      </c>
      <c r="D24" s="19">
        <f>SUBTOTAL(4,D3:D21)</f>
        <v>135</v>
      </c>
      <c r="E24" s="19">
        <f>SUBTOTAL(4,E3:E21)</f>
        <v>500</v>
      </c>
      <c r="F24" s="19">
        <f>SUBTOTAL(4,F3:F21)</f>
        <v>40</v>
      </c>
    </row>
    <row r="25" spans="1:6">
      <c r="A25" s="19"/>
      <c r="B25" s="19"/>
      <c r="C25" s="20" t="s">
        <v>90</v>
      </c>
      <c r="D25" s="21">
        <f>SUBTOTAL(1,D3:D21)</f>
        <v>94.533333333333331</v>
      </c>
      <c r="E25" s="21">
        <f>SUBTOTAL(1,E3:E21)</f>
        <v>350.2</v>
      </c>
      <c r="F25" s="21">
        <f>SUBTOTAL(1,F3:F21)</f>
        <v>28.533333333333335</v>
      </c>
    </row>
    <row r="26" spans="1:6">
      <c r="A26"/>
      <c r="B26"/>
      <c r="C26"/>
      <c r="D26"/>
      <c r="E26"/>
      <c r="F26"/>
    </row>
    <row r="27" spans="1:6">
      <c r="A27"/>
      <c r="B27"/>
      <c r="C27"/>
      <c r="D27"/>
      <c r="E27"/>
      <c r="F27"/>
    </row>
    <row r="28" spans="1:6">
      <c r="A28"/>
      <c r="B28"/>
      <c r="C28"/>
      <c r="D28"/>
      <c r="E28"/>
      <c r="F28"/>
    </row>
  </sheetData>
  <sortState xmlns:xlrd2="http://schemas.microsoft.com/office/spreadsheetml/2017/richdata2" ref="A2:F14">
    <sortCondition descending="1" ref="C1"/>
  </sortState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F7"/>
  <sheetViews>
    <sheetView workbookViewId="0"/>
  </sheetViews>
  <sheetFormatPr defaultRowHeight="16.5"/>
  <cols>
    <col min="2" max="2" width="11.125" customWidth="1"/>
    <col min="3" max="6" width="14.625" customWidth="1"/>
  </cols>
  <sheetData>
    <row r="2" spans="2:6">
      <c r="B2" s="3" t="s">
        <v>4</v>
      </c>
      <c r="C2" s="3" t="s">
        <v>1</v>
      </c>
      <c r="D2" s="3" t="s">
        <v>35</v>
      </c>
      <c r="E2" s="3" t="s">
        <v>2</v>
      </c>
      <c r="F2" s="3" t="s">
        <v>3</v>
      </c>
    </row>
    <row r="3" spans="2:6">
      <c r="B3" s="4" t="s">
        <v>8</v>
      </c>
      <c r="C3" s="5">
        <v>620000</v>
      </c>
      <c r="D3" s="5">
        <v>100000</v>
      </c>
      <c r="E3" s="5">
        <v>190000</v>
      </c>
      <c r="F3" s="18">
        <v>0.23456790123456789</v>
      </c>
    </row>
    <row r="4" spans="2:6">
      <c r="B4" s="4" t="s">
        <v>14</v>
      </c>
      <c r="C4" s="5">
        <v>500000</v>
      </c>
      <c r="D4" s="5">
        <v>90000</v>
      </c>
      <c r="E4" s="5">
        <v>110000</v>
      </c>
      <c r="F4" s="18">
        <v>0.18032786885245902</v>
      </c>
    </row>
    <row r="5" spans="2:6">
      <c r="B5" s="4" t="s">
        <v>16</v>
      </c>
      <c r="C5" s="5">
        <v>390000</v>
      </c>
      <c r="D5" s="5">
        <v>85000</v>
      </c>
      <c r="E5" s="5">
        <v>130000</v>
      </c>
      <c r="F5" s="18">
        <v>0.25</v>
      </c>
    </row>
    <row r="6" spans="2:6">
      <c r="B6" s="4" t="s">
        <v>21</v>
      </c>
      <c r="C6" s="5">
        <v>300000</v>
      </c>
      <c r="D6" s="5">
        <v>93000</v>
      </c>
      <c r="E6" s="5">
        <v>95000</v>
      </c>
      <c r="F6" s="18">
        <v>0.24050632911392406</v>
      </c>
    </row>
    <row r="7" spans="2:6">
      <c r="B7" s="4" t="s">
        <v>6</v>
      </c>
      <c r="C7" s="5">
        <v>950000</v>
      </c>
      <c r="D7" s="5">
        <v>250000</v>
      </c>
      <c r="E7" s="5">
        <v>400000</v>
      </c>
      <c r="F7" s="18">
        <v>0.29629629629629628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G19"/>
  <sheetViews>
    <sheetView workbookViewId="0"/>
  </sheetViews>
  <sheetFormatPr defaultRowHeight="16.5"/>
  <cols>
    <col min="1" max="1" width="10.375" bestFit="1" customWidth="1"/>
    <col min="3" max="3" width="19.125" customWidth="1"/>
    <col min="4" max="4" width="14" customWidth="1"/>
    <col min="5" max="5" width="9.125" bestFit="1" customWidth="1"/>
    <col min="6" max="6" width="8.875" customWidth="1"/>
  </cols>
  <sheetData>
    <row r="2" spans="1:7">
      <c r="A2" s="3" t="s">
        <v>4</v>
      </c>
      <c r="B2" s="3" t="s">
        <v>0</v>
      </c>
      <c r="C2" s="3" t="s">
        <v>1</v>
      </c>
      <c r="D2" s="3" t="s">
        <v>35</v>
      </c>
      <c r="E2" s="3" t="s">
        <v>2</v>
      </c>
      <c r="F2" s="3" t="s">
        <v>3</v>
      </c>
    </row>
    <row r="3" spans="1:7">
      <c r="A3" s="4" t="s">
        <v>5</v>
      </c>
      <c r="B3" s="4" t="s">
        <v>23</v>
      </c>
      <c r="C3" s="26">
        <v>150000</v>
      </c>
      <c r="D3" s="5">
        <v>70000</v>
      </c>
      <c r="E3" s="5">
        <v>100000</v>
      </c>
      <c r="F3" s="7">
        <v>0.4</v>
      </c>
      <c r="G3" s="6"/>
    </row>
    <row r="4" spans="1:7">
      <c r="A4" s="4" t="s">
        <v>6</v>
      </c>
      <c r="B4" s="4" t="s">
        <v>24</v>
      </c>
      <c r="C4" s="26">
        <v>950000</v>
      </c>
      <c r="D4" s="5">
        <v>250000</v>
      </c>
      <c r="E4" s="5">
        <v>400000</v>
      </c>
      <c r="F4" s="7">
        <v>0.29629629629629628</v>
      </c>
      <c r="G4" s="6"/>
    </row>
    <row r="5" spans="1:7">
      <c r="A5" s="4" t="s">
        <v>7</v>
      </c>
      <c r="B5" s="4" t="s">
        <v>25</v>
      </c>
      <c r="C5" s="26">
        <v>650000</v>
      </c>
      <c r="D5" s="5">
        <v>350000</v>
      </c>
      <c r="E5" s="5">
        <v>250000</v>
      </c>
      <c r="F5" s="7">
        <v>0.27777777777777779</v>
      </c>
      <c r="G5" s="6"/>
    </row>
    <row r="6" spans="1:7">
      <c r="A6" s="4" t="s">
        <v>8</v>
      </c>
      <c r="B6" s="4" t="s">
        <v>26</v>
      </c>
      <c r="C6" s="26">
        <v>620000</v>
      </c>
      <c r="D6" s="5">
        <v>100000</v>
      </c>
      <c r="E6" s="5">
        <v>190000</v>
      </c>
      <c r="F6" s="7">
        <v>0.23456790123456789</v>
      </c>
      <c r="G6" s="6"/>
    </row>
    <row r="7" spans="1:7">
      <c r="A7" s="4" t="s">
        <v>9</v>
      </c>
      <c r="B7" s="4" t="s">
        <v>28</v>
      </c>
      <c r="C7" s="26">
        <v>180000</v>
      </c>
      <c r="D7" s="5">
        <v>80000</v>
      </c>
      <c r="E7" s="5">
        <v>120000</v>
      </c>
      <c r="F7" s="7">
        <v>0.4</v>
      </c>
      <c r="G7" s="6"/>
    </row>
    <row r="8" spans="1:7">
      <c r="A8" s="4" t="s">
        <v>10</v>
      </c>
      <c r="B8" s="4" t="s">
        <v>22</v>
      </c>
      <c r="C8" s="26">
        <v>350000</v>
      </c>
      <c r="D8" s="5">
        <v>75000</v>
      </c>
      <c r="E8" s="5">
        <v>130000</v>
      </c>
      <c r="F8" s="7">
        <v>0.27083333333333331</v>
      </c>
      <c r="G8" s="6"/>
    </row>
    <row r="9" spans="1:7">
      <c r="A9" s="4" t="s">
        <v>11</v>
      </c>
      <c r="B9" s="4" t="s">
        <v>29</v>
      </c>
      <c r="C9" s="26">
        <v>700000</v>
      </c>
      <c r="D9" s="5">
        <v>50000</v>
      </c>
      <c r="E9" s="5">
        <v>90000</v>
      </c>
      <c r="F9" s="7">
        <v>0.11392405063291139</v>
      </c>
      <c r="G9" s="6"/>
    </row>
    <row r="10" spans="1:7">
      <c r="A10" s="4" t="s">
        <v>12</v>
      </c>
      <c r="B10" s="4" t="s">
        <v>30</v>
      </c>
      <c r="C10" s="26">
        <v>250000</v>
      </c>
      <c r="D10" s="5">
        <v>30000</v>
      </c>
      <c r="E10" s="5">
        <v>50000</v>
      </c>
      <c r="F10" s="7">
        <v>0.16666666666666666</v>
      </c>
      <c r="G10" s="6"/>
    </row>
    <row r="11" spans="1:7">
      <c r="A11" s="4" t="s">
        <v>13</v>
      </c>
      <c r="B11" s="4" t="s">
        <v>27</v>
      </c>
      <c r="C11" s="26">
        <v>190000</v>
      </c>
      <c r="D11" s="5">
        <v>40000</v>
      </c>
      <c r="E11" s="5">
        <v>45000</v>
      </c>
      <c r="F11" s="7">
        <v>0.19148936170212766</v>
      </c>
      <c r="G11" s="6"/>
    </row>
    <row r="12" spans="1:7">
      <c r="A12" s="4" t="s">
        <v>14</v>
      </c>
      <c r="B12" s="4" t="s">
        <v>31</v>
      </c>
      <c r="C12" s="26">
        <v>500000</v>
      </c>
      <c r="D12" s="5">
        <v>90000</v>
      </c>
      <c r="E12" s="5">
        <v>110000</v>
      </c>
      <c r="F12" s="7">
        <v>0.18032786885245902</v>
      </c>
      <c r="G12" s="6"/>
    </row>
    <row r="13" spans="1:7">
      <c r="A13" s="4" t="s">
        <v>15</v>
      </c>
      <c r="B13" s="4" t="s">
        <v>32</v>
      </c>
      <c r="C13" s="26">
        <v>230000</v>
      </c>
      <c r="D13" s="5">
        <v>95000</v>
      </c>
      <c r="E13" s="5">
        <v>120000</v>
      </c>
      <c r="F13" s="7">
        <v>0.34285714285714286</v>
      </c>
      <c r="G13" s="6"/>
    </row>
    <row r="14" spans="1:7">
      <c r="A14" s="4" t="s">
        <v>16</v>
      </c>
      <c r="B14" s="4" t="s">
        <v>31</v>
      </c>
      <c r="C14" s="26">
        <v>390000</v>
      </c>
      <c r="D14" s="5">
        <v>85000</v>
      </c>
      <c r="E14" s="5">
        <v>130000</v>
      </c>
      <c r="F14" s="7">
        <v>0.25</v>
      </c>
      <c r="G14" s="6"/>
    </row>
    <row r="15" spans="1:7">
      <c r="A15" s="4" t="s">
        <v>17</v>
      </c>
      <c r="B15" s="4" t="s">
        <v>33</v>
      </c>
      <c r="C15" s="26">
        <v>400000</v>
      </c>
      <c r="D15" s="5">
        <v>35000</v>
      </c>
      <c r="E15" s="5">
        <v>80000</v>
      </c>
      <c r="F15" s="7">
        <v>0.16666666666666666</v>
      </c>
      <c r="G15" s="6"/>
    </row>
    <row r="16" spans="1:7">
      <c r="A16" s="4" t="s">
        <v>18</v>
      </c>
      <c r="B16" s="4" t="s">
        <v>34</v>
      </c>
      <c r="C16" s="26">
        <v>850000</v>
      </c>
      <c r="D16" s="5">
        <v>38000</v>
      </c>
      <c r="E16" s="5">
        <v>95000</v>
      </c>
      <c r="F16" s="7">
        <v>0.10052910052910052</v>
      </c>
      <c r="G16" s="6"/>
    </row>
    <row r="17" spans="1:7">
      <c r="A17" s="4" t="s">
        <v>19</v>
      </c>
      <c r="B17" s="4" t="s">
        <v>27</v>
      </c>
      <c r="C17" s="26">
        <v>130000</v>
      </c>
      <c r="D17" s="5">
        <v>30000</v>
      </c>
      <c r="E17" s="5">
        <v>43000</v>
      </c>
      <c r="F17" s="7">
        <v>0.24855491329479767</v>
      </c>
      <c r="G17" s="6"/>
    </row>
    <row r="18" spans="1:7">
      <c r="A18" s="4" t="s">
        <v>20</v>
      </c>
      <c r="B18" s="4" t="s">
        <v>22</v>
      </c>
      <c r="C18" s="26">
        <v>550000</v>
      </c>
      <c r="D18" s="5">
        <v>48000</v>
      </c>
      <c r="E18" s="5">
        <v>51000</v>
      </c>
      <c r="F18" s="7">
        <v>8.4858569051580693E-2</v>
      </c>
      <c r="G18" s="6"/>
    </row>
    <row r="19" spans="1:7">
      <c r="A19" s="4" t="s">
        <v>21</v>
      </c>
      <c r="B19" s="4" t="s">
        <v>31</v>
      </c>
      <c r="C19" s="26">
        <v>300000</v>
      </c>
      <c r="D19" s="5">
        <v>93000</v>
      </c>
      <c r="E19" s="5">
        <v>95000</v>
      </c>
      <c r="F19" s="7">
        <v>0.24050632911392406</v>
      </c>
      <c r="G19" s="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평수비교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서식설정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F26"/>
  <sheetViews>
    <sheetView workbookViewId="0"/>
  </sheetViews>
  <sheetFormatPr defaultRowHeight="16.5"/>
  <cols>
    <col min="2" max="2" width="19.5" customWidth="1"/>
    <col min="3" max="3" width="16.375" customWidth="1"/>
    <col min="4" max="4" width="10" customWidth="1"/>
    <col min="5" max="5" width="11.375" customWidth="1"/>
  </cols>
  <sheetData>
    <row r="2" spans="2:6">
      <c r="B2" t="s">
        <v>77</v>
      </c>
      <c r="C2" s="17">
        <v>45523</v>
      </c>
    </row>
    <row r="5" spans="2:6">
      <c r="B5" s="4" t="s">
        <v>72</v>
      </c>
      <c r="C5" s="4" t="s">
        <v>73</v>
      </c>
      <c r="D5" s="4" t="s">
        <v>74</v>
      </c>
      <c r="E5" s="4" t="s">
        <v>75</v>
      </c>
      <c r="F5" s="4" t="s">
        <v>76</v>
      </c>
    </row>
    <row r="6" spans="2:6">
      <c r="B6" s="16" t="s">
        <v>80</v>
      </c>
      <c r="C6" s="16" t="s">
        <v>78</v>
      </c>
      <c r="D6" s="16" t="s">
        <v>79</v>
      </c>
      <c r="E6" s="16">
        <v>27000</v>
      </c>
      <c r="F6" s="16">
        <v>54000</v>
      </c>
    </row>
    <row r="7" spans="2:6">
      <c r="B7" s="16" t="s">
        <v>81</v>
      </c>
      <c r="C7" s="16" t="s">
        <v>82</v>
      </c>
      <c r="D7" s="16" t="s">
        <v>83</v>
      </c>
      <c r="E7" s="16">
        <v>38000</v>
      </c>
      <c r="F7" s="16">
        <v>91200</v>
      </c>
    </row>
    <row r="8" spans="2:6">
      <c r="B8" s="16"/>
      <c r="C8" s="16"/>
      <c r="D8" s="16"/>
      <c r="E8" s="16"/>
      <c r="F8" s="16"/>
    </row>
    <row r="9" spans="2:6">
      <c r="B9" s="16"/>
      <c r="C9" s="16"/>
      <c r="D9" s="16"/>
      <c r="E9" s="16"/>
      <c r="F9" s="16"/>
    </row>
    <row r="10" spans="2:6">
      <c r="B10" s="16"/>
      <c r="C10" s="16"/>
      <c r="D10" s="16"/>
      <c r="E10" s="16"/>
      <c r="F10" s="16"/>
    </row>
    <row r="11" spans="2:6">
      <c r="B11" s="16"/>
      <c r="C11" s="16"/>
      <c r="D11" s="16"/>
      <c r="E11" s="16"/>
      <c r="F11" s="16"/>
    </row>
    <row r="12" spans="2:6">
      <c r="B12" s="16"/>
      <c r="C12" s="16"/>
      <c r="D12" s="16"/>
      <c r="E12" s="16"/>
      <c r="F12" s="16"/>
    </row>
    <row r="13" spans="2:6">
      <c r="B13" s="16"/>
      <c r="C13" s="16"/>
      <c r="D13" s="16"/>
      <c r="E13" s="16"/>
      <c r="F13" s="16"/>
    </row>
    <row r="14" spans="2:6">
      <c r="B14" s="16"/>
      <c r="C14" s="16"/>
      <c r="D14" s="16"/>
      <c r="E14" s="16"/>
      <c r="F14" s="16"/>
    </row>
    <row r="15" spans="2:6">
      <c r="B15" s="16"/>
      <c r="C15" s="16"/>
      <c r="D15" s="16"/>
      <c r="E15" s="16"/>
      <c r="F15" s="16"/>
    </row>
    <row r="16" spans="2:6">
      <c r="B16" s="16"/>
      <c r="C16" s="16"/>
      <c r="D16" s="16"/>
      <c r="E16" s="16"/>
      <c r="F16" s="16"/>
    </row>
    <row r="17" spans="2:6">
      <c r="B17" s="16"/>
      <c r="C17" s="16"/>
      <c r="D17" s="16"/>
      <c r="E17" s="16"/>
      <c r="F17" s="16"/>
    </row>
    <row r="18" spans="2:6">
      <c r="B18" s="16"/>
      <c r="C18" s="16"/>
      <c r="D18" s="16"/>
      <c r="E18" s="16"/>
      <c r="F18" s="16"/>
    </row>
    <row r="19" spans="2:6">
      <c r="B19" s="16"/>
      <c r="C19" s="16"/>
      <c r="D19" s="16"/>
      <c r="E19" s="16"/>
      <c r="F19" s="16"/>
    </row>
    <row r="20" spans="2:6">
      <c r="B20" s="16"/>
      <c r="C20" s="16"/>
      <c r="D20" s="16"/>
      <c r="E20" s="16"/>
      <c r="F20" s="16"/>
    </row>
    <row r="21" spans="2:6">
      <c r="B21" s="16"/>
      <c r="C21" s="16"/>
      <c r="D21" s="16"/>
      <c r="E21" s="16"/>
      <c r="F21" s="16"/>
    </row>
    <row r="22" spans="2:6">
      <c r="B22" s="16"/>
      <c r="C22" s="16"/>
      <c r="D22" s="16"/>
      <c r="E22" s="16"/>
      <c r="F22" s="16"/>
    </row>
    <row r="23" spans="2:6">
      <c r="B23" s="16"/>
      <c r="C23" s="16"/>
      <c r="D23" s="16"/>
      <c r="E23" s="16"/>
      <c r="F23" s="16"/>
    </row>
    <row r="24" spans="2:6">
      <c r="B24" s="16"/>
      <c r="C24" s="16"/>
      <c r="D24" s="16"/>
      <c r="E24" s="16"/>
      <c r="F24" s="16"/>
    </row>
    <row r="25" spans="2:6">
      <c r="B25" s="16"/>
      <c r="C25" s="16"/>
      <c r="D25" s="16"/>
      <c r="E25" s="16"/>
      <c r="F25" s="16"/>
    </row>
    <row r="26" spans="2:6">
      <c r="B26" s="16"/>
      <c r="C26" s="16"/>
      <c r="D26" s="16"/>
      <c r="E26" s="16"/>
      <c r="F26" s="16"/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대여">
          <controlPr defaultSize="0" autoLine="0" r:id="rId4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666750</xdr:colOff>
                <xdr:row>3</xdr:row>
                <xdr:rowOff>9525</xdr:rowOff>
              </to>
            </anchor>
          </controlPr>
        </control>
      </mc:Choice>
      <mc:Fallback>
        <control shapeId="8193" r:id="rId3" name="cmd대여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2021-08-19T08:43:41Z</cp:lastPrinted>
  <dcterms:created xsi:type="dcterms:W3CDTF">2021-04-18T04:44:57Z</dcterms:created>
  <dcterms:modified xsi:type="dcterms:W3CDTF">2024-01-06T04:24:19Z</dcterms:modified>
</cp:coreProperties>
</file>