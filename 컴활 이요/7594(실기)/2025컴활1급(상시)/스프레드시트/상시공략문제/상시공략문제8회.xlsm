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상시공략집\2024컴활1급(상시)\스프레드시트\상시공략문제\"/>
    </mc:Choice>
  </mc:AlternateContent>
  <xr:revisionPtr revIDLastSave="0" documentId="13_ncr:1_{23930419-A560-4A27-91E5-377625C7DC50}" xr6:coauthVersionLast="47" xr6:coauthVersionMax="47" xr10:uidLastSave="{00000000-0000-0000-0000-000000000000}"/>
  <bookViews>
    <workbookView xWindow="2835" yWindow="1125" windowWidth="19110" windowHeight="14925" tabRatio="865" xr2:uid="{00000000-000D-0000-FFFF-FFFF00000000}"/>
  </bookViews>
  <sheets>
    <sheet name="기본작업-1" sheetId="13" r:id="rId1"/>
    <sheet name="기본작업-2" sheetId="2" r:id="rId2"/>
    <sheet name="계산작업" sheetId="3" r:id="rId3"/>
    <sheet name="분석작업-1" sheetId="5" r:id="rId4"/>
    <sheet name="6월" sheetId="10" r:id="rId5"/>
    <sheet name="7월" sheetId="11" r:id="rId6"/>
    <sheet name="8월" sheetId="12" r:id="rId7"/>
    <sheet name="분석작업-2" sheetId="9" r:id="rId8"/>
    <sheet name="기타작업-1" sheetId="14" r:id="rId9"/>
    <sheet name="기타작업-2" sheetId="7" r:id="rId10"/>
    <sheet name="기타작업-3" sheetId="8" r:id="rId11"/>
  </sheets>
  <definedNames>
    <definedName name="_xlnm._FilterDatabase" localSheetId="0" hidden="1">'기본작업-1'!$A$2:$H$17</definedName>
    <definedName name="_xlnm.Criteria" localSheetId="0">'기본작업-1'!#REF!</definedName>
    <definedName name="_xlnm.Extract" localSheetId="0">'기본작업-1'!#REF!</definedName>
    <definedName name="_xlnm.Print_Area" localSheetId="1">'기본작업-2'!$A$2:$F$24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4" l="1"/>
  <c r="F6" i="14"/>
  <c r="F5" i="14"/>
  <c r="F4" i="14"/>
  <c r="F3" i="14"/>
</calcChain>
</file>

<file path=xl/sharedStrings.xml><?xml version="1.0" encoding="utf-8"?>
<sst xmlns="http://schemas.openxmlformats.org/spreadsheetml/2006/main" count="456" uniqueCount="224">
  <si>
    <t>S145628</t>
  </si>
  <si>
    <t>[표1]</t>
    <phoneticPr fontId="1" type="noConversion"/>
  </si>
  <si>
    <t>회원코드</t>
    <phoneticPr fontId="1" type="noConversion"/>
  </si>
  <si>
    <t>회원명</t>
    <phoneticPr fontId="1" type="noConversion"/>
  </si>
  <si>
    <t>등록일</t>
    <phoneticPr fontId="1" type="noConversion"/>
  </si>
  <si>
    <t>담당자</t>
  </si>
  <si>
    <t>등록경로</t>
    <phoneticPr fontId="1" type="noConversion"/>
  </si>
  <si>
    <t>등록비</t>
    <phoneticPr fontId="1" type="noConversion"/>
  </si>
  <si>
    <t>등록횟수</t>
    <phoneticPr fontId="1" type="noConversion"/>
  </si>
  <si>
    <t>운동종류</t>
    <phoneticPr fontId="1" type="noConversion"/>
  </si>
  <si>
    <t>H2834</t>
    <phoneticPr fontId="1" type="noConversion"/>
  </si>
  <si>
    <t>이은지</t>
    <phoneticPr fontId="1" type="noConversion"/>
  </si>
  <si>
    <t>김성북</t>
  </si>
  <si>
    <t>전단지</t>
    <phoneticPr fontId="1" type="noConversion"/>
  </si>
  <si>
    <t>헬스</t>
  </si>
  <si>
    <t>Y1597</t>
    <phoneticPr fontId="1" type="noConversion"/>
  </si>
  <si>
    <t>노현준</t>
    <phoneticPr fontId="1" type="noConversion"/>
  </si>
  <si>
    <t>박호진</t>
    <phoneticPr fontId="1" type="noConversion"/>
  </si>
  <si>
    <t>지인소개</t>
    <phoneticPr fontId="1" type="noConversion"/>
  </si>
  <si>
    <t>요가</t>
  </si>
  <si>
    <t>P2543</t>
    <phoneticPr fontId="1" type="noConversion"/>
  </si>
  <si>
    <t>손다희</t>
    <phoneticPr fontId="1" type="noConversion"/>
  </si>
  <si>
    <t>이진아</t>
  </si>
  <si>
    <t>인터넷검색</t>
    <phoneticPr fontId="1" type="noConversion"/>
  </si>
  <si>
    <t>필라테스</t>
  </si>
  <si>
    <t>Y8741</t>
    <phoneticPr fontId="1" type="noConversion"/>
  </si>
  <si>
    <t>김태희</t>
    <phoneticPr fontId="1" type="noConversion"/>
  </si>
  <si>
    <t>김성북</t>
    <phoneticPr fontId="1" type="noConversion"/>
  </si>
  <si>
    <t>H1296</t>
    <phoneticPr fontId="1" type="noConversion"/>
  </si>
  <si>
    <t>김성우</t>
    <phoneticPr fontId="1" type="noConversion"/>
  </si>
  <si>
    <t>박호진</t>
  </si>
  <si>
    <t>H2589</t>
    <phoneticPr fontId="1" type="noConversion"/>
  </si>
  <si>
    <t>신창우</t>
    <phoneticPr fontId="1" type="noConversion"/>
  </si>
  <si>
    <t>이진아</t>
    <phoneticPr fontId="1" type="noConversion"/>
  </si>
  <si>
    <t>SNS</t>
    <phoneticPr fontId="1" type="noConversion"/>
  </si>
  <si>
    <t>Y4621</t>
    <phoneticPr fontId="1" type="noConversion"/>
  </si>
  <si>
    <t>지현욱</t>
    <phoneticPr fontId="1" type="noConversion"/>
  </si>
  <si>
    <t>P5841</t>
    <phoneticPr fontId="1" type="noConversion"/>
  </si>
  <si>
    <t>최은미</t>
    <phoneticPr fontId="1" type="noConversion"/>
  </si>
  <si>
    <t>SNS</t>
    <phoneticPr fontId="1" type="noConversion"/>
  </si>
  <si>
    <t>Y3705</t>
    <phoneticPr fontId="1" type="noConversion"/>
  </si>
  <si>
    <t>고지성</t>
    <phoneticPr fontId="1" type="noConversion"/>
  </si>
  <si>
    <t>H9875</t>
    <phoneticPr fontId="1" type="noConversion"/>
  </si>
  <si>
    <t>김환웅</t>
    <phoneticPr fontId="1" type="noConversion"/>
  </si>
  <si>
    <t>H6019</t>
    <phoneticPr fontId="1" type="noConversion"/>
  </si>
  <si>
    <t>조성용</t>
    <phoneticPr fontId="1" type="noConversion"/>
  </si>
  <si>
    <t>P8151</t>
    <phoneticPr fontId="1" type="noConversion"/>
  </si>
  <si>
    <t>고희성</t>
    <phoneticPr fontId="1" type="noConversion"/>
  </si>
  <si>
    <t>이진아</t>
    <phoneticPr fontId="1" type="noConversion"/>
  </si>
  <si>
    <t>P4572</t>
    <phoneticPr fontId="1" type="noConversion"/>
  </si>
  <si>
    <t>나영미</t>
    <phoneticPr fontId="1" type="noConversion"/>
  </si>
  <si>
    <t>Y2589</t>
    <phoneticPr fontId="1" type="noConversion"/>
  </si>
  <si>
    <t>이진우</t>
    <phoneticPr fontId="1" type="noConversion"/>
  </si>
  <si>
    <t>P1367</t>
    <phoneticPr fontId="1" type="noConversion"/>
  </si>
  <si>
    <t>김정훈</t>
    <phoneticPr fontId="1" type="noConversion"/>
  </si>
  <si>
    <t>상품번호</t>
    <phoneticPr fontId="1" type="noConversion"/>
  </si>
  <si>
    <t>여행지</t>
    <phoneticPr fontId="1" type="noConversion"/>
  </si>
  <si>
    <t>항공편</t>
    <phoneticPr fontId="1" type="noConversion"/>
  </si>
  <si>
    <t>여행기간</t>
    <phoneticPr fontId="1" type="noConversion"/>
  </si>
  <si>
    <t>모집인원</t>
    <phoneticPr fontId="1" type="noConversion"/>
  </si>
  <si>
    <t>상품금액</t>
    <phoneticPr fontId="1" type="noConversion"/>
  </si>
  <si>
    <t>ARP-101</t>
  </si>
  <si>
    <t>앙코르왓</t>
    <phoneticPr fontId="1" type="noConversion"/>
  </si>
  <si>
    <t>에어아시아</t>
    <phoneticPr fontId="1" type="noConversion"/>
  </si>
  <si>
    <t>5일</t>
    <phoneticPr fontId="1" type="noConversion"/>
  </si>
  <si>
    <t>KJS-201</t>
  </si>
  <si>
    <t>제주도</t>
    <phoneticPr fontId="1" type="noConversion"/>
  </si>
  <si>
    <t>대한항공</t>
    <phoneticPr fontId="1" type="noConversion"/>
  </si>
  <si>
    <t>3일</t>
    <phoneticPr fontId="1" type="noConversion"/>
  </si>
  <si>
    <t>EAQ-301</t>
  </si>
  <si>
    <t>미국동부</t>
    <phoneticPr fontId="1" type="noConversion"/>
  </si>
  <si>
    <t>10일</t>
    <phoneticPr fontId="1" type="noConversion"/>
  </si>
  <si>
    <t>OSI-202</t>
  </si>
  <si>
    <t>호주</t>
    <phoneticPr fontId="1" type="noConversion"/>
  </si>
  <si>
    <t>7일</t>
    <phoneticPr fontId="1" type="noConversion"/>
  </si>
  <si>
    <t>AJO-103</t>
  </si>
  <si>
    <t>일본 오사카</t>
    <phoneticPr fontId="1" type="noConversion"/>
  </si>
  <si>
    <t>진에어</t>
    <phoneticPr fontId="1" type="noConversion"/>
  </si>
  <si>
    <t>4일</t>
    <phoneticPr fontId="1" type="noConversion"/>
  </si>
  <si>
    <t>HKM-205</t>
  </si>
  <si>
    <t>홍콩/마카오</t>
    <phoneticPr fontId="1" type="noConversion"/>
  </si>
  <si>
    <t>4일</t>
    <phoneticPr fontId="1" type="noConversion"/>
  </si>
  <si>
    <t>APP-102</t>
  </si>
  <si>
    <t>필리핀</t>
    <phoneticPr fontId="1" type="noConversion"/>
  </si>
  <si>
    <t>SPA-206</t>
  </si>
  <si>
    <t>싱가폴</t>
    <phoneticPr fontId="1" type="noConversion"/>
  </si>
  <si>
    <t>KBN-854</t>
    <phoneticPr fontId="1" type="noConversion"/>
  </si>
  <si>
    <t>베트남</t>
    <phoneticPr fontId="1" type="noConversion"/>
  </si>
  <si>
    <t>5일</t>
    <phoneticPr fontId="1" type="noConversion"/>
  </si>
  <si>
    <t>ALA-578</t>
    <phoneticPr fontId="1" type="noConversion"/>
  </si>
  <si>
    <t>라오스</t>
    <phoneticPr fontId="1" type="noConversion"/>
  </si>
  <si>
    <t>AME-288</t>
    <phoneticPr fontId="1" type="noConversion"/>
  </si>
  <si>
    <t>말레이시아</t>
    <phoneticPr fontId="1" type="noConversion"/>
  </si>
  <si>
    <t>JJT-690</t>
    <phoneticPr fontId="1" type="noConversion"/>
  </si>
  <si>
    <t>일본 동경</t>
    <phoneticPr fontId="1" type="noConversion"/>
  </si>
  <si>
    <t>KSE-954</t>
    <phoneticPr fontId="1" type="noConversion"/>
  </si>
  <si>
    <t>중국 상하이</t>
    <phoneticPr fontId="1" type="noConversion"/>
  </si>
  <si>
    <t>JHE-487</t>
    <phoneticPr fontId="1" type="noConversion"/>
  </si>
  <si>
    <t>중국 하이난</t>
    <phoneticPr fontId="1" type="noConversion"/>
  </si>
  <si>
    <t>JJK-871</t>
    <phoneticPr fontId="1" type="noConversion"/>
  </si>
  <si>
    <t>일본 규슈</t>
    <phoneticPr fontId="1" type="noConversion"/>
  </si>
  <si>
    <t>KNT-123</t>
    <phoneticPr fontId="1" type="noConversion"/>
  </si>
  <si>
    <t>뉴질랜드</t>
    <phoneticPr fontId="1" type="noConversion"/>
  </si>
  <si>
    <t>진에어</t>
    <phoneticPr fontId="1" type="noConversion"/>
  </si>
  <si>
    <t>대한항공</t>
    <phoneticPr fontId="1" type="noConversion"/>
  </si>
  <si>
    <t>에어아시아</t>
    <phoneticPr fontId="1" type="noConversion"/>
  </si>
  <si>
    <t>대한항공</t>
    <phoneticPr fontId="1" type="noConversion"/>
  </si>
  <si>
    <t>인도네시아</t>
    <phoneticPr fontId="1" type="noConversion"/>
  </si>
  <si>
    <t>노르웨이</t>
    <phoneticPr fontId="1" type="noConversion"/>
  </si>
  <si>
    <t>덴마크</t>
    <phoneticPr fontId="1" type="noConversion"/>
  </si>
  <si>
    <t>JTY-587</t>
    <phoneticPr fontId="1" type="noConversion"/>
  </si>
  <si>
    <t>5일</t>
    <phoneticPr fontId="1" type="noConversion"/>
  </si>
  <si>
    <t>8일</t>
    <phoneticPr fontId="1" type="noConversion"/>
  </si>
  <si>
    <t>7일</t>
    <phoneticPr fontId="1" type="noConversion"/>
  </si>
  <si>
    <t>태국</t>
    <phoneticPr fontId="1" type="noConversion"/>
  </si>
  <si>
    <t>라오스</t>
    <phoneticPr fontId="1" type="noConversion"/>
  </si>
  <si>
    <t>ATV-587</t>
    <phoneticPr fontId="1" type="noConversion"/>
  </si>
  <si>
    <t>KDP-897</t>
    <phoneticPr fontId="1" type="noConversion"/>
  </si>
  <si>
    <t>ALT-854</t>
    <phoneticPr fontId="1" type="noConversion"/>
  </si>
  <si>
    <t>4일</t>
    <phoneticPr fontId="1" type="noConversion"/>
  </si>
  <si>
    <t>3일</t>
    <phoneticPr fontId="1" type="noConversion"/>
  </si>
  <si>
    <t>&lt;6, 7, 8월 통합&gt;</t>
    <phoneticPr fontId="1" type="noConversion"/>
  </si>
  <si>
    <t>관리코드</t>
    <phoneticPr fontId="1" type="noConversion"/>
  </si>
  <si>
    <t>어린이집명</t>
    <phoneticPr fontId="1" type="noConversion"/>
  </si>
  <si>
    <t>지역</t>
    <phoneticPr fontId="1" type="noConversion"/>
  </si>
  <si>
    <t>분류</t>
    <phoneticPr fontId="1" type="noConversion"/>
  </si>
  <si>
    <t>등록일</t>
    <phoneticPr fontId="1" type="noConversion"/>
  </si>
  <si>
    <t>등록률(%)</t>
    <phoneticPr fontId="1" type="noConversion"/>
  </si>
  <si>
    <t>정원</t>
    <phoneticPr fontId="1" type="noConversion"/>
  </si>
  <si>
    <t>현원</t>
    <phoneticPr fontId="1" type="noConversion"/>
  </si>
  <si>
    <t>SA1003</t>
    <phoneticPr fontId="1" type="noConversion"/>
  </si>
  <si>
    <t>경희궁초록</t>
    <phoneticPr fontId="1" type="noConversion"/>
  </si>
  <si>
    <t>서울</t>
    <phoneticPr fontId="1" type="noConversion"/>
  </si>
  <si>
    <t>국공립</t>
    <phoneticPr fontId="1" type="noConversion"/>
  </si>
  <si>
    <t>DN6007</t>
    <phoneticPr fontId="1" type="noConversion"/>
  </si>
  <si>
    <t>구립마더베어</t>
    <phoneticPr fontId="1" type="noConversion"/>
  </si>
  <si>
    <t>대구</t>
    <phoneticPr fontId="1" type="noConversion"/>
  </si>
  <si>
    <t>국공립</t>
    <phoneticPr fontId="1" type="noConversion"/>
  </si>
  <si>
    <t>GB6015</t>
    <phoneticPr fontId="1" type="noConversion"/>
  </si>
  <si>
    <t>라온</t>
    <phoneticPr fontId="1" type="noConversion"/>
  </si>
  <si>
    <t>강원</t>
    <phoneticPr fontId="1" type="noConversion"/>
  </si>
  <si>
    <t>국공립</t>
    <phoneticPr fontId="1" type="noConversion"/>
  </si>
  <si>
    <t>SA2005</t>
    <phoneticPr fontId="1" type="noConversion"/>
  </si>
  <si>
    <t>사랑빛</t>
    <phoneticPr fontId="1" type="noConversion"/>
  </si>
  <si>
    <t>서울</t>
    <phoneticPr fontId="1" type="noConversion"/>
  </si>
  <si>
    <t>GC2061</t>
    <phoneticPr fontId="1" type="noConversion"/>
  </si>
  <si>
    <t>꿈이 자라는</t>
    <phoneticPr fontId="1" type="noConversion"/>
  </si>
  <si>
    <t>국공립</t>
    <phoneticPr fontId="1" type="noConversion"/>
  </si>
  <si>
    <t>국공립 어린이집 현황</t>
    <phoneticPr fontId="1" type="noConversion"/>
  </si>
  <si>
    <t>여행지</t>
    <phoneticPr fontId="1" type="noConversion"/>
  </si>
  <si>
    <t>여행기간</t>
    <phoneticPr fontId="1" type="noConversion"/>
  </si>
  <si>
    <t>상품금액</t>
    <phoneticPr fontId="1" type="noConversion"/>
  </si>
  <si>
    <t>5일</t>
  </si>
  <si>
    <t>5일</t>
    <phoneticPr fontId="1" type="noConversion"/>
  </si>
  <si>
    <t>괌(닛코)</t>
  </si>
  <si>
    <t>괌(닛코)</t>
    <phoneticPr fontId="1" type="noConversion"/>
  </si>
  <si>
    <t>발리(힐튼)</t>
    <phoneticPr fontId="1" type="noConversion"/>
  </si>
  <si>
    <t>괌(두짓타니)</t>
    <phoneticPr fontId="1" type="noConversion"/>
  </si>
  <si>
    <t>싱가폴</t>
    <phoneticPr fontId="1" type="noConversion"/>
  </si>
  <si>
    <t>3박 5일</t>
    <phoneticPr fontId="1" type="noConversion"/>
  </si>
  <si>
    <t>사이판(PIC)</t>
    <phoneticPr fontId="1" type="noConversion"/>
  </si>
  <si>
    <t>4일</t>
    <phoneticPr fontId="1" type="noConversion"/>
  </si>
  <si>
    <t>다낭/호이안</t>
    <phoneticPr fontId="1" type="noConversion"/>
  </si>
  <si>
    <t>스페인</t>
    <phoneticPr fontId="1" type="noConversion"/>
  </si>
  <si>
    <t>8일</t>
    <phoneticPr fontId="1" type="noConversion"/>
  </si>
  <si>
    <t>출발일</t>
    <phoneticPr fontId="1" type="noConversion"/>
  </si>
  <si>
    <t>대한항공</t>
  </si>
  <si>
    <t>대한항공</t>
    <phoneticPr fontId="1" type="noConversion"/>
  </si>
  <si>
    <t>대만</t>
    <phoneticPr fontId="1" type="noConversion"/>
  </si>
  <si>
    <t>4일</t>
    <phoneticPr fontId="1" type="noConversion"/>
  </si>
  <si>
    <t>진에어</t>
    <phoneticPr fontId="1" type="noConversion"/>
  </si>
  <si>
    <t>방콕/파타야</t>
    <phoneticPr fontId="1" type="noConversion"/>
  </si>
  <si>
    <t>5일</t>
    <phoneticPr fontId="1" type="noConversion"/>
  </si>
  <si>
    <t>중국 장가계</t>
    <phoneticPr fontId="1" type="noConversion"/>
  </si>
  <si>
    <t>대한항공</t>
    <phoneticPr fontId="1" type="noConversion"/>
  </si>
  <si>
    <t>5일</t>
    <phoneticPr fontId="1" type="noConversion"/>
  </si>
  <si>
    <t>동유럽 3국 9일</t>
    <phoneticPr fontId="1" type="noConversion"/>
  </si>
  <si>
    <t>9일</t>
    <phoneticPr fontId="1" type="noConversion"/>
  </si>
  <si>
    <t>터키 일주</t>
    <phoneticPr fontId="1" type="noConversion"/>
  </si>
  <si>
    <t>터키항공</t>
    <phoneticPr fontId="1" type="noConversion"/>
  </si>
  <si>
    <t>스위스 일주</t>
    <phoneticPr fontId="1" type="noConversion"/>
  </si>
  <si>
    <t>7일</t>
    <phoneticPr fontId="1" type="noConversion"/>
  </si>
  <si>
    <t>사이판</t>
    <phoneticPr fontId="1" type="noConversion"/>
  </si>
  <si>
    <t>5일</t>
    <phoneticPr fontId="1" type="noConversion"/>
  </si>
  <si>
    <t>아시아나</t>
    <phoneticPr fontId="1" type="noConversion"/>
  </si>
  <si>
    <t>하와이</t>
    <phoneticPr fontId="1" type="noConversion"/>
  </si>
  <si>
    <t>캐나다</t>
    <phoneticPr fontId="1" type="noConversion"/>
  </si>
  <si>
    <t>6일</t>
    <phoneticPr fontId="1" type="noConversion"/>
  </si>
  <si>
    <t>대한항공</t>
    <phoneticPr fontId="1" type="noConversion"/>
  </si>
  <si>
    <t>9일</t>
    <phoneticPr fontId="1" type="noConversion"/>
  </si>
  <si>
    <t>JDM-853</t>
    <phoneticPr fontId="1" type="noConversion"/>
  </si>
  <si>
    <t>KBP-954</t>
    <phoneticPr fontId="1" type="noConversion"/>
  </si>
  <si>
    <t>KCS-958</t>
    <phoneticPr fontId="1" type="noConversion"/>
  </si>
  <si>
    <t>KUD-957</t>
    <phoneticPr fontId="1" type="noConversion"/>
  </si>
  <si>
    <t>TTK-512</t>
    <phoneticPr fontId="1" type="noConversion"/>
  </si>
  <si>
    <t>KSS-632</t>
    <phoneticPr fontId="1" type="noConversion"/>
  </si>
  <si>
    <t>ASP-413</t>
    <phoneticPr fontId="1" type="noConversion"/>
  </si>
  <si>
    <t>KHT-451</t>
    <phoneticPr fontId="1" type="noConversion"/>
  </si>
  <si>
    <t>KCD-678</t>
    <phoneticPr fontId="1" type="noConversion"/>
  </si>
  <si>
    <t>[표1]</t>
    <phoneticPr fontId="1" type="noConversion"/>
  </si>
  <si>
    <t>동</t>
    <phoneticPr fontId="1" type="noConversion"/>
  </si>
  <si>
    <t>호수</t>
    <phoneticPr fontId="1" type="noConversion"/>
  </si>
  <si>
    <t>가족수</t>
    <phoneticPr fontId="1" type="noConversion"/>
  </si>
  <si>
    <t>전기사용량</t>
    <phoneticPr fontId="1" type="noConversion"/>
  </si>
  <si>
    <t>전기사용요금</t>
    <phoneticPr fontId="1" type="noConversion"/>
  </si>
  <si>
    <t>공동금액</t>
    <phoneticPr fontId="1" type="noConversion"/>
  </si>
  <si>
    <t>단위별공동금액</t>
    <phoneticPr fontId="1" type="noConversion"/>
  </si>
  <si>
    <t>승강기사용료</t>
    <phoneticPr fontId="1" type="noConversion"/>
  </si>
  <si>
    <t>장미동</t>
    <phoneticPr fontId="1" type="noConversion"/>
  </si>
  <si>
    <t>무화동</t>
  </si>
  <si>
    <t>동백동</t>
    <phoneticPr fontId="1" type="noConversion"/>
  </si>
  <si>
    <t>동백동</t>
    <phoneticPr fontId="1" type="noConversion"/>
  </si>
  <si>
    <t>장미동</t>
    <phoneticPr fontId="1" type="noConversion"/>
  </si>
  <si>
    <t>[표2]</t>
    <phoneticPr fontId="1" type="noConversion"/>
  </si>
  <si>
    <t>동백동</t>
    <phoneticPr fontId="1" type="noConversion"/>
  </si>
  <si>
    <t>합계</t>
    <phoneticPr fontId="1" type="noConversion"/>
  </si>
  <si>
    <t>[표3]</t>
    <phoneticPr fontId="1" type="noConversion"/>
  </si>
  <si>
    <t>동:호수</t>
    <phoneticPr fontId="1" type="noConversion"/>
  </si>
  <si>
    <t>[표4]</t>
    <phoneticPr fontId="1" type="noConversion"/>
  </si>
  <si>
    <t>가족수</t>
    <phoneticPr fontId="1" type="noConversion"/>
  </si>
  <si>
    <t>전기사용량</t>
    <phoneticPr fontId="1" type="noConversion"/>
  </si>
  <si>
    <t>기본요금</t>
    <phoneticPr fontId="1" type="noConversion"/>
  </si>
  <si>
    <t>전략량요금</t>
    <phoneticPr fontId="1" type="noConversion"/>
  </si>
  <si>
    <t>미정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</si>
</sst>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&quot;회&quot;"/>
    <numFmt numFmtId="177" formatCode="0_);[Red]\(0\)"/>
    <numFmt numFmtId="178" formatCode="General\ &quot;이&quot;&quot;상&quot;"/>
    <numFmt numFmtId="179" formatCode="General\ &quot;미&quot;&quot;만&quot;"/>
    <numFmt numFmtId="180" formatCode="0&quot;Kwh~&quot;"/>
    <numFmt numFmtId="181" formatCode="0&quot;Kwh&quot;"/>
    <numFmt numFmtId="182" formatCode="_-* #,##0.0_-;\-* #,##0.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/>
    <xf numFmtId="9" fontId="2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0" applyNumberFormat="1" applyBorder="1">
      <alignment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 wrapText="1"/>
    </xf>
    <xf numFmtId="14" fontId="4" fillId="0" borderId="1" xfId="0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horizontal="center" vertical="center"/>
    </xf>
    <xf numFmtId="176" fontId="4" fillId="0" borderId="1" xfId="1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177" fontId="4" fillId="0" borderId="1" xfId="1" applyNumberFormat="1" applyFont="1" applyFill="1" applyBorder="1" applyAlignment="1">
      <alignment horizontal="right" vertical="center"/>
    </xf>
    <xf numFmtId="177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9" fontId="4" fillId="0" borderId="1" xfId="4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0" fillId="0" borderId="0" xfId="1" applyFont="1">
      <alignment vertical="center"/>
    </xf>
    <xf numFmtId="3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1" applyNumberFormat="1" applyFont="1" applyBorder="1">
      <alignment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8" fontId="0" fillId="0" borderId="1" xfId="1" applyNumberFormat="1" applyFon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1" applyNumberFormat="1" applyFon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80" fontId="0" fillId="0" borderId="1" xfId="0" applyNumberFormat="1" applyBorder="1">
      <alignment vertical="center"/>
    </xf>
    <xf numFmtId="181" fontId="0" fillId="0" borderId="1" xfId="0" applyNumberFormat="1" applyBorder="1">
      <alignment vertical="center"/>
    </xf>
    <xf numFmtId="182" fontId="0" fillId="0" borderId="1" xfId="1" applyNumberFormat="1" applyFont="1" applyBorder="1">
      <alignment vertical="center"/>
    </xf>
    <xf numFmtId="9" fontId="0" fillId="0" borderId="1" xfId="1" applyNumberFormat="1" applyFont="1" applyBorder="1">
      <alignment vertical="center"/>
    </xf>
    <xf numFmtId="14" fontId="0" fillId="0" borderId="0" xfId="0" applyNumberFormat="1">
      <alignment vertical="center"/>
    </xf>
    <xf numFmtId="41" fontId="0" fillId="0" borderId="1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41" fontId="0" fillId="0" borderId="7" xfId="1" applyFont="1" applyBorder="1" applyAlignment="1">
      <alignment horizontal="center" vertical="center"/>
    </xf>
  </cellXfs>
  <cellStyles count="5">
    <cellStyle name="백분율" xfId="4" builtinId="5"/>
    <cellStyle name="쉼표 [0]" xfId="1" builtinId="6"/>
    <cellStyle name="쉼표 [0] 2" xfId="2" xr:uid="{00000000-0005-0000-0000-000002000000}"/>
    <cellStyle name="표준" xfId="0" builtinId="0"/>
    <cellStyle name="표준 3" xfId="3" xr:uid="{00000000-0005-0000-0000-000004000000}"/>
  </cellStyles>
  <dxfs count="4"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'기타작업-1'!$G$2</c:f>
              <c:strCache>
                <c:ptCount val="1"/>
                <c:pt idx="0">
                  <c:v>정원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'기타작업-1'!$B$3:$C$7</c:f>
              <c:multiLvlStrCache>
                <c:ptCount val="5"/>
                <c:lvl>
                  <c:pt idx="0">
                    <c:v>서울</c:v>
                  </c:pt>
                  <c:pt idx="1">
                    <c:v>대구</c:v>
                  </c:pt>
                  <c:pt idx="2">
                    <c:v>강원</c:v>
                  </c:pt>
                  <c:pt idx="3">
                    <c:v>서울</c:v>
                  </c:pt>
                  <c:pt idx="4">
                    <c:v>강원</c:v>
                  </c:pt>
                </c:lvl>
                <c:lvl>
                  <c:pt idx="0">
                    <c:v>경희궁초록</c:v>
                  </c:pt>
                  <c:pt idx="1">
                    <c:v>구립마더베어</c:v>
                  </c:pt>
                  <c:pt idx="2">
                    <c:v>라온</c:v>
                  </c:pt>
                  <c:pt idx="3">
                    <c:v>사랑빛</c:v>
                  </c:pt>
                  <c:pt idx="4">
                    <c:v>꿈이 자라는</c:v>
                  </c:pt>
                </c:lvl>
              </c:multiLvlStrCache>
            </c:multiLvlStrRef>
          </c:cat>
          <c:val>
            <c:numRef>
              <c:f>'기타작업-1'!$G$3:$G$7</c:f>
              <c:numCache>
                <c:formatCode>_(* #,##0_);_(* \(#,##0\);_(* "-"_);_(@_)</c:formatCode>
                <c:ptCount val="5"/>
                <c:pt idx="0">
                  <c:v>123</c:v>
                </c:pt>
                <c:pt idx="1">
                  <c:v>138</c:v>
                </c:pt>
                <c:pt idx="2">
                  <c:v>118</c:v>
                </c:pt>
                <c:pt idx="3">
                  <c:v>120</c:v>
                </c:pt>
                <c:pt idx="4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01-49F5-ADE1-BCF5BA1342EA}"/>
            </c:ext>
          </c:extLst>
        </c:ser>
        <c:ser>
          <c:idx val="1"/>
          <c:order val="1"/>
          <c:tx>
            <c:strRef>
              <c:f>'기타작업-1'!$H$2</c:f>
              <c:strCache>
                <c:ptCount val="1"/>
                <c:pt idx="0">
                  <c:v>현원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'기타작업-1'!$B$3:$C$7</c:f>
              <c:multiLvlStrCache>
                <c:ptCount val="5"/>
                <c:lvl>
                  <c:pt idx="0">
                    <c:v>서울</c:v>
                  </c:pt>
                  <c:pt idx="1">
                    <c:v>대구</c:v>
                  </c:pt>
                  <c:pt idx="2">
                    <c:v>강원</c:v>
                  </c:pt>
                  <c:pt idx="3">
                    <c:v>서울</c:v>
                  </c:pt>
                  <c:pt idx="4">
                    <c:v>강원</c:v>
                  </c:pt>
                </c:lvl>
                <c:lvl>
                  <c:pt idx="0">
                    <c:v>경희궁초록</c:v>
                  </c:pt>
                  <c:pt idx="1">
                    <c:v>구립마더베어</c:v>
                  </c:pt>
                  <c:pt idx="2">
                    <c:v>라온</c:v>
                  </c:pt>
                  <c:pt idx="3">
                    <c:v>사랑빛</c:v>
                  </c:pt>
                  <c:pt idx="4">
                    <c:v>꿈이 자라는</c:v>
                  </c:pt>
                </c:lvl>
              </c:multiLvlStrCache>
            </c:multiLvlStrRef>
          </c:cat>
          <c:val>
            <c:numRef>
              <c:f>'기타작업-1'!$H$3:$H$7</c:f>
              <c:numCache>
                <c:formatCode>_(* #,##0_);_(* \(#,##0\);_(* "-"_);_(@_)</c:formatCode>
                <c:ptCount val="5"/>
                <c:pt idx="0">
                  <c:v>121</c:v>
                </c:pt>
                <c:pt idx="1">
                  <c:v>134</c:v>
                </c:pt>
                <c:pt idx="2">
                  <c:v>98</c:v>
                </c:pt>
                <c:pt idx="3">
                  <c:v>115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01-49F5-ADE1-BCF5BA134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14335327"/>
        <c:axId val="414337407"/>
      </c:barChart>
      <c:catAx>
        <c:axId val="41433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4337407"/>
        <c:crosses val="autoZero"/>
        <c:auto val="1"/>
        <c:lblAlgn val="ctr"/>
        <c:lblOffset val="100"/>
        <c:noMultiLvlLbl val="0"/>
      </c:catAx>
      <c:valAx>
        <c:axId val="41433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433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223156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9525</xdr:colOff>
          <xdr:row>4</xdr:row>
          <xdr:rowOff>28575</xdr:rowOff>
        </xdr:to>
        <xdr:sp macro="" textlink="">
          <xdr:nvSpPr>
            <xdr:cNvPr id="2049" name="cmd여행상품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H17"/>
  <sheetViews>
    <sheetView tabSelected="1" workbookViewId="0"/>
  </sheetViews>
  <sheetFormatPr defaultRowHeight="16.5" x14ac:dyDescent="0.3"/>
  <cols>
    <col min="2" max="2" width="10.75" bestFit="1" customWidth="1"/>
    <col min="3" max="3" width="12" customWidth="1"/>
    <col min="5" max="5" width="10.5" bestFit="1" customWidth="1"/>
    <col min="6" max="7" width="9.25" bestFit="1" customWidth="1"/>
  </cols>
  <sheetData>
    <row r="1" spans="1:8" x14ac:dyDescent="0.3">
      <c r="A1" t="s">
        <v>1</v>
      </c>
    </row>
    <row r="2" spans="1:8" x14ac:dyDescent="0.3">
      <c r="A2" s="7" t="s">
        <v>2</v>
      </c>
      <c r="B2" s="7" t="s">
        <v>3</v>
      </c>
      <c r="C2" s="7" t="s">
        <v>4</v>
      </c>
      <c r="D2" s="7" t="s">
        <v>5</v>
      </c>
      <c r="E2" s="8" t="s">
        <v>6</v>
      </c>
      <c r="F2" s="8" t="s">
        <v>7</v>
      </c>
      <c r="G2" s="8" t="s">
        <v>8</v>
      </c>
      <c r="H2" s="7" t="s">
        <v>9</v>
      </c>
    </row>
    <row r="3" spans="1:8" x14ac:dyDescent="0.3">
      <c r="A3" s="7" t="s">
        <v>10</v>
      </c>
      <c r="B3" s="7" t="s">
        <v>11</v>
      </c>
      <c r="C3" s="9">
        <v>45811</v>
      </c>
      <c r="D3" s="7" t="s">
        <v>12</v>
      </c>
      <c r="E3" s="10" t="s">
        <v>13</v>
      </c>
      <c r="F3" s="11">
        <v>80000</v>
      </c>
      <c r="G3" s="12">
        <v>3</v>
      </c>
      <c r="H3" s="10" t="s">
        <v>14</v>
      </c>
    </row>
    <row r="4" spans="1:8" x14ac:dyDescent="0.3">
      <c r="A4" s="7" t="s">
        <v>15</v>
      </c>
      <c r="B4" s="7" t="s">
        <v>16</v>
      </c>
      <c r="C4" s="9">
        <v>45992</v>
      </c>
      <c r="D4" s="7" t="s">
        <v>17</v>
      </c>
      <c r="E4" s="10" t="s">
        <v>18</v>
      </c>
      <c r="F4" s="11">
        <v>120000</v>
      </c>
      <c r="G4" s="12">
        <v>5</v>
      </c>
      <c r="H4" s="10" t="s">
        <v>19</v>
      </c>
    </row>
    <row r="5" spans="1:8" x14ac:dyDescent="0.3">
      <c r="A5" s="7" t="s">
        <v>20</v>
      </c>
      <c r="B5" s="7" t="s">
        <v>21</v>
      </c>
      <c r="C5" s="9">
        <v>45914</v>
      </c>
      <c r="D5" s="7" t="s">
        <v>22</v>
      </c>
      <c r="E5" s="10" t="s">
        <v>23</v>
      </c>
      <c r="F5" s="11">
        <v>140000</v>
      </c>
      <c r="G5" s="12">
        <v>2</v>
      </c>
      <c r="H5" s="10" t="s">
        <v>24</v>
      </c>
    </row>
    <row r="6" spans="1:8" x14ac:dyDescent="0.3">
      <c r="A6" s="7" t="s">
        <v>25</v>
      </c>
      <c r="B6" s="7" t="s">
        <v>26</v>
      </c>
      <c r="C6" s="9">
        <v>45818</v>
      </c>
      <c r="D6" s="7" t="s">
        <v>27</v>
      </c>
      <c r="E6" s="10" t="s">
        <v>23</v>
      </c>
      <c r="F6" s="11">
        <v>70000</v>
      </c>
      <c r="G6" s="12">
        <v>1</v>
      </c>
      <c r="H6" s="10" t="s">
        <v>19</v>
      </c>
    </row>
    <row r="7" spans="1:8" x14ac:dyDescent="0.3">
      <c r="A7" s="7" t="s">
        <v>28</v>
      </c>
      <c r="B7" s="7" t="s">
        <v>29</v>
      </c>
      <c r="C7" s="9">
        <v>45935</v>
      </c>
      <c r="D7" s="7" t="s">
        <v>30</v>
      </c>
      <c r="E7" s="10" t="s">
        <v>23</v>
      </c>
      <c r="F7" s="11">
        <v>50000</v>
      </c>
      <c r="G7" s="12">
        <v>5</v>
      </c>
      <c r="H7" s="10" t="s">
        <v>14</v>
      </c>
    </row>
    <row r="8" spans="1:8" x14ac:dyDescent="0.3">
      <c r="A8" s="7" t="s">
        <v>31</v>
      </c>
      <c r="B8" s="7" t="s">
        <v>32</v>
      </c>
      <c r="C8" s="9">
        <v>45721</v>
      </c>
      <c r="D8" s="7" t="s">
        <v>33</v>
      </c>
      <c r="E8" s="10" t="s">
        <v>34</v>
      </c>
      <c r="F8" s="11">
        <v>180000</v>
      </c>
      <c r="G8" s="12">
        <v>3</v>
      </c>
      <c r="H8" s="10" t="s">
        <v>14</v>
      </c>
    </row>
    <row r="9" spans="1:8" x14ac:dyDescent="0.3">
      <c r="A9" s="7" t="s">
        <v>35</v>
      </c>
      <c r="B9" s="7" t="s">
        <v>36</v>
      </c>
      <c r="C9" s="9">
        <v>45998</v>
      </c>
      <c r="D9" s="7" t="s">
        <v>22</v>
      </c>
      <c r="E9" s="10" t="s">
        <v>13</v>
      </c>
      <c r="F9" s="11">
        <v>230000.00000000003</v>
      </c>
      <c r="G9" s="12">
        <v>4</v>
      </c>
      <c r="H9" s="10" t="s">
        <v>19</v>
      </c>
    </row>
    <row r="10" spans="1:8" x14ac:dyDescent="0.3">
      <c r="A10" s="7" t="s">
        <v>37</v>
      </c>
      <c r="B10" s="7" t="s">
        <v>38</v>
      </c>
      <c r="C10" s="9">
        <v>45813</v>
      </c>
      <c r="D10" s="7" t="s">
        <v>27</v>
      </c>
      <c r="E10" s="10" t="s">
        <v>39</v>
      </c>
      <c r="F10" s="11">
        <v>320000</v>
      </c>
      <c r="G10" s="12">
        <v>5</v>
      </c>
      <c r="H10" s="10" t="s">
        <v>24</v>
      </c>
    </row>
    <row r="11" spans="1:8" x14ac:dyDescent="0.3">
      <c r="A11" s="7" t="s">
        <v>40</v>
      </c>
      <c r="B11" s="7" t="s">
        <v>41</v>
      </c>
      <c r="C11" s="9">
        <v>45741</v>
      </c>
      <c r="D11" s="7" t="s">
        <v>12</v>
      </c>
      <c r="E11" s="10" t="s">
        <v>13</v>
      </c>
      <c r="F11" s="11">
        <v>160000</v>
      </c>
      <c r="G11" s="12">
        <v>3</v>
      </c>
      <c r="H11" s="10" t="s">
        <v>19</v>
      </c>
    </row>
    <row r="12" spans="1:8" x14ac:dyDescent="0.3">
      <c r="A12" s="7" t="s">
        <v>42</v>
      </c>
      <c r="B12" s="7" t="s">
        <v>43</v>
      </c>
      <c r="C12" s="9">
        <v>45757</v>
      </c>
      <c r="D12" s="7" t="s">
        <v>17</v>
      </c>
      <c r="E12" s="10" t="s">
        <v>18</v>
      </c>
      <c r="F12" s="11">
        <v>75000</v>
      </c>
      <c r="G12" s="12">
        <v>4</v>
      </c>
      <c r="H12" s="10" t="s">
        <v>14</v>
      </c>
    </row>
    <row r="13" spans="1:8" x14ac:dyDescent="0.3">
      <c r="A13" s="7" t="s">
        <v>44</v>
      </c>
      <c r="B13" s="7" t="s">
        <v>45</v>
      </c>
      <c r="C13" s="9">
        <v>45885</v>
      </c>
      <c r="D13" s="7" t="s">
        <v>30</v>
      </c>
      <c r="E13" s="10" t="s">
        <v>18</v>
      </c>
      <c r="F13" s="11">
        <v>218000.00000000003</v>
      </c>
      <c r="G13" s="12">
        <v>1</v>
      </c>
      <c r="H13" s="10" t="s">
        <v>14</v>
      </c>
    </row>
    <row r="14" spans="1:8" x14ac:dyDescent="0.3">
      <c r="A14" s="7" t="s">
        <v>46</v>
      </c>
      <c r="B14" s="7" t="s">
        <v>47</v>
      </c>
      <c r="C14" s="9">
        <v>45999</v>
      </c>
      <c r="D14" s="7" t="s">
        <v>48</v>
      </c>
      <c r="E14" s="10" t="s">
        <v>23</v>
      </c>
      <c r="F14" s="11">
        <v>350000</v>
      </c>
      <c r="G14" s="12">
        <v>2</v>
      </c>
      <c r="H14" s="10" t="s">
        <v>24</v>
      </c>
    </row>
    <row r="15" spans="1:8" x14ac:dyDescent="0.3">
      <c r="A15" s="7" t="s">
        <v>49</v>
      </c>
      <c r="B15" s="7" t="s">
        <v>50</v>
      </c>
      <c r="C15" s="9">
        <v>45834</v>
      </c>
      <c r="D15" s="7" t="s">
        <v>12</v>
      </c>
      <c r="E15" s="10" t="s">
        <v>23</v>
      </c>
      <c r="F15" s="11">
        <v>308000</v>
      </c>
      <c r="G15" s="12">
        <v>7</v>
      </c>
      <c r="H15" s="10" t="s">
        <v>24</v>
      </c>
    </row>
    <row r="16" spans="1:8" x14ac:dyDescent="0.3">
      <c r="A16" s="7" t="s">
        <v>51</v>
      </c>
      <c r="B16" s="7" t="s">
        <v>52</v>
      </c>
      <c r="C16" s="9">
        <v>45964</v>
      </c>
      <c r="D16" s="7" t="s">
        <v>17</v>
      </c>
      <c r="E16" s="10" t="s">
        <v>13</v>
      </c>
      <c r="F16" s="11">
        <v>110000</v>
      </c>
      <c r="G16" s="12">
        <v>3</v>
      </c>
      <c r="H16" s="10" t="s">
        <v>19</v>
      </c>
    </row>
    <row r="17" spans="1:8" x14ac:dyDescent="0.3">
      <c r="A17" s="7" t="s">
        <v>53</v>
      </c>
      <c r="B17" s="7" t="s">
        <v>54</v>
      </c>
      <c r="C17" s="9">
        <v>45916</v>
      </c>
      <c r="D17" s="7" t="s">
        <v>22</v>
      </c>
      <c r="E17" s="10" t="s">
        <v>23</v>
      </c>
      <c r="F17" s="11">
        <v>77000</v>
      </c>
      <c r="G17" s="12">
        <v>4</v>
      </c>
      <c r="H17" s="10" t="s">
        <v>24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F32"/>
  <sheetViews>
    <sheetView workbookViewId="0"/>
  </sheetViews>
  <sheetFormatPr defaultRowHeight="16.5" x14ac:dyDescent="0.3"/>
  <cols>
    <col min="1" max="1" width="11.375" customWidth="1"/>
    <col min="2" max="2" width="14.875" customWidth="1"/>
    <col min="3" max="3" width="13.25" customWidth="1"/>
    <col min="4" max="4" width="12.25" customWidth="1"/>
    <col min="5" max="5" width="12.5" customWidth="1"/>
    <col min="6" max="6" width="13" customWidth="1"/>
  </cols>
  <sheetData>
    <row r="2" spans="1:6" x14ac:dyDescent="0.3">
      <c r="A2" s="13" t="s">
        <v>55</v>
      </c>
      <c r="B2" s="13" t="s">
        <v>56</v>
      </c>
      <c r="C2" s="13" t="s">
        <v>57</v>
      </c>
      <c r="D2" s="14" t="s">
        <v>59</v>
      </c>
      <c r="E2" s="14" t="s">
        <v>60</v>
      </c>
      <c r="F2" s="13" t="s">
        <v>58</v>
      </c>
    </row>
    <row r="3" spans="1:6" x14ac:dyDescent="0.3">
      <c r="A3" s="13" t="s">
        <v>61</v>
      </c>
      <c r="B3" s="13" t="s">
        <v>62</v>
      </c>
      <c r="C3" s="13" t="s">
        <v>63</v>
      </c>
      <c r="D3" s="15">
        <v>30</v>
      </c>
      <c r="E3" s="11">
        <v>380000</v>
      </c>
      <c r="F3" s="11" t="s">
        <v>64</v>
      </c>
    </row>
    <row r="4" spans="1:6" x14ac:dyDescent="0.3">
      <c r="A4" s="13" t="s">
        <v>65</v>
      </c>
      <c r="B4" s="13" t="s">
        <v>66</v>
      </c>
      <c r="C4" s="13" t="s">
        <v>67</v>
      </c>
      <c r="D4" s="15">
        <v>60</v>
      </c>
      <c r="E4" s="11">
        <v>390000</v>
      </c>
      <c r="F4" s="11" t="s">
        <v>68</v>
      </c>
    </row>
    <row r="5" spans="1:6" x14ac:dyDescent="0.3">
      <c r="A5" s="13" t="s">
        <v>69</v>
      </c>
      <c r="B5" s="13" t="s">
        <v>70</v>
      </c>
      <c r="C5" s="13" t="s">
        <v>67</v>
      </c>
      <c r="D5" s="15">
        <v>20</v>
      </c>
      <c r="E5" s="11">
        <v>2700000</v>
      </c>
      <c r="F5" s="11" t="s">
        <v>71</v>
      </c>
    </row>
    <row r="6" spans="1:6" x14ac:dyDescent="0.3">
      <c r="A6" s="13" t="s">
        <v>72</v>
      </c>
      <c r="B6" s="13" t="s">
        <v>73</v>
      </c>
      <c r="C6" s="13" t="s">
        <v>67</v>
      </c>
      <c r="D6" s="15">
        <v>25</v>
      </c>
      <c r="E6" s="11">
        <v>1800000</v>
      </c>
      <c r="F6" s="11" t="s">
        <v>74</v>
      </c>
    </row>
    <row r="7" spans="1:6" x14ac:dyDescent="0.3">
      <c r="A7" s="13" t="s">
        <v>75</v>
      </c>
      <c r="B7" s="13" t="s">
        <v>76</v>
      </c>
      <c r="C7" s="13" t="s">
        <v>77</v>
      </c>
      <c r="D7" s="15">
        <v>40</v>
      </c>
      <c r="E7" s="11">
        <v>450000</v>
      </c>
      <c r="F7" s="11" t="s">
        <v>78</v>
      </c>
    </row>
    <row r="8" spans="1:6" x14ac:dyDescent="0.3">
      <c r="A8" s="13" t="s">
        <v>79</v>
      </c>
      <c r="B8" s="13" t="s">
        <v>80</v>
      </c>
      <c r="C8" s="13" t="s">
        <v>67</v>
      </c>
      <c r="D8" s="15">
        <v>40</v>
      </c>
      <c r="E8" s="11">
        <v>680000</v>
      </c>
      <c r="F8" s="11" t="s">
        <v>78</v>
      </c>
    </row>
    <row r="9" spans="1:6" x14ac:dyDescent="0.3">
      <c r="A9" s="13" t="s">
        <v>82</v>
      </c>
      <c r="B9" s="13" t="s">
        <v>83</v>
      </c>
      <c r="C9" s="13" t="s">
        <v>77</v>
      </c>
      <c r="D9" s="15">
        <v>30</v>
      </c>
      <c r="E9" s="11">
        <v>490000</v>
      </c>
      <c r="F9" s="11" t="s">
        <v>64</v>
      </c>
    </row>
    <row r="10" spans="1:6" x14ac:dyDescent="0.3">
      <c r="A10" s="24" t="s">
        <v>89</v>
      </c>
      <c r="B10" s="24" t="s">
        <v>90</v>
      </c>
      <c r="C10" s="24" t="s">
        <v>63</v>
      </c>
      <c r="D10" s="16">
        <v>25</v>
      </c>
      <c r="E10" s="17">
        <v>390000</v>
      </c>
      <c r="F10" s="24" t="s">
        <v>78</v>
      </c>
    </row>
    <row r="11" spans="1:6" x14ac:dyDescent="0.3">
      <c r="A11" s="24" t="s">
        <v>91</v>
      </c>
      <c r="B11" s="24" t="s">
        <v>92</v>
      </c>
      <c r="C11" s="24" t="s">
        <v>63</v>
      </c>
      <c r="D11" s="16">
        <v>35</v>
      </c>
      <c r="E11" s="17">
        <v>450000</v>
      </c>
      <c r="F11" s="24" t="s">
        <v>64</v>
      </c>
    </row>
    <row r="12" spans="1:6" x14ac:dyDescent="0.3">
      <c r="A12" s="24" t="s">
        <v>93</v>
      </c>
      <c r="B12" s="24" t="s">
        <v>94</v>
      </c>
      <c r="C12" s="24" t="s">
        <v>77</v>
      </c>
      <c r="D12" s="16">
        <v>20</v>
      </c>
      <c r="E12" s="17">
        <v>400000</v>
      </c>
      <c r="F12" s="24" t="s">
        <v>68</v>
      </c>
    </row>
    <row r="13" spans="1:6" x14ac:dyDescent="0.3">
      <c r="A13" s="24" t="s">
        <v>95</v>
      </c>
      <c r="B13" s="24" t="s">
        <v>96</v>
      </c>
      <c r="C13" s="24" t="s">
        <v>67</v>
      </c>
      <c r="D13" s="16">
        <v>45</v>
      </c>
      <c r="E13" s="17">
        <v>580000</v>
      </c>
      <c r="F13" s="24" t="s">
        <v>68</v>
      </c>
    </row>
    <row r="14" spans="1:6" x14ac:dyDescent="0.3">
      <c r="A14" s="24" t="s">
        <v>97</v>
      </c>
      <c r="B14" s="24" t="s">
        <v>98</v>
      </c>
      <c r="C14" s="24" t="s">
        <v>77</v>
      </c>
      <c r="D14" s="16">
        <v>50</v>
      </c>
      <c r="E14" s="17">
        <v>490000</v>
      </c>
      <c r="F14" s="24" t="s">
        <v>78</v>
      </c>
    </row>
    <row r="15" spans="1:6" x14ac:dyDescent="0.3">
      <c r="A15" s="24" t="s">
        <v>99</v>
      </c>
      <c r="B15" s="24" t="s">
        <v>100</v>
      </c>
      <c r="C15" s="24" t="s">
        <v>77</v>
      </c>
      <c r="D15" s="16">
        <v>35</v>
      </c>
      <c r="E15" s="17">
        <v>399000</v>
      </c>
      <c r="F15" s="24" t="s">
        <v>68</v>
      </c>
    </row>
    <row r="16" spans="1:6" x14ac:dyDescent="0.3">
      <c r="A16" s="24" t="s">
        <v>101</v>
      </c>
      <c r="B16" s="24" t="s">
        <v>102</v>
      </c>
      <c r="C16" s="24" t="s">
        <v>67</v>
      </c>
      <c r="D16" s="16">
        <v>25</v>
      </c>
      <c r="E16" s="17">
        <v>1850000</v>
      </c>
      <c r="F16" s="24" t="s">
        <v>74</v>
      </c>
    </row>
    <row r="17" spans="1:6" x14ac:dyDescent="0.3">
      <c r="A17" s="13" t="s">
        <v>84</v>
      </c>
      <c r="B17" s="13" t="s">
        <v>85</v>
      </c>
      <c r="C17" s="13" t="s">
        <v>63</v>
      </c>
      <c r="D17" s="15">
        <v>25</v>
      </c>
      <c r="E17" s="11">
        <v>590000</v>
      </c>
      <c r="F17" s="11" t="s">
        <v>64</v>
      </c>
    </row>
    <row r="18" spans="1:6" x14ac:dyDescent="0.3">
      <c r="A18" s="24" t="s">
        <v>86</v>
      </c>
      <c r="B18" s="24" t="s">
        <v>87</v>
      </c>
      <c r="C18" s="24" t="s">
        <v>67</v>
      </c>
      <c r="D18" s="16">
        <v>30</v>
      </c>
      <c r="E18" s="17">
        <v>750000</v>
      </c>
      <c r="F18" s="24" t="s">
        <v>64</v>
      </c>
    </row>
    <row r="19" spans="1:6" x14ac:dyDescent="0.3">
      <c r="A19" s="24" t="s">
        <v>110</v>
      </c>
      <c r="B19" s="24" t="s">
        <v>107</v>
      </c>
      <c r="C19" s="24" t="s">
        <v>77</v>
      </c>
      <c r="D19" s="16">
        <v>35</v>
      </c>
      <c r="E19" s="3">
        <v>420000</v>
      </c>
      <c r="F19" s="3" t="s">
        <v>64</v>
      </c>
    </row>
    <row r="20" spans="1:6" x14ac:dyDescent="0.3">
      <c r="A20" s="24" t="s">
        <v>0</v>
      </c>
      <c r="B20" s="24" t="s">
        <v>108</v>
      </c>
      <c r="C20" s="24" t="s">
        <v>67</v>
      </c>
      <c r="D20" s="16">
        <v>30</v>
      </c>
      <c r="E20" s="3">
        <v>2870000</v>
      </c>
      <c r="F20" s="3" t="s">
        <v>112</v>
      </c>
    </row>
    <row r="21" spans="1:6" x14ac:dyDescent="0.3">
      <c r="A21" s="24" t="s">
        <v>116</v>
      </c>
      <c r="B21" s="24" t="s">
        <v>114</v>
      </c>
      <c r="C21" s="24" t="s">
        <v>63</v>
      </c>
      <c r="D21" s="16">
        <v>25</v>
      </c>
      <c r="E21" s="3">
        <v>350000</v>
      </c>
      <c r="F21" s="3" t="s">
        <v>78</v>
      </c>
    </row>
    <row r="22" spans="1:6" x14ac:dyDescent="0.3">
      <c r="A22" s="24" t="s">
        <v>117</v>
      </c>
      <c r="B22" s="24" t="s">
        <v>109</v>
      </c>
      <c r="C22" s="24" t="s">
        <v>67</v>
      </c>
      <c r="D22" s="16">
        <v>20</v>
      </c>
      <c r="E22" s="3">
        <v>3500000</v>
      </c>
      <c r="F22" s="3" t="s">
        <v>74</v>
      </c>
    </row>
    <row r="23" spans="1:6" x14ac:dyDescent="0.3">
      <c r="A23" s="24" t="s">
        <v>118</v>
      </c>
      <c r="B23" s="24" t="s">
        <v>90</v>
      </c>
      <c r="C23" s="24" t="s">
        <v>63</v>
      </c>
      <c r="D23" s="16">
        <v>40</v>
      </c>
      <c r="E23" s="3">
        <v>390000</v>
      </c>
      <c r="F23" s="3" t="s">
        <v>68</v>
      </c>
    </row>
    <row r="24" spans="1:6" x14ac:dyDescent="0.3">
      <c r="A24" s="25" t="s">
        <v>190</v>
      </c>
      <c r="B24" s="25" t="s">
        <v>168</v>
      </c>
      <c r="C24" s="25" t="s">
        <v>170</v>
      </c>
      <c r="D24" s="17">
        <v>10</v>
      </c>
      <c r="E24" s="17">
        <v>740000</v>
      </c>
      <c r="F24" s="25" t="s">
        <v>169</v>
      </c>
    </row>
    <row r="25" spans="1:6" x14ac:dyDescent="0.3">
      <c r="A25" s="25" t="s">
        <v>191</v>
      </c>
      <c r="B25" s="25" t="s">
        <v>171</v>
      </c>
      <c r="C25" s="25" t="s">
        <v>167</v>
      </c>
      <c r="D25" s="17">
        <v>15</v>
      </c>
      <c r="E25" s="17">
        <v>849000</v>
      </c>
      <c r="F25" s="25" t="s">
        <v>172</v>
      </c>
    </row>
    <row r="26" spans="1:6" x14ac:dyDescent="0.3">
      <c r="A26" s="25" t="s">
        <v>192</v>
      </c>
      <c r="B26" s="25" t="s">
        <v>173</v>
      </c>
      <c r="C26" s="25" t="s">
        <v>174</v>
      </c>
      <c r="D26" s="17">
        <v>13</v>
      </c>
      <c r="E26" s="17">
        <v>1290000</v>
      </c>
      <c r="F26" s="25" t="s">
        <v>175</v>
      </c>
    </row>
    <row r="27" spans="1:6" x14ac:dyDescent="0.3">
      <c r="A27" s="25" t="s">
        <v>193</v>
      </c>
      <c r="B27" s="25" t="s">
        <v>176</v>
      </c>
      <c r="C27" s="25" t="s">
        <v>174</v>
      </c>
      <c r="D27" s="17">
        <v>15</v>
      </c>
      <c r="E27" s="17">
        <v>3290000</v>
      </c>
      <c r="F27" s="25" t="s">
        <v>177</v>
      </c>
    </row>
    <row r="28" spans="1:6" x14ac:dyDescent="0.3">
      <c r="A28" s="25" t="s">
        <v>194</v>
      </c>
      <c r="B28" s="25" t="s">
        <v>178</v>
      </c>
      <c r="C28" s="25" t="s">
        <v>179</v>
      </c>
      <c r="D28" s="17">
        <v>20</v>
      </c>
      <c r="E28" s="17">
        <v>3390000</v>
      </c>
      <c r="F28" s="25" t="s">
        <v>177</v>
      </c>
    </row>
    <row r="29" spans="1:6" x14ac:dyDescent="0.3">
      <c r="A29" s="25" t="s">
        <v>195</v>
      </c>
      <c r="B29" s="25" t="s">
        <v>180</v>
      </c>
      <c r="C29" s="25" t="s">
        <v>174</v>
      </c>
      <c r="D29" s="17">
        <v>10</v>
      </c>
      <c r="E29" s="17">
        <v>4590000</v>
      </c>
      <c r="F29" s="25" t="s">
        <v>181</v>
      </c>
    </row>
    <row r="30" spans="1:6" x14ac:dyDescent="0.3">
      <c r="A30" s="25" t="s">
        <v>196</v>
      </c>
      <c r="B30" s="25" t="s">
        <v>182</v>
      </c>
      <c r="C30" s="25" t="s">
        <v>184</v>
      </c>
      <c r="D30" s="17">
        <v>13</v>
      </c>
      <c r="E30" s="17">
        <v>1700000</v>
      </c>
      <c r="F30" s="25" t="s">
        <v>183</v>
      </c>
    </row>
    <row r="31" spans="1:6" x14ac:dyDescent="0.3">
      <c r="A31" s="25" t="s">
        <v>197</v>
      </c>
      <c r="B31" s="25" t="s">
        <v>185</v>
      </c>
      <c r="C31" s="25" t="s">
        <v>188</v>
      </c>
      <c r="D31" s="17">
        <v>8</v>
      </c>
      <c r="E31" s="17">
        <v>2590000</v>
      </c>
      <c r="F31" s="25" t="s">
        <v>187</v>
      </c>
    </row>
    <row r="32" spans="1:6" x14ac:dyDescent="0.3">
      <c r="A32" s="25" t="s">
        <v>198</v>
      </c>
      <c r="B32" s="25" t="s">
        <v>186</v>
      </c>
      <c r="C32" s="25" t="s">
        <v>167</v>
      </c>
      <c r="D32" s="17">
        <v>6</v>
      </c>
      <c r="E32" s="17">
        <v>7420000</v>
      </c>
      <c r="F32" s="25" t="s">
        <v>189</v>
      </c>
    </row>
  </sheetData>
  <phoneticPr fontId="1" type="noConversion"/>
  <conditionalFormatting sqref="A11:A16">
    <cfRule type="expression" dxfId="3" priority="2">
      <formula>ISODD(QUOTIENT(#REF!,100))</formula>
    </cfRule>
  </conditionalFormatting>
  <conditionalFormatting sqref="A17:A23">
    <cfRule type="expression" dxfId="2" priority="1">
      <formula>ISODD(QUOTIENT(#REF!,100))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H33"/>
  <sheetViews>
    <sheetView workbookViewId="0"/>
  </sheetViews>
  <sheetFormatPr defaultRowHeight="16.5" x14ac:dyDescent="0.3"/>
  <cols>
    <col min="1" max="1" width="8.875" bestFit="1" customWidth="1"/>
    <col min="2" max="2" width="13.875" bestFit="1" customWidth="1"/>
    <col min="3" max="3" width="14.875" bestFit="1" customWidth="1"/>
    <col min="4" max="4" width="13.875" bestFit="1" customWidth="1"/>
    <col min="5" max="5" width="12.375" bestFit="1" customWidth="1"/>
    <col min="6" max="6" width="8.5" bestFit="1" customWidth="1"/>
    <col min="7" max="7" width="14.375" bestFit="1" customWidth="1"/>
    <col min="8" max="8" width="12.375" bestFit="1" customWidth="1"/>
  </cols>
  <sheetData>
    <row r="1" spans="1:8" x14ac:dyDescent="0.3">
      <c r="A1" t="s">
        <v>199</v>
      </c>
    </row>
    <row r="2" spans="1:8" x14ac:dyDescent="0.3">
      <c r="A2" s="28" t="s">
        <v>200</v>
      </c>
      <c r="B2" s="28" t="s">
        <v>201</v>
      </c>
      <c r="C2" s="28" t="s">
        <v>202</v>
      </c>
      <c r="D2" s="28" t="s">
        <v>203</v>
      </c>
      <c r="E2" s="29" t="s">
        <v>204</v>
      </c>
      <c r="F2" s="28" t="s">
        <v>205</v>
      </c>
      <c r="G2" s="29" t="s">
        <v>206</v>
      </c>
      <c r="H2" s="29" t="s">
        <v>207</v>
      </c>
    </row>
    <row r="3" spans="1:8" x14ac:dyDescent="0.3">
      <c r="A3" s="28" t="s">
        <v>208</v>
      </c>
      <c r="B3" s="4">
        <v>101</v>
      </c>
      <c r="C3" s="4">
        <v>4</v>
      </c>
      <c r="D3" s="4">
        <v>319</v>
      </c>
      <c r="E3" s="17"/>
      <c r="F3" s="17">
        <v>330</v>
      </c>
      <c r="G3" s="28"/>
      <c r="H3" s="4"/>
    </row>
    <row r="4" spans="1:8" x14ac:dyDescent="0.3">
      <c r="A4" s="28" t="s">
        <v>209</v>
      </c>
      <c r="B4" s="4">
        <v>101</v>
      </c>
      <c r="C4" s="4">
        <v>5</v>
      </c>
      <c r="D4" s="4">
        <v>409</v>
      </c>
      <c r="E4" s="17"/>
      <c r="F4" s="17">
        <v>400</v>
      </c>
      <c r="G4" s="28"/>
      <c r="H4" s="4"/>
    </row>
    <row r="5" spans="1:8" x14ac:dyDescent="0.3">
      <c r="A5" s="28" t="s">
        <v>211</v>
      </c>
      <c r="B5" s="4">
        <v>203</v>
      </c>
      <c r="C5" s="4">
        <v>3</v>
      </c>
      <c r="D5" s="4">
        <v>310</v>
      </c>
      <c r="E5" s="17"/>
      <c r="F5" s="17">
        <v>350</v>
      </c>
      <c r="G5" s="28"/>
      <c r="H5" s="4"/>
    </row>
    <row r="6" spans="1:8" x14ac:dyDescent="0.3">
      <c r="A6" s="28" t="s">
        <v>208</v>
      </c>
      <c r="B6" s="4">
        <v>201</v>
      </c>
      <c r="C6" s="4">
        <v>4</v>
      </c>
      <c r="D6" s="4">
        <v>423</v>
      </c>
      <c r="E6" s="17"/>
      <c r="F6" s="17">
        <v>450</v>
      </c>
      <c r="G6" s="28"/>
      <c r="H6" s="4"/>
    </row>
    <row r="7" spans="1:8" x14ac:dyDescent="0.3">
      <c r="A7" s="28" t="s">
        <v>211</v>
      </c>
      <c r="B7" s="4">
        <v>303</v>
      </c>
      <c r="C7" s="4">
        <v>2</v>
      </c>
      <c r="D7" s="4">
        <v>258</v>
      </c>
      <c r="E7" s="17"/>
      <c r="F7" s="17">
        <v>280</v>
      </c>
      <c r="G7" s="28"/>
      <c r="H7" s="4"/>
    </row>
    <row r="8" spans="1:8" x14ac:dyDescent="0.3">
      <c r="A8" s="28" t="s">
        <v>208</v>
      </c>
      <c r="B8" s="4">
        <v>303</v>
      </c>
      <c r="C8" s="4">
        <v>1</v>
      </c>
      <c r="D8" s="4">
        <v>189</v>
      </c>
      <c r="E8" s="17"/>
      <c r="F8" s="17">
        <v>200</v>
      </c>
      <c r="G8" s="28"/>
      <c r="H8" s="4"/>
    </row>
    <row r="9" spans="1:8" x14ac:dyDescent="0.3">
      <c r="A9" s="28" t="s">
        <v>209</v>
      </c>
      <c r="B9" s="4">
        <v>202</v>
      </c>
      <c r="C9" s="4">
        <v>3</v>
      </c>
      <c r="D9" s="4">
        <v>329</v>
      </c>
      <c r="E9" s="17"/>
      <c r="F9" s="17">
        <v>320</v>
      </c>
      <c r="G9" s="28"/>
      <c r="H9" s="4"/>
    </row>
    <row r="10" spans="1:8" x14ac:dyDescent="0.3">
      <c r="A10" s="28" t="s">
        <v>208</v>
      </c>
      <c r="B10" s="4">
        <v>401</v>
      </c>
      <c r="C10" s="4">
        <v>2</v>
      </c>
      <c r="D10" s="4">
        <v>195</v>
      </c>
      <c r="E10" s="17"/>
      <c r="F10" s="17">
        <v>200</v>
      </c>
      <c r="G10" s="28"/>
      <c r="H10" s="4"/>
    </row>
    <row r="11" spans="1:8" x14ac:dyDescent="0.3">
      <c r="A11" s="28" t="s">
        <v>210</v>
      </c>
      <c r="B11" s="4">
        <v>402</v>
      </c>
      <c r="C11" s="4">
        <v>3</v>
      </c>
      <c r="D11" s="4">
        <v>262</v>
      </c>
      <c r="E11" s="17"/>
      <c r="F11" s="17">
        <v>290</v>
      </c>
      <c r="G11" s="28"/>
      <c r="H11" s="4"/>
    </row>
    <row r="12" spans="1:8" x14ac:dyDescent="0.3">
      <c r="A12" s="28" t="s">
        <v>208</v>
      </c>
      <c r="B12" s="4">
        <v>502</v>
      </c>
      <c r="C12" s="4">
        <v>2</v>
      </c>
      <c r="D12" s="4">
        <v>199</v>
      </c>
      <c r="E12" s="17"/>
      <c r="F12" s="17">
        <v>220</v>
      </c>
      <c r="G12" s="28"/>
      <c r="H12" s="4"/>
    </row>
    <row r="13" spans="1:8" x14ac:dyDescent="0.3">
      <c r="A13" s="28" t="s">
        <v>209</v>
      </c>
      <c r="B13" s="4">
        <v>303</v>
      </c>
      <c r="C13" s="4">
        <v>4</v>
      </c>
      <c r="D13" s="4">
        <v>341</v>
      </c>
      <c r="E13" s="17"/>
      <c r="F13" s="17">
        <v>360</v>
      </c>
      <c r="G13" s="28"/>
      <c r="H13" s="4"/>
    </row>
    <row r="14" spans="1:8" x14ac:dyDescent="0.3">
      <c r="A14" s="28" t="s">
        <v>210</v>
      </c>
      <c r="B14" s="4">
        <v>501</v>
      </c>
      <c r="C14" s="4">
        <v>6</v>
      </c>
      <c r="D14" s="4">
        <v>411</v>
      </c>
      <c r="E14" s="17"/>
      <c r="F14" s="17">
        <v>480</v>
      </c>
      <c r="G14" s="28"/>
      <c r="H14" s="4"/>
    </row>
    <row r="15" spans="1:8" x14ac:dyDescent="0.3">
      <c r="A15" s="28" t="s">
        <v>208</v>
      </c>
      <c r="B15" s="4">
        <v>601</v>
      </c>
      <c r="C15" s="4">
        <v>3</v>
      </c>
      <c r="D15" s="4">
        <v>274</v>
      </c>
      <c r="E15" s="17"/>
      <c r="F15" s="17">
        <v>310</v>
      </c>
      <c r="G15" s="28"/>
      <c r="H15" s="4"/>
    </row>
    <row r="16" spans="1:8" x14ac:dyDescent="0.3">
      <c r="A16" s="28" t="s">
        <v>209</v>
      </c>
      <c r="B16" s="4">
        <v>402</v>
      </c>
      <c r="C16" s="4">
        <v>7</v>
      </c>
      <c r="D16" s="4">
        <v>420</v>
      </c>
      <c r="E16" s="17"/>
      <c r="F16" s="17">
        <v>450</v>
      </c>
      <c r="G16" s="28"/>
      <c r="H16" s="4"/>
    </row>
    <row r="18" spans="1:7" x14ac:dyDescent="0.3">
      <c r="A18" t="s">
        <v>213</v>
      </c>
    </row>
    <row r="19" spans="1:7" x14ac:dyDescent="0.3">
      <c r="A19" s="28" t="s">
        <v>200</v>
      </c>
      <c r="B19" s="29" t="s">
        <v>212</v>
      </c>
      <c r="C19" s="29" t="s">
        <v>209</v>
      </c>
      <c r="D19" s="29" t="s">
        <v>214</v>
      </c>
    </row>
    <row r="20" spans="1:7" x14ac:dyDescent="0.3">
      <c r="A20" s="28" t="s">
        <v>215</v>
      </c>
      <c r="B20" s="28"/>
      <c r="C20" s="28"/>
      <c r="D20" s="28"/>
    </row>
    <row r="22" spans="1:7" x14ac:dyDescent="0.3">
      <c r="A22" t="s">
        <v>216</v>
      </c>
    </row>
    <row r="23" spans="1:7" x14ac:dyDescent="0.3">
      <c r="A23" s="28" t="s">
        <v>217</v>
      </c>
      <c r="B23" s="29">
        <v>1</v>
      </c>
      <c r="C23" s="29">
        <v>2</v>
      </c>
      <c r="D23" s="29">
        <v>3</v>
      </c>
    </row>
    <row r="24" spans="1:7" x14ac:dyDescent="0.3">
      <c r="A24" s="28" t="s">
        <v>208</v>
      </c>
      <c r="B24" s="28"/>
      <c r="C24" s="28"/>
      <c r="D24" s="28"/>
    </row>
    <row r="25" spans="1:7" x14ac:dyDescent="0.3">
      <c r="A25" s="28" t="s">
        <v>209</v>
      </c>
      <c r="B25" s="28"/>
      <c r="C25" s="28"/>
      <c r="D25" s="28"/>
    </row>
    <row r="26" spans="1:7" x14ac:dyDescent="0.3">
      <c r="A26" s="28" t="s">
        <v>211</v>
      </c>
      <c r="B26" s="28"/>
      <c r="C26" s="28"/>
      <c r="D26" s="28"/>
    </row>
    <row r="28" spans="1:7" x14ac:dyDescent="0.3">
      <c r="A28" t="s">
        <v>218</v>
      </c>
      <c r="D28" s="21"/>
      <c r="E28" s="39" t="s">
        <v>219</v>
      </c>
      <c r="F28" s="39"/>
      <c r="G28" s="39"/>
    </row>
    <row r="29" spans="1:7" x14ac:dyDescent="0.3">
      <c r="A29" s="40" t="s">
        <v>220</v>
      </c>
      <c r="B29" s="41"/>
      <c r="C29" s="44" t="s">
        <v>221</v>
      </c>
      <c r="D29" s="46" t="s">
        <v>222</v>
      </c>
      <c r="E29" s="30">
        <v>1</v>
      </c>
      <c r="F29" s="31">
        <v>5</v>
      </c>
      <c r="G29" s="31">
        <v>7</v>
      </c>
    </row>
    <row r="30" spans="1:7" x14ac:dyDescent="0.3">
      <c r="A30" s="42"/>
      <c r="B30" s="43"/>
      <c r="C30" s="45"/>
      <c r="D30" s="47"/>
      <c r="E30" s="32">
        <v>5</v>
      </c>
      <c r="F30" s="33">
        <v>7</v>
      </c>
      <c r="G30" s="33"/>
    </row>
    <row r="31" spans="1:7" x14ac:dyDescent="0.3">
      <c r="A31" s="34">
        <v>1</v>
      </c>
      <c r="B31" s="35">
        <v>200</v>
      </c>
      <c r="C31" s="17">
        <v>730</v>
      </c>
      <c r="D31" s="36">
        <v>78.3</v>
      </c>
      <c r="E31" s="37">
        <v>0</v>
      </c>
      <c r="F31" s="5">
        <v>0.05</v>
      </c>
      <c r="G31" s="5">
        <v>7.0000000000000007E-2</v>
      </c>
    </row>
    <row r="32" spans="1:7" x14ac:dyDescent="0.3">
      <c r="A32" s="34">
        <v>201</v>
      </c>
      <c r="B32" s="35">
        <v>400</v>
      </c>
      <c r="C32" s="17">
        <v>1260</v>
      </c>
      <c r="D32" s="36">
        <v>147.30000000000001</v>
      </c>
      <c r="E32" s="37">
        <v>0</v>
      </c>
      <c r="F32" s="5">
        <v>0.03</v>
      </c>
      <c r="G32" s="5">
        <v>0.05</v>
      </c>
    </row>
    <row r="33" spans="1:7" x14ac:dyDescent="0.3">
      <c r="A33" s="34">
        <v>400</v>
      </c>
      <c r="B33" s="35"/>
      <c r="C33" s="17">
        <v>6060</v>
      </c>
      <c r="D33" s="36">
        <v>215.6</v>
      </c>
      <c r="E33" s="5">
        <v>0</v>
      </c>
      <c r="F33" s="5">
        <v>0.02</v>
      </c>
      <c r="G33" s="5">
        <v>0.03</v>
      </c>
    </row>
  </sheetData>
  <mergeCells count="4">
    <mergeCell ref="E28:G28"/>
    <mergeCell ref="A29:B30"/>
    <mergeCell ref="C29:C30"/>
    <mergeCell ref="D29:D30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"/>
  <sheetViews>
    <sheetView workbookViewId="0"/>
  </sheetViews>
  <sheetFormatPr defaultRowHeight="16.5" x14ac:dyDescent="0.3"/>
  <cols>
    <col min="1" max="1" width="8.625" customWidth="1"/>
  </cols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F9"/>
  <sheetViews>
    <sheetView workbookViewId="0"/>
  </sheetViews>
  <sheetFormatPr defaultRowHeight="16.5" x14ac:dyDescent="0.3"/>
  <cols>
    <col min="1" max="1" width="9.25" bestFit="1" customWidth="1"/>
    <col min="2" max="2" width="11.25" bestFit="1" customWidth="1"/>
    <col min="3" max="3" width="11" bestFit="1" customWidth="1"/>
    <col min="4" max="4" width="11.125" bestFit="1" customWidth="1"/>
    <col min="5" max="5" width="10.625" bestFit="1" customWidth="1"/>
  </cols>
  <sheetData>
    <row r="2" spans="1:6" x14ac:dyDescent="0.3">
      <c r="A2" s="13" t="s">
        <v>55</v>
      </c>
      <c r="B2" s="13" t="s">
        <v>56</v>
      </c>
      <c r="C2" s="13" t="s">
        <v>57</v>
      </c>
      <c r="D2" s="14" t="s">
        <v>59</v>
      </c>
      <c r="E2" s="14" t="s">
        <v>60</v>
      </c>
      <c r="F2" s="13" t="s">
        <v>58</v>
      </c>
    </row>
    <row r="3" spans="1:6" x14ac:dyDescent="0.3">
      <c r="A3" s="13" t="s">
        <v>61</v>
      </c>
      <c r="B3" s="13" t="s">
        <v>62</v>
      </c>
      <c r="C3" s="13" t="s">
        <v>63</v>
      </c>
      <c r="D3" s="15">
        <v>30</v>
      </c>
      <c r="E3" s="11">
        <v>380000</v>
      </c>
      <c r="F3" s="11" t="s">
        <v>64</v>
      </c>
    </row>
    <row r="4" spans="1:6" x14ac:dyDescent="0.3">
      <c r="A4" s="13" t="s">
        <v>65</v>
      </c>
      <c r="B4" s="13" t="s">
        <v>66</v>
      </c>
      <c r="C4" s="13" t="s">
        <v>67</v>
      </c>
      <c r="D4" s="15">
        <v>60</v>
      </c>
      <c r="E4" s="11">
        <v>390000</v>
      </c>
      <c r="F4" s="11" t="s">
        <v>68</v>
      </c>
    </row>
    <row r="5" spans="1:6" x14ac:dyDescent="0.3">
      <c r="A5" s="13" t="s">
        <v>69</v>
      </c>
      <c r="B5" s="13" t="s">
        <v>70</v>
      </c>
      <c r="C5" s="13" t="s">
        <v>67</v>
      </c>
      <c r="D5" s="15">
        <v>20</v>
      </c>
      <c r="E5" s="11">
        <v>2700000</v>
      </c>
      <c r="F5" s="11" t="s">
        <v>71</v>
      </c>
    </row>
    <row r="6" spans="1:6" x14ac:dyDescent="0.3">
      <c r="A6" s="13" t="s">
        <v>72</v>
      </c>
      <c r="B6" s="13" t="s">
        <v>73</v>
      </c>
      <c r="C6" s="13" t="s">
        <v>67</v>
      </c>
      <c r="D6" s="15">
        <v>25</v>
      </c>
      <c r="E6" s="11">
        <v>1800000</v>
      </c>
      <c r="F6" s="11" t="s">
        <v>74</v>
      </c>
    </row>
    <row r="7" spans="1:6" x14ac:dyDescent="0.3">
      <c r="A7" s="13" t="s">
        <v>75</v>
      </c>
      <c r="B7" s="13" t="s">
        <v>76</v>
      </c>
      <c r="C7" s="13" t="s">
        <v>77</v>
      </c>
      <c r="D7" s="15">
        <v>40</v>
      </c>
      <c r="E7" s="11">
        <v>450000</v>
      </c>
      <c r="F7" s="11" t="s">
        <v>78</v>
      </c>
    </row>
    <row r="8" spans="1:6" x14ac:dyDescent="0.3">
      <c r="A8" s="13" t="s">
        <v>79</v>
      </c>
      <c r="B8" s="13" t="s">
        <v>80</v>
      </c>
      <c r="C8" s="13" t="s">
        <v>67</v>
      </c>
      <c r="D8" s="15">
        <v>40</v>
      </c>
      <c r="E8" s="11">
        <v>680000</v>
      </c>
      <c r="F8" s="11" t="s">
        <v>81</v>
      </c>
    </row>
    <row r="9" spans="1:6" x14ac:dyDescent="0.3">
      <c r="A9" s="13" t="s">
        <v>82</v>
      </c>
      <c r="B9" s="13" t="s">
        <v>83</v>
      </c>
      <c r="C9" s="13" t="s">
        <v>77</v>
      </c>
      <c r="D9" s="15">
        <v>30</v>
      </c>
      <c r="E9" s="11">
        <v>490000</v>
      </c>
      <c r="F9" s="11" t="s">
        <v>64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0"/>
  <dimension ref="A2:F9"/>
  <sheetViews>
    <sheetView workbookViewId="0"/>
  </sheetViews>
  <sheetFormatPr defaultRowHeight="16.5" x14ac:dyDescent="0.3"/>
  <cols>
    <col min="1" max="1" width="9.25" bestFit="1" customWidth="1"/>
    <col min="2" max="2" width="11.125" bestFit="1" customWidth="1"/>
    <col min="3" max="3" width="11" bestFit="1" customWidth="1"/>
    <col min="4" max="4" width="11.125" bestFit="1" customWidth="1"/>
    <col min="5" max="5" width="10.625" bestFit="1" customWidth="1"/>
  </cols>
  <sheetData>
    <row r="2" spans="1:6" x14ac:dyDescent="0.3">
      <c r="A2" s="13" t="s">
        <v>55</v>
      </c>
      <c r="B2" s="13" t="s">
        <v>56</v>
      </c>
      <c r="C2" s="13" t="s">
        <v>57</v>
      </c>
      <c r="D2" s="14" t="s">
        <v>59</v>
      </c>
      <c r="E2" s="14" t="s">
        <v>60</v>
      </c>
      <c r="F2" s="13" t="s">
        <v>58</v>
      </c>
    </row>
    <row r="3" spans="1:6" x14ac:dyDescent="0.3">
      <c r="A3" s="6" t="s">
        <v>89</v>
      </c>
      <c r="B3" s="6" t="s">
        <v>90</v>
      </c>
      <c r="C3" s="6" t="s">
        <v>63</v>
      </c>
      <c r="D3" s="16">
        <v>25</v>
      </c>
      <c r="E3" s="17">
        <v>390000</v>
      </c>
      <c r="F3" s="6" t="s">
        <v>81</v>
      </c>
    </row>
    <row r="4" spans="1:6" x14ac:dyDescent="0.3">
      <c r="A4" s="6" t="s">
        <v>91</v>
      </c>
      <c r="B4" s="6" t="s">
        <v>92</v>
      </c>
      <c r="C4" s="6" t="s">
        <v>63</v>
      </c>
      <c r="D4" s="16">
        <v>35</v>
      </c>
      <c r="E4" s="17">
        <v>450000</v>
      </c>
      <c r="F4" s="6" t="s">
        <v>88</v>
      </c>
    </row>
    <row r="5" spans="1:6" x14ac:dyDescent="0.3">
      <c r="A5" s="6" t="s">
        <v>93</v>
      </c>
      <c r="B5" s="6" t="s">
        <v>94</v>
      </c>
      <c r="C5" s="6" t="s">
        <v>77</v>
      </c>
      <c r="D5" s="16">
        <v>20</v>
      </c>
      <c r="E5" s="17">
        <v>400000</v>
      </c>
      <c r="F5" s="6" t="s">
        <v>68</v>
      </c>
    </row>
    <row r="6" spans="1:6" x14ac:dyDescent="0.3">
      <c r="A6" s="6" t="s">
        <v>95</v>
      </c>
      <c r="B6" s="6" t="s">
        <v>96</v>
      </c>
      <c r="C6" s="6" t="s">
        <v>67</v>
      </c>
      <c r="D6" s="16">
        <v>45</v>
      </c>
      <c r="E6" s="17">
        <v>580000</v>
      </c>
      <c r="F6" s="6" t="s">
        <v>68</v>
      </c>
    </row>
    <row r="7" spans="1:6" x14ac:dyDescent="0.3">
      <c r="A7" s="6" t="s">
        <v>97</v>
      </c>
      <c r="B7" s="6" t="s">
        <v>98</v>
      </c>
      <c r="C7" s="6" t="s">
        <v>77</v>
      </c>
      <c r="D7" s="16">
        <v>50</v>
      </c>
      <c r="E7" s="17">
        <v>490000</v>
      </c>
      <c r="F7" s="6" t="s">
        <v>81</v>
      </c>
    </row>
    <row r="8" spans="1:6" x14ac:dyDescent="0.3">
      <c r="A8" s="6" t="s">
        <v>99</v>
      </c>
      <c r="B8" s="6" t="s">
        <v>100</v>
      </c>
      <c r="C8" s="6" t="s">
        <v>77</v>
      </c>
      <c r="D8" s="16">
        <v>35</v>
      </c>
      <c r="E8" s="17">
        <v>399000</v>
      </c>
      <c r="F8" s="6" t="s">
        <v>68</v>
      </c>
    </row>
    <row r="9" spans="1:6" x14ac:dyDescent="0.3">
      <c r="A9" s="6" t="s">
        <v>101</v>
      </c>
      <c r="B9" s="6" t="s">
        <v>102</v>
      </c>
      <c r="C9" s="6" t="s">
        <v>67</v>
      </c>
      <c r="D9" s="16">
        <v>25</v>
      </c>
      <c r="E9" s="17">
        <v>1850000</v>
      </c>
      <c r="F9" s="6" t="s">
        <v>74</v>
      </c>
    </row>
  </sheetData>
  <phoneticPr fontId="1" type="noConversion"/>
  <conditionalFormatting sqref="A4:A9">
    <cfRule type="expression" dxfId="1" priority="1">
      <formula>ISODD(QUOTIENT(#REF!,100))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1"/>
  <dimension ref="A2:F9"/>
  <sheetViews>
    <sheetView workbookViewId="0"/>
  </sheetViews>
  <sheetFormatPr defaultRowHeight="16.5" x14ac:dyDescent="0.3"/>
  <cols>
    <col min="2" max="2" width="10.5" bestFit="1" customWidth="1"/>
    <col min="3" max="3" width="11" bestFit="1" customWidth="1"/>
    <col min="4" max="4" width="11.125" bestFit="1" customWidth="1"/>
    <col min="5" max="5" width="10.625" bestFit="1" customWidth="1"/>
  </cols>
  <sheetData>
    <row r="2" spans="1:6" x14ac:dyDescent="0.3">
      <c r="A2" s="13" t="s">
        <v>55</v>
      </c>
      <c r="B2" s="13" t="s">
        <v>56</v>
      </c>
      <c r="C2" s="13" t="s">
        <v>57</v>
      </c>
      <c r="D2" s="14" t="s">
        <v>59</v>
      </c>
      <c r="E2" s="14" t="s">
        <v>60</v>
      </c>
      <c r="F2" s="13" t="s">
        <v>58</v>
      </c>
    </row>
    <row r="3" spans="1:6" x14ac:dyDescent="0.3">
      <c r="A3" s="13" t="s">
        <v>84</v>
      </c>
      <c r="B3" s="13" t="s">
        <v>85</v>
      </c>
      <c r="C3" s="13" t="s">
        <v>63</v>
      </c>
      <c r="D3" s="15">
        <v>25</v>
      </c>
      <c r="E3" s="11">
        <v>590000</v>
      </c>
      <c r="F3" s="11" t="s">
        <v>64</v>
      </c>
    </row>
    <row r="4" spans="1:6" x14ac:dyDescent="0.3">
      <c r="A4" s="6" t="s">
        <v>86</v>
      </c>
      <c r="B4" s="6" t="s">
        <v>87</v>
      </c>
      <c r="C4" s="6" t="s">
        <v>67</v>
      </c>
      <c r="D4" s="16">
        <v>30</v>
      </c>
      <c r="E4" s="17">
        <v>750000</v>
      </c>
      <c r="F4" s="6" t="s">
        <v>64</v>
      </c>
    </row>
    <row r="5" spans="1:6" x14ac:dyDescent="0.3">
      <c r="A5" s="1" t="s">
        <v>110</v>
      </c>
      <c r="B5" s="1" t="s">
        <v>107</v>
      </c>
      <c r="C5" s="1" t="s">
        <v>103</v>
      </c>
      <c r="D5" s="16">
        <v>35</v>
      </c>
      <c r="E5" s="3">
        <v>420000</v>
      </c>
      <c r="F5" s="3" t="s">
        <v>111</v>
      </c>
    </row>
    <row r="6" spans="1:6" x14ac:dyDescent="0.3">
      <c r="A6" s="1" t="s">
        <v>0</v>
      </c>
      <c r="B6" s="1" t="s">
        <v>108</v>
      </c>
      <c r="C6" s="1" t="s">
        <v>104</v>
      </c>
      <c r="D6" s="16">
        <v>30</v>
      </c>
      <c r="E6" s="3">
        <v>2870000</v>
      </c>
      <c r="F6" s="3" t="s">
        <v>112</v>
      </c>
    </row>
    <row r="7" spans="1:6" x14ac:dyDescent="0.3">
      <c r="A7" s="1" t="s">
        <v>116</v>
      </c>
      <c r="B7" s="1" t="s">
        <v>114</v>
      </c>
      <c r="C7" s="1" t="s">
        <v>105</v>
      </c>
      <c r="D7" s="16">
        <v>25</v>
      </c>
      <c r="E7" s="3">
        <v>350000</v>
      </c>
      <c r="F7" s="3" t="s">
        <v>119</v>
      </c>
    </row>
    <row r="8" spans="1:6" x14ac:dyDescent="0.3">
      <c r="A8" s="1" t="s">
        <v>117</v>
      </c>
      <c r="B8" s="1" t="s">
        <v>109</v>
      </c>
      <c r="C8" s="1" t="s">
        <v>106</v>
      </c>
      <c r="D8" s="16">
        <v>20</v>
      </c>
      <c r="E8" s="3">
        <v>3500000</v>
      </c>
      <c r="F8" s="3" t="s">
        <v>113</v>
      </c>
    </row>
    <row r="9" spans="1:6" x14ac:dyDescent="0.3">
      <c r="A9" s="1" t="s">
        <v>118</v>
      </c>
      <c r="B9" s="1" t="s">
        <v>115</v>
      </c>
      <c r="C9" s="1" t="s">
        <v>105</v>
      </c>
      <c r="D9" s="16">
        <v>40</v>
      </c>
      <c r="E9" s="3">
        <v>390000</v>
      </c>
      <c r="F9" s="3" t="s">
        <v>120</v>
      </c>
    </row>
  </sheetData>
  <phoneticPr fontId="1" type="noConversion"/>
  <conditionalFormatting sqref="A3:A9">
    <cfRule type="expression" dxfId="0" priority="1">
      <formula>ISODD(QUOTIENT(#REF!,100))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2:D6"/>
  <sheetViews>
    <sheetView workbookViewId="0"/>
  </sheetViews>
  <sheetFormatPr defaultRowHeight="16.5" x14ac:dyDescent="0.3"/>
  <cols>
    <col min="2" max="2" width="14.75" bestFit="1" customWidth="1"/>
    <col min="3" max="3" width="11.5" customWidth="1"/>
    <col min="4" max="4" width="13.5" customWidth="1"/>
  </cols>
  <sheetData>
    <row r="2" spans="2:4" x14ac:dyDescent="0.3">
      <c r="B2" t="s">
        <v>121</v>
      </c>
    </row>
    <row r="3" spans="2:4" x14ac:dyDescent="0.3">
      <c r="B3" s="13" t="s">
        <v>57</v>
      </c>
      <c r="C3" s="14" t="s">
        <v>59</v>
      </c>
      <c r="D3" s="14" t="s">
        <v>60</v>
      </c>
    </row>
    <row r="4" spans="2:4" x14ac:dyDescent="0.3">
      <c r="B4" s="6" t="s">
        <v>67</v>
      </c>
      <c r="C4" s="2"/>
      <c r="D4" s="2"/>
    </row>
    <row r="5" spans="2:4" x14ac:dyDescent="0.3">
      <c r="B5" s="6" t="s">
        <v>103</v>
      </c>
      <c r="C5" s="2"/>
      <c r="D5" s="2"/>
    </row>
    <row r="6" spans="2:4" x14ac:dyDescent="0.3">
      <c r="B6" s="6" t="s">
        <v>105</v>
      </c>
      <c r="C6" s="2"/>
      <c r="D6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H7"/>
  <sheetViews>
    <sheetView workbookViewId="0"/>
  </sheetViews>
  <sheetFormatPr defaultRowHeight="16.5" x14ac:dyDescent="0.3"/>
  <cols>
    <col min="1" max="1" width="11.25" customWidth="1"/>
    <col min="2" max="2" width="15.375" customWidth="1"/>
    <col min="3" max="3" width="12.375" customWidth="1"/>
    <col min="4" max="4" width="13.625" customWidth="1"/>
    <col min="5" max="5" width="13.5" customWidth="1"/>
  </cols>
  <sheetData>
    <row r="1" spans="1:8" x14ac:dyDescent="0.3">
      <c r="A1" t="s">
        <v>148</v>
      </c>
    </row>
    <row r="2" spans="1:8" x14ac:dyDescent="0.3">
      <c r="A2" s="13" t="s">
        <v>122</v>
      </c>
      <c r="B2" s="13" t="s">
        <v>123</v>
      </c>
      <c r="C2" s="13" t="s">
        <v>124</v>
      </c>
      <c r="D2" s="13" t="s">
        <v>125</v>
      </c>
      <c r="E2" s="13" t="s">
        <v>126</v>
      </c>
      <c r="F2" s="13" t="s">
        <v>127</v>
      </c>
      <c r="G2" s="14" t="s">
        <v>128</v>
      </c>
      <c r="H2" s="13" t="s">
        <v>129</v>
      </c>
    </row>
    <row r="3" spans="1:8" x14ac:dyDescent="0.3">
      <c r="A3" s="13" t="s">
        <v>130</v>
      </c>
      <c r="B3" s="13" t="s">
        <v>131</v>
      </c>
      <c r="C3" s="13" t="s">
        <v>132</v>
      </c>
      <c r="D3" s="13" t="s">
        <v>133</v>
      </c>
      <c r="E3" s="9">
        <v>42009</v>
      </c>
      <c r="F3" s="19">
        <f>H3/G3</f>
        <v>0.98373983739837401</v>
      </c>
      <c r="G3" s="20">
        <v>123</v>
      </c>
      <c r="H3" s="20">
        <v>121</v>
      </c>
    </row>
    <row r="4" spans="1:8" x14ac:dyDescent="0.3">
      <c r="A4" s="13" t="s">
        <v>134</v>
      </c>
      <c r="B4" s="13" t="s">
        <v>135</v>
      </c>
      <c r="C4" s="13" t="s">
        <v>136</v>
      </c>
      <c r="D4" s="13" t="s">
        <v>137</v>
      </c>
      <c r="E4" s="9">
        <v>43895</v>
      </c>
      <c r="F4" s="19">
        <f>H4/G4</f>
        <v>0.97101449275362317</v>
      </c>
      <c r="G4" s="20">
        <v>138</v>
      </c>
      <c r="H4" s="20">
        <v>134</v>
      </c>
    </row>
    <row r="5" spans="1:8" x14ac:dyDescent="0.3">
      <c r="A5" s="13" t="s">
        <v>138</v>
      </c>
      <c r="B5" s="13" t="s">
        <v>139</v>
      </c>
      <c r="C5" s="13" t="s">
        <v>140</v>
      </c>
      <c r="D5" s="13" t="s">
        <v>141</v>
      </c>
      <c r="E5" s="9">
        <v>43347</v>
      </c>
      <c r="F5" s="19">
        <f>H5/G5</f>
        <v>0.83050847457627119</v>
      </c>
      <c r="G5" s="20">
        <v>118</v>
      </c>
      <c r="H5" s="20">
        <v>98</v>
      </c>
    </row>
    <row r="6" spans="1:8" x14ac:dyDescent="0.3">
      <c r="A6" s="18" t="s">
        <v>142</v>
      </c>
      <c r="B6" s="18" t="s">
        <v>143</v>
      </c>
      <c r="C6" s="18" t="s">
        <v>144</v>
      </c>
      <c r="D6" s="18" t="s">
        <v>137</v>
      </c>
      <c r="E6" s="9">
        <v>40374</v>
      </c>
      <c r="F6" s="19">
        <f>H6/G6</f>
        <v>0.95833333333333337</v>
      </c>
      <c r="G6" s="17">
        <v>120</v>
      </c>
      <c r="H6" s="17">
        <v>115</v>
      </c>
    </row>
    <row r="7" spans="1:8" x14ac:dyDescent="0.3">
      <c r="A7" s="18" t="s">
        <v>145</v>
      </c>
      <c r="B7" s="18" t="s">
        <v>146</v>
      </c>
      <c r="C7" s="18" t="s">
        <v>140</v>
      </c>
      <c r="D7" s="18" t="s">
        <v>147</v>
      </c>
      <c r="E7" s="9">
        <v>41475</v>
      </c>
      <c r="F7" s="19">
        <f>H7/G7</f>
        <v>0.9</v>
      </c>
      <c r="G7" s="17">
        <v>150</v>
      </c>
      <c r="H7" s="17">
        <v>135</v>
      </c>
    </row>
  </sheetData>
  <sortState xmlns:xlrd2="http://schemas.microsoft.com/office/spreadsheetml/2017/richdata2" ref="A3:H17">
    <sortCondition ref="D2"/>
  </sortState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2:F14"/>
  <sheetViews>
    <sheetView workbookViewId="0"/>
  </sheetViews>
  <sheetFormatPr defaultRowHeight="16.5" x14ac:dyDescent="0.3"/>
  <cols>
    <col min="2" max="2" width="11.25" bestFit="1" customWidth="1"/>
    <col min="3" max="3" width="10.5" bestFit="1" customWidth="1"/>
    <col min="5" max="5" width="11.625" customWidth="1"/>
  </cols>
  <sheetData>
    <row r="2" spans="1:6" x14ac:dyDescent="0.3">
      <c r="A2" s="13" t="s">
        <v>55</v>
      </c>
      <c r="B2" s="13" t="s">
        <v>56</v>
      </c>
      <c r="C2" s="13" t="s">
        <v>57</v>
      </c>
      <c r="D2" s="14" t="s">
        <v>59</v>
      </c>
      <c r="E2" s="14" t="s">
        <v>60</v>
      </c>
      <c r="F2" s="13" t="s">
        <v>58</v>
      </c>
    </row>
    <row r="3" spans="1:6" x14ac:dyDescent="0.3">
      <c r="A3" s="13" t="s">
        <v>61</v>
      </c>
      <c r="B3" s="13" t="s">
        <v>62</v>
      </c>
      <c r="C3" s="13" t="s">
        <v>63</v>
      </c>
      <c r="D3" s="15">
        <v>30</v>
      </c>
      <c r="E3" s="10">
        <v>380000</v>
      </c>
      <c r="F3" s="10">
        <v>5</v>
      </c>
    </row>
    <row r="4" spans="1:6" x14ac:dyDescent="0.3">
      <c r="A4" s="13" t="s">
        <v>65</v>
      </c>
      <c r="B4" s="13" t="s">
        <v>66</v>
      </c>
      <c r="C4" s="13" t="s">
        <v>67</v>
      </c>
      <c r="D4" s="15">
        <v>60</v>
      </c>
      <c r="E4" s="10">
        <v>390000</v>
      </c>
      <c r="F4" s="10">
        <v>3</v>
      </c>
    </row>
    <row r="5" spans="1:6" x14ac:dyDescent="0.3">
      <c r="A5" s="13" t="s">
        <v>69</v>
      </c>
      <c r="B5" s="13" t="s">
        <v>70</v>
      </c>
      <c r="C5" s="13" t="s">
        <v>67</v>
      </c>
      <c r="D5" s="15">
        <v>20</v>
      </c>
      <c r="E5" s="10">
        <v>2700000</v>
      </c>
      <c r="F5" s="10">
        <v>10</v>
      </c>
    </row>
    <row r="6" spans="1:6" x14ac:dyDescent="0.3">
      <c r="A6" s="13" t="s">
        <v>72</v>
      </c>
      <c r="B6" s="13" t="s">
        <v>73</v>
      </c>
      <c r="C6" s="13" t="s">
        <v>67</v>
      </c>
      <c r="D6" s="15">
        <v>25</v>
      </c>
      <c r="E6" s="10">
        <v>1800000</v>
      </c>
      <c r="F6" s="10">
        <v>0</v>
      </c>
    </row>
    <row r="7" spans="1:6" x14ac:dyDescent="0.3">
      <c r="A7" s="13" t="s">
        <v>75</v>
      </c>
      <c r="B7" s="13" t="s">
        <v>76</v>
      </c>
      <c r="C7" s="13" t="s">
        <v>77</v>
      </c>
      <c r="D7" s="15">
        <v>40</v>
      </c>
      <c r="E7" s="10">
        <v>0</v>
      </c>
      <c r="F7" s="10">
        <v>4</v>
      </c>
    </row>
    <row r="8" spans="1:6" x14ac:dyDescent="0.3">
      <c r="A8" s="13" t="s">
        <v>79</v>
      </c>
      <c r="B8" s="13" t="s">
        <v>80</v>
      </c>
      <c r="C8" s="13" t="s">
        <v>67</v>
      </c>
      <c r="D8" s="15">
        <v>40</v>
      </c>
      <c r="E8" s="10">
        <v>680000</v>
      </c>
      <c r="F8" s="10">
        <v>-1</v>
      </c>
    </row>
    <row r="9" spans="1:6" x14ac:dyDescent="0.3">
      <c r="A9" s="13" t="s">
        <v>82</v>
      </c>
      <c r="B9" s="13" t="s">
        <v>83</v>
      </c>
      <c r="C9" s="13" t="s">
        <v>77</v>
      </c>
      <c r="D9" s="15">
        <v>30</v>
      </c>
      <c r="E9" s="10">
        <v>490000</v>
      </c>
      <c r="F9" s="10">
        <v>5</v>
      </c>
    </row>
    <row r="10" spans="1:6" x14ac:dyDescent="0.3">
      <c r="A10" s="23" t="s">
        <v>101</v>
      </c>
      <c r="B10" s="23" t="s">
        <v>102</v>
      </c>
      <c r="C10" s="23" t="s">
        <v>67</v>
      </c>
      <c r="D10" s="16">
        <v>25</v>
      </c>
      <c r="E10" s="26">
        <v>1850000</v>
      </c>
      <c r="F10" s="27">
        <v>7</v>
      </c>
    </row>
    <row r="11" spans="1:6" x14ac:dyDescent="0.3">
      <c r="A11" s="23" t="s">
        <v>0</v>
      </c>
      <c r="B11" s="23" t="s">
        <v>108</v>
      </c>
      <c r="C11" s="23" t="s">
        <v>67</v>
      </c>
      <c r="D11" s="16">
        <v>30</v>
      </c>
      <c r="E11" s="27">
        <v>2870000</v>
      </c>
      <c r="F11" s="27" t="s">
        <v>223</v>
      </c>
    </row>
    <row r="12" spans="1:6" x14ac:dyDescent="0.3">
      <c r="A12" s="23" t="s">
        <v>116</v>
      </c>
      <c r="B12" s="23" t="s">
        <v>114</v>
      </c>
      <c r="C12" s="23" t="s">
        <v>63</v>
      </c>
      <c r="D12" s="16">
        <v>25</v>
      </c>
      <c r="E12" s="27">
        <v>350000</v>
      </c>
      <c r="F12" s="27">
        <v>-1</v>
      </c>
    </row>
    <row r="13" spans="1:6" x14ac:dyDescent="0.3">
      <c r="A13" s="23" t="s">
        <v>117</v>
      </c>
      <c r="B13" s="23" t="s">
        <v>109</v>
      </c>
      <c r="C13" s="23" t="s">
        <v>106</v>
      </c>
      <c r="D13" s="16">
        <v>20</v>
      </c>
      <c r="E13" s="27">
        <v>3500000</v>
      </c>
      <c r="F13" s="27">
        <v>7</v>
      </c>
    </row>
    <row r="14" spans="1:6" x14ac:dyDescent="0.3">
      <c r="A14" s="13" t="s">
        <v>84</v>
      </c>
      <c r="B14" s="13" t="s">
        <v>85</v>
      </c>
      <c r="C14" s="13" t="s">
        <v>167</v>
      </c>
      <c r="D14" s="15">
        <v>25</v>
      </c>
      <c r="E14" s="10">
        <v>1800000</v>
      </c>
      <c r="F14" s="10"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3:J14"/>
  <sheetViews>
    <sheetView workbookViewId="0"/>
  </sheetViews>
  <sheetFormatPr defaultRowHeight="16.5" x14ac:dyDescent="0.3"/>
  <cols>
    <col min="1" max="1" width="11" customWidth="1"/>
    <col min="2" max="2" width="11.25" customWidth="1"/>
    <col min="3" max="4" width="11.375" customWidth="1"/>
    <col min="5" max="5" width="10.375" customWidth="1"/>
    <col min="6" max="6" width="12.25" customWidth="1"/>
    <col min="8" max="8" width="11.75" bestFit="1" customWidth="1"/>
    <col min="10" max="10" width="12.75" style="21" bestFit="1" customWidth="1"/>
  </cols>
  <sheetData>
    <row r="3" spans="1:10" x14ac:dyDescent="0.3">
      <c r="A3" s="13" t="s">
        <v>165</v>
      </c>
      <c r="B3" s="13" t="s">
        <v>56</v>
      </c>
      <c r="C3" s="13" t="s">
        <v>57</v>
      </c>
      <c r="D3" s="14" t="s">
        <v>59</v>
      </c>
      <c r="E3" s="13" t="s">
        <v>58</v>
      </c>
      <c r="F3" s="14" t="s">
        <v>60</v>
      </c>
    </row>
    <row r="4" spans="1:10" x14ac:dyDescent="0.3">
      <c r="A4" s="38">
        <v>45804</v>
      </c>
      <c r="B4" t="s">
        <v>154</v>
      </c>
      <c r="C4" t="s">
        <v>166</v>
      </c>
      <c r="D4">
        <v>4</v>
      </c>
      <c r="E4" t="s">
        <v>152</v>
      </c>
      <c r="F4" s="22">
        <v>1640000</v>
      </c>
    </row>
    <row r="6" spans="1:10" x14ac:dyDescent="0.3">
      <c r="F6" s="22"/>
    </row>
    <row r="7" spans="1:10" x14ac:dyDescent="0.3">
      <c r="F7" s="22"/>
      <c r="H7" s="4" t="s">
        <v>149</v>
      </c>
      <c r="I7" s="4" t="s">
        <v>150</v>
      </c>
      <c r="J7" s="17" t="s">
        <v>151</v>
      </c>
    </row>
    <row r="8" spans="1:10" x14ac:dyDescent="0.3">
      <c r="H8" s="4" t="s">
        <v>155</v>
      </c>
      <c r="I8" s="4" t="s">
        <v>153</v>
      </c>
      <c r="J8" s="17">
        <v>1640000</v>
      </c>
    </row>
    <row r="9" spans="1:10" x14ac:dyDescent="0.3">
      <c r="H9" s="4" t="s">
        <v>156</v>
      </c>
      <c r="I9" s="4" t="s">
        <v>153</v>
      </c>
      <c r="J9" s="17">
        <v>1590000</v>
      </c>
    </row>
    <row r="10" spans="1:10" x14ac:dyDescent="0.3">
      <c r="H10" s="4" t="s">
        <v>157</v>
      </c>
      <c r="I10" s="4" t="s">
        <v>153</v>
      </c>
      <c r="J10" s="17">
        <v>2140000</v>
      </c>
    </row>
    <row r="11" spans="1:10" x14ac:dyDescent="0.3">
      <c r="H11" s="4" t="s">
        <v>158</v>
      </c>
      <c r="I11" s="4" t="s">
        <v>159</v>
      </c>
      <c r="J11" s="17">
        <v>1740000</v>
      </c>
    </row>
    <row r="12" spans="1:10" x14ac:dyDescent="0.3">
      <c r="H12" s="4" t="s">
        <v>160</v>
      </c>
      <c r="I12" s="4" t="s">
        <v>161</v>
      </c>
      <c r="J12" s="17">
        <v>1490000</v>
      </c>
    </row>
    <row r="13" spans="1:10" x14ac:dyDescent="0.3">
      <c r="H13" s="4" t="s">
        <v>162</v>
      </c>
      <c r="I13" s="4" t="s">
        <v>159</v>
      </c>
      <c r="J13" s="17">
        <v>1190000</v>
      </c>
    </row>
    <row r="14" spans="1:10" x14ac:dyDescent="0.3">
      <c r="H14" s="4" t="s">
        <v>163</v>
      </c>
      <c r="I14" s="4" t="s">
        <v>164</v>
      </c>
      <c r="J14" s="17">
        <v>4390000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여행상품">
          <controlPr defaultSize="0" autoLine="0" r:id="rId4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9525</xdr:colOff>
                <xdr:row>4</xdr:row>
                <xdr:rowOff>28575</xdr:rowOff>
              </to>
            </anchor>
          </controlPr>
        </control>
      </mc:Choice>
      <mc:Fallback>
        <control shapeId="2049" r:id="rId3" name="cmd여행상품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6월</vt:lpstr>
      <vt:lpstr>7월</vt:lpstr>
      <vt:lpstr>8월</vt:lpstr>
      <vt:lpstr>분석작업-2</vt:lpstr>
      <vt:lpstr>기타작업-1</vt:lpstr>
      <vt:lpstr>기타작업-2</vt:lpstr>
      <vt:lpstr>기타작업-3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2021-05-29T04:10:54Z</cp:lastPrinted>
  <dcterms:created xsi:type="dcterms:W3CDTF">2021-04-18T04:44:57Z</dcterms:created>
  <dcterms:modified xsi:type="dcterms:W3CDTF">2023-09-16T12:34:58Z</dcterms:modified>
</cp:coreProperties>
</file>