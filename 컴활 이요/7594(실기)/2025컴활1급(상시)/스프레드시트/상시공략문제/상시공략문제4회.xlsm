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C2B7BB6C-F4AD-49FB-9A5D-EA1C2B99C3D2}" xr6:coauthVersionLast="47" xr6:coauthVersionMax="47" xr10:uidLastSave="{00000000-0000-0000-0000-000000000000}"/>
  <bookViews>
    <workbookView xWindow="11805" yWindow="690" windowWidth="20835" windowHeight="13680" tabRatio="865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4" r:id="rId4"/>
    <sheet name="분석작업-2" sheetId="11" r:id="rId5"/>
    <sheet name="기타작업-1" sheetId="12" r:id="rId6"/>
    <sheet name="기타작업-2" sheetId="7" r:id="rId7"/>
    <sheet name="기타작업-3" sheetId="1" r:id="rId8"/>
  </sheets>
  <definedNames>
    <definedName name="_xlnm._FilterDatabase" localSheetId="4" hidden="1">'분석작업-2'!$C$2:$C$18</definedName>
    <definedName name="_xlnm.Extract" localSheetId="4">'분석작업-2'!$K$2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G22" i="2"/>
  <c r="G23" i="2"/>
  <c r="G24" i="2"/>
  <c r="G25" i="2"/>
  <c r="G26" i="2"/>
  <c r="G27" i="2"/>
  <c r="G28" i="2"/>
  <c r="G29" i="2"/>
  <c r="G30" i="2"/>
  <c r="G31" i="2"/>
  <c r="G32" i="2"/>
  <c r="G20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G4" i="11" l="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3" i="11"/>
  <c r="G19" i="11" l="1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1회\판매.accdb;DefaultDir=E:\영진(2022년)\기출예상문제집\1급\엑셀\예상1회;DriverId=25;FIL=MS Access;MaxBufferSize=2048;PageTimeout=5;" command="SELECT 국산제품.구분, 국산제품.브랜드명, 국산제품.제조일, 국산제품.판매가, 국산제품.판매량_x000d__x000a_FROM `E:\영진(2022년)\기출예상문제집\1급\엑셀\예상1회\판매.accdb`.국산제품 국산제품"/>
  </connection>
</connections>
</file>

<file path=xl/sharedStrings.xml><?xml version="1.0" encoding="utf-8"?>
<sst xmlns="http://schemas.openxmlformats.org/spreadsheetml/2006/main" count="502" uniqueCount="227">
  <si>
    <t>이름</t>
    <phoneticPr fontId="1" type="noConversion"/>
  </si>
  <si>
    <t>전화</t>
    <phoneticPr fontId="1" type="noConversion"/>
  </si>
  <si>
    <t>종류</t>
    <phoneticPr fontId="1" type="noConversion"/>
  </si>
  <si>
    <t>번호</t>
    <phoneticPr fontId="1" type="noConversion"/>
  </si>
  <si>
    <t>관계</t>
    <phoneticPr fontId="1" type="noConversion"/>
  </si>
  <si>
    <t>나이</t>
    <phoneticPr fontId="1" type="noConversion"/>
  </si>
  <si>
    <t>집</t>
    <phoneticPr fontId="1" type="noConversion"/>
  </si>
  <si>
    <t>사무실</t>
    <phoneticPr fontId="1" type="noConversion"/>
  </si>
  <si>
    <t>휴대폰</t>
    <phoneticPr fontId="1" type="noConversion"/>
  </si>
  <si>
    <t>종류</t>
    <phoneticPr fontId="1" type="noConversion"/>
  </si>
  <si>
    <t>이름</t>
  </si>
  <si>
    <t>[표1]</t>
    <phoneticPr fontId="1" type="noConversion"/>
  </si>
  <si>
    <t>관리코드</t>
    <phoneticPr fontId="1" type="noConversion"/>
  </si>
  <si>
    <t>어린이집명</t>
    <phoneticPr fontId="1" type="noConversion"/>
  </si>
  <si>
    <t>지역</t>
    <phoneticPr fontId="1" type="noConversion"/>
  </si>
  <si>
    <t>분류</t>
    <phoneticPr fontId="1" type="noConversion"/>
  </si>
  <si>
    <t>등록일</t>
    <phoneticPr fontId="1" type="noConversion"/>
  </si>
  <si>
    <t>등록률(%)</t>
    <phoneticPr fontId="1" type="noConversion"/>
  </si>
  <si>
    <t>정원</t>
    <phoneticPr fontId="1" type="noConversion"/>
  </si>
  <si>
    <t>현원</t>
    <phoneticPr fontId="1" type="noConversion"/>
  </si>
  <si>
    <t>SA1003</t>
    <phoneticPr fontId="1" type="noConversion"/>
  </si>
  <si>
    <t>경희궁초록</t>
    <phoneticPr fontId="1" type="noConversion"/>
  </si>
  <si>
    <t>서울</t>
    <phoneticPr fontId="1" type="noConversion"/>
  </si>
  <si>
    <t>국공립</t>
    <phoneticPr fontId="1" type="noConversion"/>
  </si>
  <si>
    <t>BB9002</t>
    <phoneticPr fontId="1" type="noConversion"/>
  </si>
  <si>
    <t>EQ랜드</t>
    <phoneticPr fontId="1" type="noConversion"/>
  </si>
  <si>
    <t>부산</t>
  </si>
  <si>
    <t>가정</t>
    <phoneticPr fontId="1" type="noConversion"/>
  </si>
  <si>
    <t>DN6007</t>
    <phoneticPr fontId="1" type="noConversion"/>
  </si>
  <si>
    <t>구립마더베어</t>
    <phoneticPr fontId="1" type="noConversion"/>
  </si>
  <si>
    <t>대구</t>
    <phoneticPr fontId="1" type="noConversion"/>
  </si>
  <si>
    <t>GA3014</t>
    <phoneticPr fontId="1" type="noConversion"/>
  </si>
  <si>
    <t>꼬마숲</t>
    <phoneticPr fontId="1" type="noConversion"/>
  </si>
  <si>
    <t>강원</t>
    <phoneticPr fontId="1" type="noConversion"/>
  </si>
  <si>
    <t>민간</t>
    <phoneticPr fontId="1" type="noConversion"/>
  </si>
  <si>
    <t>GB6015</t>
    <phoneticPr fontId="1" type="noConversion"/>
  </si>
  <si>
    <t>라온</t>
    <phoneticPr fontId="1" type="noConversion"/>
  </si>
  <si>
    <t>SA6036</t>
    <phoneticPr fontId="1" type="noConversion"/>
  </si>
  <si>
    <t>밝은</t>
    <phoneticPr fontId="1" type="noConversion"/>
  </si>
  <si>
    <t>DD4023</t>
    <phoneticPr fontId="1" type="noConversion"/>
  </si>
  <si>
    <t>샛별어린이집</t>
    <phoneticPr fontId="1" type="noConversion"/>
  </si>
  <si>
    <t>SN8163</t>
    <phoneticPr fontId="1" type="noConversion"/>
  </si>
  <si>
    <t>어린이집</t>
    <phoneticPr fontId="1" type="noConversion"/>
  </si>
  <si>
    <t>SA2005</t>
    <phoneticPr fontId="1" type="noConversion"/>
  </si>
  <si>
    <t>사랑빛</t>
    <phoneticPr fontId="1" type="noConversion"/>
  </si>
  <si>
    <t>DD3012</t>
    <phoneticPr fontId="1" type="noConversion"/>
  </si>
  <si>
    <t>하늘숲</t>
    <phoneticPr fontId="1" type="noConversion"/>
  </si>
  <si>
    <t>BS2052</t>
    <phoneticPr fontId="1" type="noConversion"/>
  </si>
  <si>
    <t>단비</t>
    <phoneticPr fontId="1" type="noConversion"/>
  </si>
  <si>
    <t>부산</t>
    <phoneticPr fontId="1" type="noConversion"/>
  </si>
  <si>
    <t>GC2061</t>
    <phoneticPr fontId="1" type="noConversion"/>
  </si>
  <si>
    <t>꿈이 자라는</t>
    <phoneticPr fontId="1" type="noConversion"/>
  </si>
  <si>
    <t>SB2096</t>
    <phoneticPr fontId="1" type="noConversion"/>
  </si>
  <si>
    <t>햇살 가득</t>
    <phoneticPr fontId="1" type="noConversion"/>
  </si>
  <si>
    <t>SA2985</t>
    <phoneticPr fontId="1" type="noConversion"/>
  </si>
  <si>
    <t>아이잼</t>
    <phoneticPr fontId="1" type="noConversion"/>
  </si>
  <si>
    <t>BT1057</t>
    <phoneticPr fontId="1" type="noConversion"/>
  </si>
  <si>
    <t>풀잎</t>
    <phoneticPr fontId="1" type="noConversion"/>
  </si>
  <si>
    <t>상품번호</t>
    <phoneticPr fontId="1" type="noConversion"/>
  </si>
  <si>
    <t>여행지</t>
    <phoneticPr fontId="1" type="noConversion"/>
  </si>
  <si>
    <t>항공편</t>
    <phoneticPr fontId="1" type="noConversion"/>
  </si>
  <si>
    <t>여행기간</t>
    <phoneticPr fontId="1" type="noConversion"/>
  </si>
  <si>
    <t>ARP-101</t>
  </si>
  <si>
    <t>앙코르왓</t>
    <phoneticPr fontId="1" type="noConversion"/>
  </si>
  <si>
    <t>5일</t>
    <phoneticPr fontId="1" type="noConversion"/>
  </si>
  <si>
    <t>KJS-201</t>
  </si>
  <si>
    <t>제주도</t>
    <phoneticPr fontId="1" type="noConversion"/>
  </si>
  <si>
    <t>대한항공</t>
    <phoneticPr fontId="1" type="noConversion"/>
  </si>
  <si>
    <t>3일</t>
    <phoneticPr fontId="1" type="noConversion"/>
  </si>
  <si>
    <t>EAQ-301</t>
  </si>
  <si>
    <t>미국동부</t>
    <phoneticPr fontId="1" type="noConversion"/>
  </si>
  <si>
    <t>10일</t>
    <phoneticPr fontId="1" type="noConversion"/>
  </si>
  <si>
    <t>OSI-202</t>
  </si>
  <si>
    <t>호주</t>
    <phoneticPr fontId="1" type="noConversion"/>
  </si>
  <si>
    <t>대한항공</t>
    <phoneticPr fontId="1" type="noConversion"/>
  </si>
  <si>
    <t>7일</t>
    <phoneticPr fontId="1" type="noConversion"/>
  </si>
  <si>
    <t>AJO-103</t>
  </si>
  <si>
    <t>일본 오사카</t>
    <phoneticPr fontId="1" type="noConversion"/>
  </si>
  <si>
    <t>진에어</t>
    <phoneticPr fontId="1" type="noConversion"/>
  </si>
  <si>
    <t>4일</t>
    <phoneticPr fontId="1" type="noConversion"/>
  </si>
  <si>
    <t>HKM-205</t>
  </si>
  <si>
    <t>홍콩/마카오</t>
    <phoneticPr fontId="1" type="noConversion"/>
  </si>
  <si>
    <t>4일</t>
    <phoneticPr fontId="1" type="noConversion"/>
  </si>
  <si>
    <t>APP-102</t>
  </si>
  <si>
    <t>필리핀</t>
    <phoneticPr fontId="1" type="noConversion"/>
  </si>
  <si>
    <t>진에어</t>
    <phoneticPr fontId="1" type="noConversion"/>
  </si>
  <si>
    <t>SPA-206</t>
  </si>
  <si>
    <t>싱가폴</t>
    <phoneticPr fontId="1" type="noConversion"/>
  </si>
  <si>
    <t>5일</t>
    <phoneticPr fontId="1" type="noConversion"/>
  </si>
  <si>
    <t>담당자</t>
    <phoneticPr fontId="1" type="noConversion"/>
  </si>
  <si>
    <t>담당자 이메일</t>
    <phoneticPr fontId="1" type="noConversion"/>
  </si>
  <si>
    <t>상품금액</t>
    <phoneticPr fontId="1" type="noConversion"/>
  </si>
  <si>
    <t>할인금액</t>
    <phoneticPr fontId="1" type="noConversion"/>
  </si>
  <si>
    <t>할인율</t>
    <phoneticPr fontId="1" type="noConversion"/>
  </si>
  <si>
    <t>모집인원</t>
    <phoneticPr fontId="1" type="noConversion"/>
  </si>
  <si>
    <t>베트남</t>
    <phoneticPr fontId="1" type="noConversion"/>
  </si>
  <si>
    <t>라오스</t>
    <phoneticPr fontId="1" type="noConversion"/>
  </si>
  <si>
    <t>말레이시아</t>
    <phoneticPr fontId="1" type="noConversion"/>
  </si>
  <si>
    <t>일본 동경</t>
    <phoneticPr fontId="1" type="noConversion"/>
  </si>
  <si>
    <t>중국 상하이</t>
    <phoneticPr fontId="1" type="noConversion"/>
  </si>
  <si>
    <t>중국 하이난</t>
    <phoneticPr fontId="1" type="noConversion"/>
  </si>
  <si>
    <t>일본 규슈</t>
    <phoneticPr fontId="1" type="noConversion"/>
  </si>
  <si>
    <t>뉴질랜드</t>
    <phoneticPr fontId="1" type="noConversion"/>
  </si>
  <si>
    <t>대한항공</t>
    <phoneticPr fontId="1" type="noConversion"/>
  </si>
  <si>
    <t>진에어</t>
    <phoneticPr fontId="1" type="noConversion"/>
  </si>
  <si>
    <t>진에어</t>
    <phoneticPr fontId="1" type="noConversion"/>
  </si>
  <si>
    <t>에어아시아</t>
    <phoneticPr fontId="1" type="noConversion"/>
  </si>
  <si>
    <t>에어아시아</t>
    <phoneticPr fontId="1" type="noConversion"/>
  </si>
  <si>
    <t>진에어</t>
    <phoneticPr fontId="1" type="noConversion"/>
  </si>
  <si>
    <t>에어아시아</t>
    <phoneticPr fontId="1" type="noConversion"/>
  </si>
  <si>
    <t>대한항공</t>
    <phoneticPr fontId="1" type="noConversion"/>
  </si>
  <si>
    <t>5일</t>
    <phoneticPr fontId="1" type="noConversion"/>
  </si>
  <si>
    <t>4일</t>
    <phoneticPr fontId="1" type="noConversion"/>
  </si>
  <si>
    <t>3일</t>
    <phoneticPr fontId="1" type="noConversion"/>
  </si>
  <si>
    <t>3일</t>
    <phoneticPr fontId="1" type="noConversion"/>
  </si>
  <si>
    <t>7일</t>
    <phoneticPr fontId="1" type="noConversion"/>
  </si>
  <si>
    <t>KBN-854</t>
    <phoneticPr fontId="1" type="noConversion"/>
  </si>
  <si>
    <t>ALA-578</t>
    <phoneticPr fontId="1" type="noConversion"/>
  </si>
  <si>
    <t>AME-288</t>
    <phoneticPr fontId="1" type="noConversion"/>
  </si>
  <si>
    <t>JJT-690</t>
    <phoneticPr fontId="1" type="noConversion"/>
  </si>
  <si>
    <t>KSE-954</t>
    <phoneticPr fontId="1" type="noConversion"/>
  </si>
  <si>
    <t>JHE-487</t>
    <phoneticPr fontId="1" type="noConversion"/>
  </si>
  <si>
    <t>JJK-871</t>
    <phoneticPr fontId="1" type="noConversion"/>
  </si>
  <si>
    <t>KNT-123</t>
    <phoneticPr fontId="1" type="noConversion"/>
  </si>
  <si>
    <t>총합계</t>
    <phoneticPr fontId="1" type="noConversion"/>
  </si>
  <si>
    <t>정혜인</t>
    <phoneticPr fontId="1" type="noConversion"/>
  </si>
  <si>
    <t>양수진</t>
    <phoneticPr fontId="1" type="noConversion"/>
  </si>
  <si>
    <t>김지영</t>
    <phoneticPr fontId="1" type="noConversion"/>
  </si>
  <si>
    <t>최선호</t>
    <phoneticPr fontId="1" type="noConversion"/>
  </si>
  <si>
    <t>김혜진</t>
    <phoneticPr fontId="1" type="noConversion"/>
  </si>
  <si>
    <t>변호성</t>
    <phoneticPr fontId="1" type="noConversion"/>
  </si>
  <si>
    <t>정명일</t>
    <phoneticPr fontId="1" type="noConversion"/>
  </si>
  <si>
    <t>손지성</t>
    <phoneticPr fontId="1" type="noConversion"/>
  </si>
  <si>
    <t>이상훈</t>
    <phoneticPr fontId="1" type="noConversion"/>
  </si>
  <si>
    <t>오안주</t>
    <phoneticPr fontId="1" type="noConversion"/>
  </si>
  <si>
    <t>김민규</t>
    <phoneticPr fontId="1" type="noConversion"/>
  </si>
  <si>
    <t>최선영</t>
    <phoneticPr fontId="1" type="noConversion"/>
  </si>
  <si>
    <t>박효준</t>
    <phoneticPr fontId="1" type="noConversion"/>
  </si>
  <si>
    <t>이도훈</t>
    <phoneticPr fontId="1" type="noConversion"/>
  </si>
  <si>
    <t>황규호</t>
    <phoneticPr fontId="1" type="noConversion"/>
  </si>
  <si>
    <t>이찬희</t>
    <phoneticPr fontId="1" type="noConversion"/>
  </si>
  <si>
    <t>jhi@naver.com</t>
    <phoneticPr fontId="1" type="noConversion"/>
  </si>
  <si>
    <t>heiq12@naver.com</t>
    <phoneticPr fontId="1" type="noConversion"/>
  </si>
  <si>
    <t>keiq36@naver.com</t>
    <phoneticPr fontId="1" type="noConversion"/>
  </si>
  <si>
    <t>pqitp5@naver.com</t>
    <phoneticPr fontId="1" type="noConversion"/>
  </si>
  <si>
    <t>kiedm12@naver.com</t>
    <phoneticPr fontId="1" type="noConversion"/>
  </si>
  <si>
    <t>jie@naver.com</t>
    <phoneticPr fontId="1" type="noConversion"/>
  </si>
  <si>
    <t>htoe2@naver.com</t>
    <phoneticPr fontId="1" type="noConversion"/>
  </si>
  <si>
    <t>ss1010@nave.com</t>
    <phoneticPr fontId="1" type="noConversion"/>
  </si>
  <si>
    <t>tq891@naver.com</t>
    <phoneticPr fontId="1" type="noConversion"/>
  </si>
  <si>
    <t>jotq32@naver.com</t>
    <phoneticPr fontId="1" type="noConversion"/>
  </si>
  <si>
    <t>po00@naver.om</t>
    <phoneticPr fontId="1" type="noConversion"/>
  </si>
  <si>
    <t>oei@naver.com</t>
    <phoneticPr fontId="1" type="noConversion"/>
  </si>
  <si>
    <t>nji12@naver.com</t>
    <phoneticPr fontId="1" type="noConversion"/>
  </si>
  <si>
    <t>zsey6@naver.com</t>
    <phoneticPr fontId="1" type="noConversion"/>
  </si>
  <si>
    <t>uyt65@naver.com</t>
    <phoneticPr fontId="1" type="noConversion"/>
  </si>
  <si>
    <t>ijn67@naver.com</t>
    <phoneticPr fontId="1" type="noConversion"/>
  </si>
  <si>
    <t>에어아시아</t>
    <phoneticPr fontId="1" type="noConversion"/>
  </si>
  <si>
    <t>대한항공</t>
    <phoneticPr fontId="1" type="noConversion"/>
  </si>
  <si>
    <t>모집중</t>
    <phoneticPr fontId="1" type="noConversion"/>
  </si>
  <si>
    <t>모집중</t>
    <phoneticPr fontId="1" type="noConversion"/>
  </si>
  <si>
    <t>뉴질랜드</t>
    <phoneticPr fontId="1" type="noConversion"/>
  </si>
  <si>
    <t>스웨덴</t>
    <phoneticPr fontId="1" type="noConversion"/>
  </si>
  <si>
    <t>경비</t>
    <phoneticPr fontId="1" type="noConversion"/>
  </si>
  <si>
    <t>[표1]</t>
    <phoneticPr fontId="1" type="noConversion"/>
  </si>
  <si>
    <t>[표2]</t>
    <phoneticPr fontId="1" type="noConversion"/>
  </si>
  <si>
    <t>판매코드</t>
    <phoneticPr fontId="1" type="noConversion"/>
  </si>
  <si>
    <t>금액</t>
    <phoneticPr fontId="1" type="noConversion"/>
  </si>
  <si>
    <t>할부기간</t>
    <phoneticPr fontId="1" type="noConversion"/>
  </si>
  <si>
    <t>결제카드</t>
    <phoneticPr fontId="1" type="noConversion"/>
  </si>
  <si>
    <t>카드수수료</t>
    <phoneticPr fontId="1" type="noConversion"/>
  </si>
  <si>
    <t>누적판매건수</t>
    <phoneticPr fontId="1" type="noConversion"/>
  </si>
  <si>
    <t>할부기간별 카드수수료율</t>
    <phoneticPr fontId="1" type="noConversion"/>
  </si>
  <si>
    <t>AV-001</t>
    <phoneticPr fontId="1" type="noConversion"/>
  </si>
  <si>
    <t>대한카드</t>
  </si>
  <si>
    <t>할부기간구분</t>
    <phoneticPr fontId="1" type="noConversion"/>
  </si>
  <si>
    <t>SI-001</t>
    <phoneticPr fontId="1" type="noConversion"/>
  </si>
  <si>
    <t>한국카드</t>
    <phoneticPr fontId="1" type="noConversion"/>
  </si>
  <si>
    <t>ME-001</t>
    <phoneticPr fontId="1" type="noConversion"/>
  </si>
  <si>
    <t>나라카드</t>
    <phoneticPr fontId="1" type="noConversion"/>
  </si>
  <si>
    <t>SI-002</t>
    <phoneticPr fontId="1" type="noConversion"/>
  </si>
  <si>
    <t>기타카드</t>
    <phoneticPr fontId="1" type="noConversion"/>
  </si>
  <si>
    <t>MC-001</t>
    <phoneticPr fontId="1" type="noConversion"/>
  </si>
  <si>
    <t>ME-002</t>
    <phoneticPr fontId="1" type="noConversion"/>
  </si>
  <si>
    <t>[표3]</t>
    <phoneticPr fontId="1" type="noConversion"/>
  </si>
  <si>
    <t>AV-002</t>
    <phoneticPr fontId="1" type="noConversion"/>
  </si>
  <si>
    <t>상위 5개 금액 평균</t>
    <phoneticPr fontId="1" type="noConversion"/>
  </si>
  <si>
    <t>SE-001</t>
    <phoneticPr fontId="1" type="noConversion"/>
  </si>
  <si>
    <t>AV-003</t>
    <phoneticPr fontId="1" type="noConversion"/>
  </si>
  <si>
    <t>대한카드</t>
    <phoneticPr fontId="1" type="noConversion"/>
  </si>
  <si>
    <t>ME-003</t>
    <phoneticPr fontId="1" type="noConversion"/>
  </si>
  <si>
    <t>[표4]</t>
    <phoneticPr fontId="1" type="noConversion"/>
  </si>
  <si>
    <t xml:space="preserve">[표5] 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</si>
  <si>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</si>
  <si>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</si>
  <si>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</si>
  <si>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시험과목-난이도</t>
    <phoneticPr fontId="8" type="noConversion"/>
  </si>
  <si>
    <t>환산점</t>
    <phoneticPr fontId="1" type="noConversion"/>
  </si>
  <si>
    <t>시험과목별 난이도 건수</t>
  </si>
  <si>
    <t>장규원</t>
    <phoneticPr fontId="1" type="noConversion"/>
  </si>
  <si>
    <t>국어-상</t>
    <phoneticPr fontId="1" type="noConversion"/>
  </si>
  <si>
    <t>과목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</si>
  <si>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</si>
  <si>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</si>
  <si>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</si>
  <si>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이기정</t>
    <phoneticPr fontId="1" type="noConversion"/>
  </si>
  <si>
    <t>수학-중</t>
    <phoneticPr fontId="1" type="noConversion"/>
  </si>
  <si>
    <t>장경원</t>
    <phoneticPr fontId="1" type="noConversion"/>
  </si>
  <si>
    <t>영어-하</t>
    <phoneticPr fontId="1" type="noConversion"/>
  </si>
  <si>
    <t>영어</t>
    <phoneticPr fontId="1" type="noConversion"/>
  </si>
  <si>
    <t>김민수</t>
    <phoneticPr fontId="1" type="noConversion"/>
  </si>
  <si>
    <t>국어-중</t>
    <phoneticPr fontId="1" type="noConversion"/>
  </si>
  <si>
    <t>서원희</t>
    <phoneticPr fontId="1" type="noConversion"/>
  </si>
  <si>
    <t>수학-하</t>
    <phoneticPr fontId="1" type="noConversion"/>
  </si>
  <si>
    <t>김이슬</t>
    <phoneticPr fontId="1" type="noConversion"/>
  </si>
  <si>
    <t>영어-상</t>
    <phoneticPr fontId="1" type="noConversion"/>
  </si>
  <si>
    <t>정은혜</t>
    <phoneticPr fontId="1" type="noConversion"/>
  </si>
  <si>
    <t>영어-중</t>
    <phoneticPr fontId="1" type="noConversion"/>
  </si>
  <si>
    <t>홍승헌</t>
    <phoneticPr fontId="1" type="noConversion"/>
  </si>
  <si>
    <t>한지선</t>
    <phoneticPr fontId="1" type="noConversion"/>
  </si>
  <si>
    <t>수학-중</t>
    <phoneticPr fontId="1" type="noConversion"/>
  </si>
  <si>
    <t>최현진</t>
    <phoneticPr fontId="1" type="noConversion"/>
  </si>
  <si>
    <t>수학-상</t>
    <phoneticPr fontId="1" type="noConversion"/>
  </si>
  <si>
    <t>현희태</t>
    <phoneticPr fontId="8" type="noConversion"/>
  </si>
  <si>
    <t>영어-중</t>
    <phoneticPr fontId="1" type="noConversion"/>
  </si>
  <si>
    <t>최혁주</t>
    <phoneticPr fontId="8" type="noConversion"/>
  </si>
  <si>
    <t>국어-하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</si>
</sst>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_);[Red]\(0\)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aj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" fillId="0" borderId="0"/>
  </cellStyleXfs>
  <cellXfs count="4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/>
    </xf>
    <xf numFmtId="9" fontId="4" fillId="0" borderId="1" xfId="3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177" fontId="4" fillId="0" borderId="1" xfId="1" applyNumberFormat="1" applyFont="1" applyFill="1" applyBorder="1" applyAlignment="1">
      <alignment horizontal="right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right" vertical="center"/>
    </xf>
    <xf numFmtId="0" fontId="5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41" fontId="0" fillId="0" borderId="0" xfId="1" applyFont="1">
      <alignment vertical="center"/>
    </xf>
    <xf numFmtId="0" fontId="5" fillId="0" borderId="0" xfId="4" applyFont="1" applyFill="1" applyBorder="1" applyAlignment="1">
      <alignment horizontal="left" vertical="center"/>
    </xf>
    <xf numFmtId="0" fontId="0" fillId="0" borderId="0" xfId="0" applyFont="1">
      <alignment vertical="center"/>
    </xf>
    <xf numFmtId="0" fontId="7" fillId="0" borderId="1" xfId="5" applyFont="1" applyFill="1" applyBorder="1" applyAlignment="1">
      <alignment horizontal="center" vertical="center"/>
    </xf>
    <xf numFmtId="41" fontId="7" fillId="0" borderId="1" xfId="1" applyFont="1" applyFill="1" applyBorder="1" applyAlignment="1">
      <alignment horizontal="right" vertical="center"/>
    </xf>
    <xf numFmtId="0" fontId="7" fillId="0" borderId="1" xfId="5" applyFont="1" applyFill="1" applyBorder="1" applyAlignment="1">
      <alignment horizontal="center" vertical="center" wrapText="1"/>
    </xf>
    <xf numFmtId="176" fontId="7" fillId="0" borderId="1" xfId="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3" builtinId="5"/>
    <cellStyle name="쉼표 [0]" xfId="1" builtinId="6"/>
    <cellStyle name="표준" xfId="0" builtinId="0"/>
    <cellStyle name="표준 2" xfId="2" xr:uid="{00000000-0005-0000-0000-000003000000}"/>
    <cellStyle name="표준_직위" xfId="5" xr:uid="{00000000-0005-0000-0000-000004000000}"/>
    <cellStyle name="표준_컴활1급A형" xfId="4" xr:uid="{00000000-0005-0000-0000-000005000000}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모집인원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앙코르왓</c:v>
                </c:pt>
                <c:pt idx="1">
                  <c:v>미국동부</c:v>
                </c:pt>
                <c:pt idx="2">
                  <c:v>호주</c:v>
                </c:pt>
                <c:pt idx="3">
                  <c:v>필리핀</c:v>
                </c:pt>
                <c:pt idx="4">
                  <c:v>싱가폴</c:v>
                </c:pt>
                <c:pt idx="5">
                  <c:v>베트남</c:v>
                </c:pt>
                <c:pt idx="6">
                  <c:v>라오스</c:v>
                </c:pt>
                <c:pt idx="7">
                  <c:v>뉴질랜드</c:v>
                </c:pt>
              </c:strCache>
            </c:strRef>
          </c:cat>
          <c:val>
            <c:numRef>
              <c:f>'기타작업-1'!$D$3:$D$10</c:f>
              <c:numCache>
                <c:formatCode>0_);[Red]\(0\)</c:formatCode>
                <c:ptCount val="8"/>
                <c:pt idx="0">
                  <c:v>35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25</c:v>
                </c:pt>
                <c:pt idx="5">
                  <c:v>30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E-4E92-8AB9-5730EBD1703B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상품금액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앙코르왓</c:v>
                </c:pt>
                <c:pt idx="1">
                  <c:v>미국동부</c:v>
                </c:pt>
                <c:pt idx="2">
                  <c:v>호주</c:v>
                </c:pt>
                <c:pt idx="3">
                  <c:v>필리핀</c:v>
                </c:pt>
                <c:pt idx="4">
                  <c:v>싱가폴</c:v>
                </c:pt>
                <c:pt idx="5">
                  <c:v>베트남</c:v>
                </c:pt>
                <c:pt idx="6">
                  <c:v>라오스</c:v>
                </c:pt>
                <c:pt idx="7">
                  <c:v>뉴질랜드</c:v>
                </c:pt>
              </c:strCache>
            </c:strRef>
          </c:cat>
          <c:val>
            <c:numRef>
              <c:f>'기타작업-1'!$E$3:$E$10</c:f>
              <c:numCache>
                <c:formatCode>_(* #,##0_);_(* \(#,##0\);_(* "-"_);_(@_)</c:formatCode>
                <c:ptCount val="8"/>
                <c:pt idx="0">
                  <c:v>380000</c:v>
                </c:pt>
                <c:pt idx="1">
                  <c:v>2700000</c:v>
                </c:pt>
                <c:pt idx="2">
                  <c:v>1800000</c:v>
                </c:pt>
                <c:pt idx="3">
                  <c:v>490000</c:v>
                </c:pt>
                <c:pt idx="4">
                  <c:v>590000</c:v>
                </c:pt>
                <c:pt idx="5">
                  <c:v>750000</c:v>
                </c:pt>
                <c:pt idx="6">
                  <c:v>390000</c:v>
                </c:pt>
                <c:pt idx="7">
                  <c:v>1850000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E-4E92-8AB9-5730EBD1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464816"/>
        <c:axId val="456442352"/>
      </c:barChart>
      <c:catAx>
        <c:axId val="45646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6442352"/>
        <c:crosses val="autoZero"/>
        <c:auto val="1"/>
        <c:lblAlgn val="ctr"/>
        <c:lblOffset val="100"/>
        <c:noMultiLvlLbl val="0"/>
      </c:catAx>
      <c:valAx>
        <c:axId val="45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646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66675</xdr:colOff>
          <xdr:row>3</xdr:row>
          <xdr:rowOff>9525</xdr:rowOff>
        </xdr:to>
        <xdr:sp macro="" textlink="">
          <xdr:nvSpPr>
            <xdr:cNvPr id="1025" name="cmd연락처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19"/>
  <sheetViews>
    <sheetView tabSelected="1" workbookViewId="0"/>
  </sheetViews>
  <sheetFormatPr defaultRowHeight="16.5"/>
  <cols>
    <col min="1" max="1" width="10.5" customWidth="1"/>
    <col min="2" max="2" width="12.375" bestFit="1" customWidth="1"/>
    <col min="5" max="5" width="11.375" bestFit="1" customWidth="1"/>
  </cols>
  <sheetData>
    <row r="1" spans="1:8">
      <c r="A1" s="4" t="s">
        <v>11</v>
      </c>
      <c r="B1" s="5"/>
      <c r="C1" s="5"/>
      <c r="D1" s="5"/>
    </row>
    <row r="2" spans="1:8">
      <c r="A2" s="6" t="s">
        <v>12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17</v>
      </c>
      <c r="G2" s="7" t="s">
        <v>18</v>
      </c>
      <c r="H2" s="6" t="s">
        <v>19</v>
      </c>
    </row>
    <row r="3" spans="1:8">
      <c r="A3" s="6" t="s">
        <v>20</v>
      </c>
      <c r="B3" s="6" t="s">
        <v>21</v>
      </c>
      <c r="C3" s="6" t="s">
        <v>22</v>
      </c>
      <c r="D3" s="6" t="s">
        <v>23</v>
      </c>
      <c r="E3" s="8">
        <v>42009</v>
      </c>
      <c r="F3" s="9">
        <f>H3/G3</f>
        <v>0.98373983739837401</v>
      </c>
      <c r="G3" s="10">
        <v>123</v>
      </c>
      <c r="H3" s="10">
        <v>121</v>
      </c>
    </row>
    <row r="4" spans="1:8">
      <c r="A4" s="6" t="s">
        <v>24</v>
      </c>
      <c r="B4" s="6" t="s">
        <v>25</v>
      </c>
      <c r="C4" s="6" t="s">
        <v>26</v>
      </c>
      <c r="D4" s="6" t="s">
        <v>27</v>
      </c>
      <c r="E4" s="8">
        <v>38644</v>
      </c>
      <c r="F4" s="9">
        <f t="shared" ref="F4:F17" si="0">H4/G4</f>
        <v>0.8</v>
      </c>
      <c r="G4" s="10">
        <v>25</v>
      </c>
      <c r="H4" s="10">
        <v>20</v>
      </c>
    </row>
    <row r="5" spans="1:8">
      <c r="A5" s="6" t="s">
        <v>28</v>
      </c>
      <c r="B5" s="6" t="s">
        <v>29</v>
      </c>
      <c r="C5" s="6" t="s">
        <v>30</v>
      </c>
      <c r="D5" s="6" t="s">
        <v>23</v>
      </c>
      <c r="E5" s="8">
        <v>43895</v>
      </c>
      <c r="F5" s="9">
        <f t="shared" si="0"/>
        <v>0.97101449275362317</v>
      </c>
      <c r="G5" s="10">
        <v>138</v>
      </c>
      <c r="H5" s="10">
        <v>134</v>
      </c>
    </row>
    <row r="6" spans="1:8">
      <c r="A6" s="6" t="s">
        <v>31</v>
      </c>
      <c r="B6" s="6" t="s">
        <v>32</v>
      </c>
      <c r="C6" s="6" t="s">
        <v>33</v>
      </c>
      <c r="D6" s="6" t="s">
        <v>34</v>
      </c>
      <c r="E6" s="8">
        <v>43499</v>
      </c>
      <c r="F6" s="9">
        <f t="shared" si="0"/>
        <v>0.95862068965517244</v>
      </c>
      <c r="G6" s="10">
        <v>145</v>
      </c>
      <c r="H6" s="10">
        <v>139</v>
      </c>
    </row>
    <row r="7" spans="1:8">
      <c r="A7" s="6" t="s">
        <v>35</v>
      </c>
      <c r="B7" s="6" t="s">
        <v>36</v>
      </c>
      <c r="C7" s="6" t="s">
        <v>33</v>
      </c>
      <c r="D7" s="6" t="s">
        <v>23</v>
      </c>
      <c r="E7" s="8">
        <v>43347</v>
      </c>
      <c r="F7" s="9">
        <f t="shared" si="0"/>
        <v>0.83050847457627119</v>
      </c>
      <c r="G7" s="10">
        <v>118</v>
      </c>
      <c r="H7" s="10">
        <v>98</v>
      </c>
    </row>
    <row r="8" spans="1:8">
      <c r="A8" s="6" t="s">
        <v>37</v>
      </c>
      <c r="B8" s="6" t="s">
        <v>38</v>
      </c>
      <c r="C8" s="6" t="s">
        <v>22</v>
      </c>
      <c r="D8" s="6" t="s">
        <v>34</v>
      </c>
      <c r="E8" s="8">
        <v>42870</v>
      </c>
      <c r="F8" s="9">
        <f t="shared" si="0"/>
        <v>0.96402877697841727</v>
      </c>
      <c r="G8" s="10">
        <v>139</v>
      </c>
      <c r="H8" s="10">
        <v>134</v>
      </c>
    </row>
    <row r="9" spans="1:8">
      <c r="A9" s="6" t="s">
        <v>39</v>
      </c>
      <c r="B9" s="6" t="s">
        <v>40</v>
      </c>
      <c r="C9" s="6" t="s">
        <v>30</v>
      </c>
      <c r="D9" s="6" t="s">
        <v>27</v>
      </c>
      <c r="E9" s="8">
        <v>42592</v>
      </c>
      <c r="F9" s="9">
        <f t="shared" si="0"/>
        <v>0.73913043478260865</v>
      </c>
      <c r="G9" s="10">
        <v>23</v>
      </c>
      <c r="H9" s="10">
        <v>17</v>
      </c>
    </row>
    <row r="10" spans="1:8">
      <c r="A10" s="6" t="s">
        <v>41</v>
      </c>
      <c r="B10" s="6" t="s">
        <v>42</v>
      </c>
      <c r="C10" s="6" t="s">
        <v>22</v>
      </c>
      <c r="D10" s="6" t="s">
        <v>27</v>
      </c>
      <c r="E10" s="8">
        <v>40096</v>
      </c>
      <c r="F10" s="9">
        <f t="shared" si="0"/>
        <v>0.625</v>
      </c>
      <c r="G10" s="10">
        <v>32</v>
      </c>
      <c r="H10" s="10">
        <v>20</v>
      </c>
    </row>
    <row r="11" spans="1:8">
      <c r="A11" s="3" t="s">
        <v>43</v>
      </c>
      <c r="B11" s="3" t="s">
        <v>44</v>
      </c>
      <c r="C11" s="3" t="s">
        <v>22</v>
      </c>
      <c r="D11" s="3" t="s">
        <v>23</v>
      </c>
      <c r="E11" s="8">
        <v>40374</v>
      </c>
      <c r="F11" s="9">
        <f t="shared" si="0"/>
        <v>0.95833333333333337</v>
      </c>
      <c r="G11" s="11">
        <v>120</v>
      </c>
      <c r="H11" s="11">
        <v>115</v>
      </c>
    </row>
    <row r="12" spans="1:8">
      <c r="A12" s="3" t="s">
        <v>45</v>
      </c>
      <c r="B12" s="3" t="s">
        <v>46</v>
      </c>
      <c r="C12" s="3" t="s">
        <v>30</v>
      </c>
      <c r="D12" s="3" t="s">
        <v>27</v>
      </c>
      <c r="E12" s="8">
        <v>40873</v>
      </c>
      <c r="F12" s="9">
        <f t="shared" si="0"/>
        <v>0.72</v>
      </c>
      <c r="G12" s="11">
        <v>25</v>
      </c>
      <c r="H12" s="11">
        <v>18</v>
      </c>
    </row>
    <row r="13" spans="1:8">
      <c r="A13" s="3" t="s">
        <v>47</v>
      </c>
      <c r="B13" s="3" t="s">
        <v>48</v>
      </c>
      <c r="C13" s="3" t="s">
        <v>49</v>
      </c>
      <c r="D13" s="3" t="s">
        <v>34</v>
      </c>
      <c r="E13" s="8">
        <v>41263</v>
      </c>
      <c r="F13" s="9">
        <f t="shared" si="0"/>
        <v>0.91428571428571426</v>
      </c>
      <c r="G13" s="11">
        <v>140</v>
      </c>
      <c r="H13" s="11">
        <v>128</v>
      </c>
    </row>
    <row r="14" spans="1:8">
      <c r="A14" s="3" t="s">
        <v>50</v>
      </c>
      <c r="B14" s="3" t="s">
        <v>51</v>
      </c>
      <c r="C14" s="3" t="s">
        <v>33</v>
      </c>
      <c r="D14" s="3" t="s">
        <v>23</v>
      </c>
      <c r="E14" s="8">
        <v>41475</v>
      </c>
      <c r="F14" s="9">
        <f t="shared" si="0"/>
        <v>0.9</v>
      </c>
      <c r="G14" s="11">
        <v>150</v>
      </c>
      <c r="H14" s="11">
        <v>135</v>
      </c>
    </row>
    <row r="15" spans="1:8">
      <c r="A15" s="3" t="s">
        <v>52</v>
      </c>
      <c r="B15" s="3" t="s">
        <v>53</v>
      </c>
      <c r="C15" s="3" t="s">
        <v>22</v>
      </c>
      <c r="D15" s="3" t="s">
        <v>27</v>
      </c>
      <c r="E15" s="8">
        <v>43626</v>
      </c>
      <c r="F15" s="9">
        <f t="shared" si="0"/>
        <v>0.75</v>
      </c>
      <c r="G15" s="11">
        <v>28</v>
      </c>
      <c r="H15" s="11">
        <v>21</v>
      </c>
    </row>
    <row r="16" spans="1:8">
      <c r="A16" s="3" t="s">
        <v>54</v>
      </c>
      <c r="B16" s="3" t="s">
        <v>55</v>
      </c>
      <c r="C16" s="3" t="s">
        <v>22</v>
      </c>
      <c r="D16" s="3" t="s">
        <v>34</v>
      </c>
      <c r="E16" s="8">
        <v>42865</v>
      </c>
      <c r="F16" s="9">
        <f t="shared" si="0"/>
        <v>0.95652173913043481</v>
      </c>
      <c r="G16" s="11">
        <v>115</v>
      </c>
      <c r="H16" s="11">
        <v>110</v>
      </c>
    </row>
    <row r="17" spans="1:8">
      <c r="A17" s="3" t="s">
        <v>56</v>
      </c>
      <c r="B17" s="3" t="s">
        <v>57</v>
      </c>
      <c r="C17" s="3" t="s">
        <v>49</v>
      </c>
      <c r="D17" s="3" t="s">
        <v>34</v>
      </c>
      <c r="E17" s="8">
        <v>42465</v>
      </c>
      <c r="F17" s="9">
        <f t="shared" si="0"/>
        <v>0.92941176470588238</v>
      </c>
      <c r="G17" s="11">
        <v>85</v>
      </c>
      <c r="H17" s="11">
        <v>79</v>
      </c>
    </row>
    <row r="18" spans="1:8">
      <c r="A18" s="5"/>
      <c r="B18" s="5"/>
      <c r="C18" s="5"/>
      <c r="D18" s="5"/>
    </row>
    <row r="19" spans="1:8">
      <c r="A19" s="5"/>
      <c r="B19" s="5"/>
      <c r="C19" s="5"/>
      <c r="D19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H32"/>
  <sheetViews>
    <sheetView workbookViewId="0">
      <selection activeCell="E36" sqref="E36"/>
    </sheetView>
  </sheetViews>
  <sheetFormatPr defaultRowHeight="16.5"/>
  <cols>
    <col min="2" max="2" width="12.375" bestFit="1" customWidth="1"/>
    <col min="3" max="3" width="10.5" bestFit="1" customWidth="1"/>
    <col min="5" max="5" width="13.375" customWidth="1"/>
    <col min="6" max="6" width="10.75" customWidth="1"/>
    <col min="7" max="7" width="10.5" customWidth="1"/>
  </cols>
  <sheetData>
    <row r="2" spans="1:8">
      <c r="A2" s="6" t="s">
        <v>12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17</v>
      </c>
      <c r="G2" s="7" t="s">
        <v>18</v>
      </c>
      <c r="H2" s="6" t="s">
        <v>19</v>
      </c>
    </row>
    <row r="3" spans="1:8">
      <c r="A3" s="6" t="s">
        <v>20</v>
      </c>
      <c r="B3" s="6" t="s">
        <v>21</v>
      </c>
      <c r="C3" s="6" t="s">
        <v>22</v>
      </c>
      <c r="D3" s="6" t="s">
        <v>23</v>
      </c>
      <c r="E3" s="8">
        <v>42009</v>
      </c>
      <c r="F3" s="9">
        <f>H3/G3</f>
        <v>0.98373983739837401</v>
      </c>
      <c r="G3" s="10">
        <v>123</v>
      </c>
      <c r="H3" s="10">
        <v>121</v>
      </c>
    </row>
    <row r="4" spans="1:8">
      <c r="A4" s="6" t="s">
        <v>24</v>
      </c>
      <c r="B4" s="6" t="s">
        <v>25</v>
      </c>
      <c r="C4" s="6" t="s">
        <v>26</v>
      </c>
      <c r="D4" s="6" t="s">
        <v>27</v>
      </c>
      <c r="E4" s="8">
        <v>38644</v>
      </c>
      <c r="F4" s="9">
        <f t="shared" ref="F4:F17" si="0">H4/G4</f>
        <v>0.8</v>
      </c>
      <c r="G4" s="10">
        <v>25</v>
      </c>
      <c r="H4" s="10">
        <v>20</v>
      </c>
    </row>
    <row r="5" spans="1:8">
      <c r="A5" s="6" t="s">
        <v>28</v>
      </c>
      <c r="B5" s="6" t="s">
        <v>29</v>
      </c>
      <c r="C5" s="6" t="s">
        <v>30</v>
      </c>
      <c r="D5" s="6" t="s">
        <v>23</v>
      </c>
      <c r="E5" s="8">
        <v>43895</v>
      </c>
      <c r="F5" s="9">
        <f t="shared" si="0"/>
        <v>0.97101449275362317</v>
      </c>
      <c r="G5" s="10">
        <v>138</v>
      </c>
      <c r="H5" s="10">
        <v>134</v>
      </c>
    </row>
    <row r="6" spans="1:8">
      <c r="A6" s="6" t="s">
        <v>31</v>
      </c>
      <c r="B6" s="6" t="s">
        <v>32</v>
      </c>
      <c r="C6" s="6" t="s">
        <v>33</v>
      </c>
      <c r="D6" s="6" t="s">
        <v>34</v>
      </c>
      <c r="E6" s="8">
        <v>43499</v>
      </c>
      <c r="F6" s="9">
        <f t="shared" si="0"/>
        <v>0.95862068965517244</v>
      </c>
      <c r="G6" s="10">
        <v>145</v>
      </c>
      <c r="H6" s="10">
        <v>139</v>
      </c>
    </row>
    <row r="7" spans="1:8">
      <c r="A7" s="6" t="s">
        <v>35</v>
      </c>
      <c r="B7" s="6" t="s">
        <v>36</v>
      </c>
      <c r="C7" s="6" t="s">
        <v>33</v>
      </c>
      <c r="D7" s="6" t="s">
        <v>23</v>
      </c>
      <c r="E7" s="8">
        <v>43347</v>
      </c>
      <c r="F7" s="9">
        <f t="shared" si="0"/>
        <v>0.83050847457627119</v>
      </c>
      <c r="G7" s="10">
        <v>118</v>
      </c>
      <c r="H7" s="10">
        <v>98</v>
      </c>
    </row>
    <row r="8" spans="1:8">
      <c r="A8" s="6" t="s">
        <v>37</v>
      </c>
      <c r="B8" s="6" t="s">
        <v>38</v>
      </c>
      <c r="C8" s="6" t="s">
        <v>22</v>
      </c>
      <c r="D8" s="6" t="s">
        <v>34</v>
      </c>
      <c r="E8" s="8">
        <v>42870</v>
      </c>
      <c r="F8" s="9">
        <f t="shared" si="0"/>
        <v>0.96402877697841727</v>
      </c>
      <c r="G8" s="10">
        <v>139</v>
      </c>
      <c r="H8" s="10">
        <v>134</v>
      </c>
    </row>
    <row r="9" spans="1:8">
      <c r="A9" s="6" t="s">
        <v>39</v>
      </c>
      <c r="B9" s="6" t="s">
        <v>40</v>
      </c>
      <c r="C9" s="6" t="s">
        <v>30</v>
      </c>
      <c r="D9" s="6" t="s">
        <v>27</v>
      </c>
      <c r="E9" s="8">
        <v>42592</v>
      </c>
      <c r="F9" s="9">
        <f t="shared" si="0"/>
        <v>0.73913043478260865</v>
      </c>
      <c r="G9" s="10">
        <v>23</v>
      </c>
      <c r="H9" s="10">
        <v>17</v>
      </c>
    </row>
    <row r="10" spans="1:8">
      <c r="A10" s="6" t="s">
        <v>41</v>
      </c>
      <c r="B10" s="6" t="s">
        <v>42</v>
      </c>
      <c r="C10" s="6" t="s">
        <v>22</v>
      </c>
      <c r="D10" s="6" t="s">
        <v>27</v>
      </c>
      <c r="E10" s="8">
        <v>40096</v>
      </c>
      <c r="F10" s="9">
        <f t="shared" si="0"/>
        <v>0.625</v>
      </c>
      <c r="G10" s="10">
        <v>32</v>
      </c>
      <c r="H10" s="10">
        <v>20</v>
      </c>
    </row>
    <row r="11" spans="1:8">
      <c r="A11" s="18" t="s">
        <v>43</v>
      </c>
      <c r="B11" s="18" t="s">
        <v>44</v>
      </c>
      <c r="C11" s="18" t="s">
        <v>22</v>
      </c>
      <c r="D11" s="18" t="s">
        <v>23</v>
      </c>
      <c r="E11" s="8">
        <v>40374</v>
      </c>
      <c r="F11" s="9">
        <f t="shared" si="0"/>
        <v>0.95833333333333337</v>
      </c>
      <c r="G11" s="11">
        <v>120</v>
      </c>
      <c r="H11" s="11">
        <v>115</v>
      </c>
    </row>
    <row r="12" spans="1:8">
      <c r="A12" s="18" t="s">
        <v>45</v>
      </c>
      <c r="B12" s="18" t="s">
        <v>46</v>
      </c>
      <c r="C12" s="18" t="s">
        <v>30</v>
      </c>
      <c r="D12" s="18" t="s">
        <v>27</v>
      </c>
      <c r="E12" s="8">
        <v>40873</v>
      </c>
      <c r="F12" s="9">
        <f t="shared" si="0"/>
        <v>0.72</v>
      </c>
      <c r="G12" s="11">
        <v>25</v>
      </c>
      <c r="H12" s="11">
        <v>18</v>
      </c>
    </row>
    <row r="13" spans="1:8">
      <c r="A13" s="18" t="s">
        <v>47</v>
      </c>
      <c r="B13" s="18" t="s">
        <v>48</v>
      </c>
      <c r="C13" s="18" t="s">
        <v>49</v>
      </c>
      <c r="D13" s="18" t="s">
        <v>34</v>
      </c>
      <c r="E13" s="8">
        <v>41263</v>
      </c>
      <c r="F13" s="9">
        <f t="shared" si="0"/>
        <v>0.91428571428571426</v>
      </c>
      <c r="G13" s="11">
        <v>140</v>
      </c>
      <c r="H13" s="11">
        <v>128</v>
      </c>
    </row>
    <row r="14" spans="1:8">
      <c r="A14" s="18" t="s">
        <v>50</v>
      </c>
      <c r="B14" s="18" t="s">
        <v>51</v>
      </c>
      <c r="C14" s="18" t="s">
        <v>33</v>
      </c>
      <c r="D14" s="18" t="s">
        <v>23</v>
      </c>
      <c r="E14" s="8">
        <v>41475</v>
      </c>
      <c r="F14" s="9">
        <f t="shared" si="0"/>
        <v>0.9</v>
      </c>
      <c r="G14" s="11">
        <v>150</v>
      </c>
      <c r="H14" s="11">
        <v>135</v>
      </c>
    </row>
    <row r="15" spans="1:8">
      <c r="A15" s="18" t="s">
        <v>52</v>
      </c>
      <c r="B15" s="18" t="s">
        <v>53</v>
      </c>
      <c r="C15" s="18" t="s">
        <v>22</v>
      </c>
      <c r="D15" s="18" t="s">
        <v>27</v>
      </c>
      <c r="E15" s="8">
        <v>43626</v>
      </c>
      <c r="F15" s="9">
        <f t="shared" si="0"/>
        <v>0.75</v>
      </c>
      <c r="G15" s="11">
        <v>28</v>
      </c>
      <c r="H15" s="11">
        <v>21</v>
      </c>
    </row>
    <row r="16" spans="1:8">
      <c r="A16" s="18" t="s">
        <v>54</v>
      </c>
      <c r="B16" s="18" t="s">
        <v>55</v>
      </c>
      <c r="C16" s="18" t="s">
        <v>22</v>
      </c>
      <c r="D16" s="18" t="s">
        <v>34</v>
      </c>
      <c r="E16" s="8">
        <v>42865</v>
      </c>
      <c r="F16" s="9">
        <f t="shared" si="0"/>
        <v>0.95652173913043481</v>
      </c>
      <c r="G16" s="11">
        <v>115</v>
      </c>
      <c r="H16" s="11">
        <v>110</v>
      </c>
    </row>
    <row r="17" spans="1:8">
      <c r="A17" s="18" t="s">
        <v>56</v>
      </c>
      <c r="B17" s="18" t="s">
        <v>57</v>
      </c>
      <c r="C17" s="18" t="s">
        <v>49</v>
      </c>
      <c r="D17" s="18" t="s">
        <v>34</v>
      </c>
      <c r="E17" s="8">
        <v>42465</v>
      </c>
      <c r="F17" s="9">
        <f t="shared" si="0"/>
        <v>0.92941176470588238</v>
      </c>
      <c r="G17" s="11">
        <v>85</v>
      </c>
      <c r="H17" s="11">
        <v>79</v>
      </c>
    </row>
    <row r="19" spans="1:8">
      <c r="A19" s="6" t="s">
        <v>58</v>
      </c>
      <c r="B19" s="6" t="s">
        <v>59</v>
      </c>
      <c r="C19" s="6" t="s">
        <v>60</v>
      </c>
      <c r="D19" s="6" t="s">
        <v>61</v>
      </c>
      <c r="E19" s="7" t="s">
        <v>94</v>
      </c>
      <c r="F19" s="7" t="s">
        <v>91</v>
      </c>
      <c r="G19" s="7" t="s">
        <v>92</v>
      </c>
      <c r="H19" s="6" t="s">
        <v>89</v>
      </c>
    </row>
    <row r="20" spans="1:8">
      <c r="A20" s="6" t="s">
        <v>62</v>
      </c>
      <c r="B20" s="6" t="s">
        <v>63</v>
      </c>
      <c r="C20" s="6" t="s">
        <v>107</v>
      </c>
      <c r="D20" s="14" t="s">
        <v>64</v>
      </c>
      <c r="E20" s="16">
        <v>30</v>
      </c>
      <c r="F20" s="14">
        <v>380000</v>
      </c>
      <c r="G20" s="14">
        <f>F20*(1-10%)</f>
        <v>342000</v>
      </c>
      <c r="H20" s="8" t="s">
        <v>125</v>
      </c>
    </row>
    <row r="21" spans="1:8">
      <c r="A21" s="6" t="s">
        <v>65</v>
      </c>
      <c r="B21" s="6" t="s">
        <v>66</v>
      </c>
      <c r="C21" s="6" t="s">
        <v>67</v>
      </c>
      <c r="D21" s="14" t="s">
        <v>68</v>
      </c>
      <c r="E21" s="16">
        <v>60</v>
      </c>
      <c r="F21" s="14">
        <v>390000</v>
      </c>
      <c r="G21" s="14">
        <f t="shared" ref="G21:G32" si="1">F21*(1-10%)</f>
        <v>351000</v>
      </c>
      <c r="H21" s="8" t="s">
        <v>126</v>
      </c>
    </row>
    <row r="22" spans="1:8">
      <c r="A22" s="6" t="s">
        <v>69</v>
      </c>
      <c r="B22" s="6" t="s">
        <v>70</v>
      </c>
      <c r="C22" s="6" t="s">
        <v>67</v>
      </c>
      <c r="D22" s="14" t="s">
        <v>71</v>
      </c>
      <c r="E22" s="16">
        <v>20</v>
      </c>
      <c r="F22" s="14">
        <v>2700000</v>
      </c>
      <c r="G22" s="14">
        <f t="shared" si="1"/>
        <v>2430000</v>
      </c>
      <c r="H22" s="8" t="s">
        <v>127</v>
      </c>
    </row>
    <row r="23" spans="1:8">
      <c r="A23" s="6" t="s">
        <v>72</v>
      </c>
      <c r="B23" s="6" t="s">
        <v>73</v>
      </c>
      <c r="C23" s="6" t="s">
        <v>67</v>
      </c>
      <c r="D23" s="14" t="s">
        <v>75</v>
      </c>
      <c r="E23" s="16">
        <v>25</v>
      </c>
      <c r="F23" s="14">
        <v>1800000</v>
      </c>
      <c r="G23" s="14">
        <f t="shared" si="1"/>
        <v>1620000</v>
      </c>
      <c r="H23" s="8" t="s">
        <v>128</v>
      </c>
    </row>
    <row r="24" spans="1:8">
      <c r="A24" s="6" t="s">
        <v>76</v>
      </c>
      <c r="B24" s="6" t="s">
        <v>77</v>
      </c>
      <c r="C24" s="6" t="s">
        <v>78</v>
      </c>
      <c r="D24" s="14" t="s">
        <v>79</v>
      </c>
      <c r="E24" s="16">
        <v>40</v>
      </c>
      <c r="F24" s="14">
        <v>450000</v>
      </c>
      <c r="G24" s="14">
        <f t="shared" si="1"/>
        <v>405000</v>
      </c>
      <c r="H24" s="8" t="s">
        <v>129</v>
      </c>
    </row>
    <row r="25" spans="1:8">
      <c r="A25" s="6" t="s">
        <v>80</v>
      </c>
      <c r="B25" s="6" t="s">
        <v>81</v>
      </c>
      <c r="C25" s="6" t="s">
        <v>67</v>
      </c>
      <c r="D25" s="14" t="s">
        <v>79</v>
      </c>
      <c r="E25" s="16">
        <v>40</v>
      </c>
      <c r="F25" s="14">
        <v>680000</v>
      </c>
      <c r="G25" s="14">
        <f t="shared" si="1"/>
        <v>612000</v>
      </c>
      <c r="H25" s="8" t="s">
        <v>130</v>
      </c>
    </row>
    <row r="26" spans="1:8">
      <c r="A26" s="6" t="s">
        <v>83</v>
      </c>
      <c r="B26" s="6" t="s">
        <v>84</v>
      </c>
      <c r="C26" s="6" t="s">
        <v>78</v>
      </c>
      <c r="D26" s="14" t="s">
        <v>64</v>
      </c>
      <c r="E26" s="16">
        <v>30</v>
      </c>
      <c r="F26" s="14">
        <v>490000</v>
      </c>
      <c r="G26" s="14">
        <f t="shared" si="1"/>
        <v>441000</v>
      </c>
      <c r="H26" s="8" t="s">
        <v>131</v>
      </c>
    </row>
    <row r="27" spans="1:8">
      <c r="A27" s="6" t="s">
        <v>86</v>
      </c>
      <c r="B27" s="6" t="s">
        <v>87</v>
      </c>
      <c r="C27" s="6" t="s">
        <v>107</v>
      </c>
      <c r="D27" s="14" t="s">
        <v>64</v>
      </c>
      <c r="E27" s="16">
        <v>25</v>
      </c>
      <c r="F27" s="14">
        <v>590000</v>
      </c>
      <c r="G27" s="14">
        <f t="shared" si="1"/>
        <v>531000</v>
      </c>
      <c r="H27" s="8" t="s">
        <v>132</v>
      </c>
    </row>
    <row r="28" spans="1:8">
      <c r="A28" s="18" t="s">
        <v>116</v>
      </c>
      <c r="B28" s="18" t="s">
        <v>95</v>
      </c>
      <c r="C28" s="18" t="s">
        <v>67</v>
      </c>
      <c r="D28" s="18" t="s">
        <v>64</v>
      </c>
      <c r="E28" s="17">
        <v>30</v>
      </c>
      <c r="F28" s="11">
        <v>750000</v>
      </c>
      <c r="G28" s="14">
        <f t="shared" si="1"/>
        <v>675000</v>
      </c>
      <c r="H28" s="18" t="s">
        <v>133</v>
      </c>
    </row>
    <row r="29" spans="1:8">
      <c r="A29" s="18" t="s">
        <v>117</v>
      </c>
      <c r="B29" s="18" t="s">
        <v>96</v>
      </c>
      <c r="C29" s="18" t="s">
        <v>107</v>
      </c>
      <c r="D29" s="18" t="s">
        <v>79</v>
      </c>
      <c r="E29" s="17">
        <v>25</v>
      </c>
      <c r="F29" s="11">
        <v>390000</v>
      </c>
      <c r="G29" s="14">
        <f t="shared" si="1"/>
        <v>351000</v>
      </c>
      <c r="H29" s="18" t="s">
        <v>134</v>
      </c>
    </row>
    <row r="30" spans="1:8">
      <c r="A30" s="18" t="s">
        <v>118</v>
      </c>
      <c r="B30" s="18" t="s">
        <v>97</v>
      </c>
      <c r="C30" s="18" t="s">
        <v>106</v>
      </c>
      <c r="D30" s="18" t="s">
        <v>64</v>
      </c>
      <c r="E30" s="17">
        <v>35</v>
      </c>
      <c r="F30" s="11">
        <v>450000</v>
      </c>
      <c r="G30" s="14">
        <f t="shared" si="1"/>
        <v>405000</v>
      </c>
      <c r="H30" s="18" t="s">
        <v>135</v>
      </c>
    </row>
    <row r="31" spans="1:8">
      <c r="A31" s="18" t="s">
        <v>119</v>
      </c>
      <c r="B31" s="18" t="s">
        <v>98</v>
      </c>
      <c r="C31" s="18" t="s">
        <v>78</v>
      </c>
      <c r="D31" s="18" t="s">
        <v>68</v>
      </c>
      <c r="E31" s="17">
        <v>20</v>
      </c>
      <c r="F31" s="11">
        <v>400000</v>
      </c>
      <c r="G31" s="14">
        <f t="shared" si="1"/>
        <v>360000</v>
      </c>
      <c r="H31" s="18" t="s">
        <v>136</v>
      </c>
    </row>
    <row r="32" spans="1:8">
      <c r="A32" s="18" t="s">
        <v>120</v>
      </c>
      <c r="B32" s="18" t="s">
        <v>99</v>
      </c>
      <c r="C32" s="18" t="s">
        <v>67</v>
      </c>
      <c r="D32" s="18" t="s">
        <v>68</v>
      </c>
      <c r="E32" s="17">
        <v>45</v>
      </c>
      <c r="F32" s="11">
        <v>580000</v>
      </c>
      <c r="G32" s="14">
        <f t="shared" si="1"/>
        <v>522000</v>
      </c>
      <c r="H32" s="18" t="s">
        <v>137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7"/>
  <sheetViews>
    <sheetView workbookViewId="0"/>
  </sheetViews>
  <sheetFormatPr defaultRowHeight="16.5"/>
  <cols>
    <col min="2" max="2" width="10.625" bestFit="1" customWidth="1"/>
    <col min="4" max="4" width="10.375" customWidth="1"/>
    <col min="5" max="5" width="15.125" bestFit="1" customWidth="1"/>
    <col min="6" max="6" width="15.5" customWidth="1"/>
    <col min="7" max="7" width="1.625" customWidth="1"/>
    <col min="8" max="8" width="12.875" customWidth="1"/>
    <col min="10" max="10" width="10.625" bestFit="1" customWidth="1"/>
  </cols>
  <sheetData>
    <row r="1" spans="1:13">
      <c r="A1" t="s">
        <v>164</v>
      </c>
      <c r="H1" t="s">
        <v>165</v>
      </c>
    </row>
    <row r="2" spans="1:13">
      <c r="A2" s="23" t="s">
        <v>166</v>
      </c>
      <c r="B2" s="24" t="s">
        <v>167</v>
      </c>
      <c r="C2" s="24" t="s">
        <v>168</v>
      </c>
      <c r="D2" s="24" t="s">
        <v>169</v>
      </c>
      <c r="E2" s="25" t="s">
        <v>170</v>
      </c>
      <c r="F2" s="25" t="s">
        <v>171</v>
      </c>
      <c r="H2" t="s">
        <v>172</v>
      </c>
    </row>
    <row r="3" spans="1:13">
      <c r="A3" s="23" t="s">
        <v>173</v>
      </c>
      <c r="B3" s="11">
        <v>1550000</v>
      </c>
      <c r="C3" s="1">
        <v>3</v>
      </c>
      <c r="D3" s="19" t="s">
        <v>174</v>
      </c>
      <c r="E3" s="26"/>
      <c r="F3" s="19"/>
      <c r="H3" s="37" t="s">
        <v>175</v>
      </c>
      <c r="I3" s="1">
        <v>0</v>
      </c>
      <c r="J3" s="1">
        <v>3</v>
      </c>
      <c r="K3" s="1">
        <v>6</v>
      </c>
      <c r="L3" s="1">
        <v>9</v>
      </c>
      <c r="M3" s="1">
        <v>12</v>
      </c>
    </row>
    <row r="4" spans="1:13">
      <c r="A4" s="23" t="s">
        <v>176</v>
      </c>
      <c r="B4" s="11">
        <v>1450000</v>
      </c>
      <c r="C4" s="1">
        <v>6</v>
      </c>
      <c r="D4" s="19" t="s">
        <v>177</v>
      </c>
      <c r="E4" s="26"/>
      <c r="F4" s="19"/>
      <c r="H4" s="38"/>
      <c r="I4" s="1">
        <v>2</v>
      </c>
      <c r="J4" s="1">
        <v>5</v>
      </c>
      <c r="K4" s="1">
        <v>8</v>
      </c>
      <c r="L4" s="1">
        <v>11</v>
      </c>
      <c r="M4" s="1"/>
    </row>
    <row r="5" spans="1:13">
      <c r="A5" s="23" t="s">
        <v>178</v>
      </c>
      <c r="B5" s="11">
        <v>2220000</v>
      </c>
      <c r="C5" s="1">
        <v>10</v>
      </c>
      <c r="D5" s="19" t="s">
        <v>179</v>
      </c>
      <c r="E5" s="26"/>
      <c r="F5" s="19"/>
      <c r="H5" s="19" t="s">
        <v>177</v>
      </c>
      <c r="I5" s="15">
        <v>0</v>
      </c>
      <c r="J5" s="15">
        <v>0.02</v>
      </c>
      <c r="K5" s="15">
        <v>0.03</v>
      </c>
      <c r="L5" s="15">
        <v>0.04</v>
      </c>
      <c r="M5" s="15">
        <v>0.05</v>
      </c>
    </row>
    <row r="6" spans="1:13">
      <c r="A6" s="23" t="s">
        <v>180</v>
      </c>
      <c r="B6" s="11">
        <v>1520000</v>
      </c>
      <c r="C6" s="1">
        <v>6</v>
      </c>
      <c r="D6" s="19" t="s">
        <v>177</v>
      </c>
      <c r="E6" s="26"/>
      <c r="F6" s="19"/>
      <c r="H6" s="19" t="s">
        <v>181</v>
      </c>
      <c r="I6" s="15">
        <v>0</v>
      </c>
      <c r="J6" s="15">
        <v>0.03</v>
      </c>
      <c r="K6" s="15">
        <v>0.04</v>
      </c>
      <c r="L6" s="15">
        <v>0.05</v>
      </c>
      <c r="M6" s="15">
        <v>0.06</v>
      </c>
    </row>
    <row r="7" spans="1:13">
      <c r="A7" s="23" t="s">
        <v>182</v>
      </c>
      <c r="B7" s="11">
        <v>1450000</v>
      </c>
      <c r="C7" s="1">
        <v>0</v>
      </c>
      <c r="D7" s="19" t="s">
        <v>174</v>
      </c>
      <c r="E7" s="26"/>
      <c r="F7" s="19"/>
    </row>
    <row r="8" spans="1:13">
      <c r="A8" s="23" t="s">
        <v>183</v>
      </c>
      <c r="B8" s="11">
        <v>880000</v>
      </c>
      <c r="C8" s="1">
        <v>3</v>
      </c>
      <c r="D8" s="19" t="s">
        <v>179</v>
      </c>
      <c r="E8" s="26"/>
      <c r="F8" s="19"/>
      <c r="H8" s="27" t="s">
        <v>184</v>
      </c>
    </row>
    <row r="9" spans="1:13">
      <c r="A9" s="23" t="s">
        <v>185</v>
      </c>
      <c r="B9" s="11">
        <v>750000</v>
      </c>
      <c r="C9" s="1">
        <v>6</v>
      </c>
      <c r="D9" s="19" t="s">
        <v>174</v>
      </c>
      <c r="E9" s="26"/>
      <c r="F9" s="19"/>
      <c r="H9" s="39" t="s">
        <v>186</v>
      </c>
      <c r="I9" s="40"/>
      <c r="J9" s="11"/>
    </row>
    <row r="10" spans="1:13">
      <c r="A10" s="23" t="s">
        <v>187</v>
      </c>
      <c r="B10" s="11">
        <v>450000</v>
      </c>
      <c r="C10" s="1">
        <v>3</v>
      </c>
      <c r="D10" s="19" t="s">
        <v>179</v>
      </c>
      <c r="E10" s="26"/>
      <c r="F10" s="19"/>
    </row>
    <row r="11" spans="1:13">
      <c r="A11" s="23" t="s">
        <v>188</v>
      </c>
      <c r="B11" s="11">
        <v>1550000</v>
      </c>
      <c r="C11" s="1">
        <v>6</v>
      </c>
      <c r="D11" s="19" t="s">
        <v>189</v>
      </c>
      <c r="E11" s="26"/>
      <c r="F11" s="19"/>
    </row>
    <row r="12" spans="1:13">
      <c r="A12" s="23" t="s">
        <v>190</v>
      </c>
      <c r="B12" s="11">
        <v>1020000</v>
      </c>
      <c r="C12" s="1">
        <v>10</v>
      </c>
      <c r="D12" s="19" t="s">
        <v>177</v>
      </c>
      <c r="E12" s="26"/>
      <c r="F12" s="19"/>
      <c r="J12" s="28"/>
      <c r="K12" s="28"/>
      <c r="L12" s="28"/>
      <c r="M12" s="28"/>
    </row>
    <row r="14" spans="1:13">
      <c r="A14" s="29" t="s">
        <v>191</v>
      </c>
      <c r="H14" s="30" t="s">
        <v>192</v>
      </c>
      <c r="I14" s="30"/>
      <c r="J14" s="30"/>
      <c r="K14" s="30"/>
    </row>
    <row r="15" spans="1:13">
      <c r="A15" s="31" t="s">
        <v>10</v>
      </c>
      <c r="B15" s="31" t="s">
        <v>193</v>
      </c>
      <c r="C15" s="31" t="s">
        <v>194</v>
      </c>
      <c r="D15" s="31" t="s">
        <v>195</v>
      </c>
      <c r="E15" s="31" t="s">
        <v>196</v>
      </c>
      <c r="F15" s="25" t="s">
        <v>197</v>
      </c>
      <c r="H15" t="s">
        <v>198</v>
      </c>
    </row>
    <row r="16" spans="1:13">
      <c r="A16" s="19" t="s">
        <v>199</v>
      </c>
      <c r="B16" s="32">
        <v>100</v>
      </c>
      <c r="C16" s="32">
        <v>85</v>
      </c>
      <c r="D16" s="32">
        <v>68</v>
      </c>
      <c r="E16" s="33" t="s">
        <v>200</v>
      </c>
      <c r="F16" s="34"/>
      <c r="H16" s="25" t="s">
        <v>201</v>
      </c>
      <c r="I16" s="25" t="s">
        <v>202</v>
      </c>
      <c r="J16" s="25" t="s">
        <v>203</v>
      </c>
      <c r="K16" s="25" t="s">
        <v>204</v>
      </c>
    </row>
    <row r="17" spans="1:11">
      <c r="A17" s="19" t="s">
        <v>205</v>
      </c>
      <c r="B17" s="32">
        <v>75</v>
      </c>
      <c r="C17" s="32">
        <v>80</v>
      </c>
      <c r="D17" s="32">
        <v>85</v>
      </c>
      <c r="E17" s="33" t="s">
        <v>206</v>
      </c>
      <c r="F17" s="34"/>
      <c r="H17" s="25" t="s">
        <v>193</v>
      </c>
      <c r="I17" s="35"/>
      <c r="J17" s="35"/>
      <c r="K17" s="35"/>
    </row>
    <row r="18" spans="1:11">
      <c r="A18" s="19" t="s">
        <v>207</v>
      </c>
      <c r="B18" s="32">
        <v>95</v>
      </c>
      <c r="C18" s="32">
        <v>56</v>
      </c>
      <c r="D18" s="32">
        <v>64</v>
      </c>
      <c r="E18" s="33" t="s">
        <v>208</v>
      </c>
      <c r="F18" s="34"/>
      <c r="H18" s="25" t="s">
        <v>209</v>
      </c>
      <c r="I18" s="35"/>
      <c r="J18" s="35"/>
      <c r="K18" s="35"/>
    </row>
    <row r="19" spans="1:11">
      <c r="A19" s="19" t="s">
        <v>210</v>
      </c>
      <c r="B19" s="32">
        <v>85</v>
      </c>
      <c r="C19" s="32">
        <v>70</v>
      </c>
      <c r="D19" s="32">
        <v>76</v>
      </c>
      <c r="E19" s="33" t="s">
        <v>211</v>
      </c>
      <c r="F19" s="34"/>
      <c r="H19" s="25" t="s">
        <v>195</v>
      </c>
      <c r="I19" s="35"/>
      <c r="J19" s="35"/>
      <c r="K19" s="35"/>
    </row>
    <row r="20" spans="1:11">
      <c r="A20" s="19" t="s">
        <v>212</v>
      </c>
      <c r="B20" s="32">
        <v>79</v>
      </c>
      <c r="C20" s="32">
        <v>90</v>
      </c>
      <c r="D20" s="32">
        <v>54</v>
      </c>
      <c r="E20" s="33" t="s">
        <v>213</v>
      </c>
      <c r="F20" s="34"/>
    </row>
    <row r="21" spans="1:11">
      <c r="A21" s="19" t="s">
        <v>214</v>
      </c>
      <c r="B21" s="32">
        <v>70</v>
      </c>
      <c r="C21" s="32">
        <v>100</v>
      </c>
      <c r="D21" s="32">
        <v>85</v>
      </c>
      <c r="E21" s="33" t="s">
        <v>215</v>
      </c>
      <c r="F21" s="34"/>
    </row>
    <row r="22" spans="1:11">
      <c r="A22" s="19" t="s">
        <v>216</v>
      </c>
      <c r="B22" s="32">
        <v>90</v>
      </c>
      <c r="C22" s="32">
        <v>85</v>
      </c>
      <c r="D22" s="32">
        <v>72</v>
      </c>
      <c r="E22" s="33" t="s">
        <v>217</v>
      </c>
      <c r="F22" s="34"/>
    </row>
    <row r="23" spans="1:11">
      <c r="A23" s="19" t="s">
        <v>218</v>
      </c>
      <c r="B23" s="32">
        <v>100</v>
      </c>
      <c r="C23" s="32">
        <v>90</v>
      </c>
      <c r="D23" s="32">
        <v>76</v>
      </c>
      <c r="E23" s="33" t="s">
        <v>200</v>
      </c>
      <c r="F23" s="34"/>
    </row>
    <row r="24" spans="1:11">
      <c r="A24" s="19" t="s">
        <v>219</v>
      </c>
      <c r="B24" s="32">
        <v>95</v>
      </c>
      <c r="C24" s="32">
        <v>83</v>
      </c>
      <c r="D24" s="32">
        <v>72</v>
      </c>
      <c r="E24" s="33" t="s">
        <v>220</v>
      </c>
      <c r="F24" s="34"/>
    </row>
    <row r="25" spans="1:11">
      <c r="A25" s="19" t="s">
        <v>221</v>
      </c>
      <c r="B25" s="32">
        <v>85</v>
      </c>
      <c r="C25" s="32">
        <v>64</v>
      </c>
      <c r="D25" s="32">
        <v>100</v>
      </c>
      <c r="E25" s="33" t="s">
        <v>222</v>
      </c>
      <c r="F25" s="34"/>
    </row>
    <row r="26" spans="1:11">
      <c r="A26" s="36" t="s">
        <v>223</v>
      </c>
      <c r="B26" s="32">
        <v>90</v>
      </c>
      <c r="C26" s="32">
        <v>85</v>
      </c>
      <c r="D26" s="32">
        <v>90</v>
      </c>
      <c r="E26" s="33" t="s">
        <v>224</v>
      </c>
      <c r="F26" s="34"/>
    </row>
    <row r="27" spans="1:11">
      <c r="A27" s="36" t="s">
        <v>225</v>
      </c>
      <c r="B27" s="32">
        <v>55</v>
      </c>
      <c r="C27" s="32">
        <v>90</v>
      </c>
      <c r="D27" s="32">
        <v>100</v>
      </c>
      <c r="E27" s="33" t="s">
        <v>226</v>
      </c>
      <c r="F27" s="34"/>
    </row>
  </sheetData>
  <mergeCells count="2">
    <mergeCell ref="H3:H4"/>
    <mergeCell ref="H9:I9"/>
  </mergeCells>
  <phoneticPr fontId="1" type="noConversion"/>
  <conditionalFormatting sqref="A16:F27">
    <cfRule type="expression" dxfId="0" priority="1" stopIfTrue="1">
      <formula>AND(#REF!&gt;=90, OR(MID($A16,3,1)="M", MID($A16,3,1)="G"))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F20" sqref="F20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21"/>
  <sheetViews>
    <sheetView workbookViewId="0"/>
  </sheetViews>
  <sheetFormatPr defaultRowHeight="16.5"/>
  <cols>
    <col min="2" max="2" width="12.375" customWidth="1"/>
    <col min="3" max="3" width="11" customWidth="1"/>
    <col min="4" max="4" width="10.625" customWidth="1"/>
    <col min="5" max="5" width="9.25" bestFit="1" customWidth="1"/>
    <col min="6" max="6" width="10.625" bestFit="1" customWidth="1"/>
    <col min="7" max="7" width="11.75" bestFit="1" customWidth="1"/>
    <col min="8" max="8" width="13.625" customWidth="1"/>
    <col min="9" max="9" width="19.75" customWidth="1"/>
    <col min="11" max="11" width="11" bestFit="1" customWidth="1"/>
  </cols>
  <sheetData>
    <row r="2" spans="1:11">
      <c r="A2" s="6" t="s">
        <v>58</v>
      </c>
      <c r="B2" s="6" t="s">
        <v>59</v>
      </c>
      <c r="C2" s="6" t="s">
        <v>60</v>
      </c>
      <c r="D2" s="6" t="s">
        <v>61</v>
      </c>
      <c r="E2" s="7" t="s">
        <v>94</v>
      </c>
      <c r="F2" s="7" t="s">
        <v>91</v>
      </c>
      <c r="G2" s="7" t="s">
        <v>92</v>
      </c>
      <c r="H2" s="6" t="s">
        <v>89</v>
      </c>
      <c r="I2" s="6" t="s">
        <v>90</v>
      </c>
      <c r="K2" s="6" t="s">
        <v>60</v>
      </c>
    </row>
    <row r="3" spans="1:11">
      <c r="A3" s="6" t="s">
        <v>62</v>
      </c>
      <c r="B3" s="6" t="s">
        <v>63</v>
      </c>
      <c r="C3" s="6" t="s">
        <v>109</v>
      </c>
      <c r="D3" s="14" t="s">
        <v>64</v>
      </c>
      <c r="E3" s="16">
        <v>30</v>
      </c>
      <c r="F3" s="14">
        <v>380000</v>
      </c>
      <c r="G3" s="14">
        <f t="shared" ref="G3:G18" si="0">F3*(1-$B$21)</f>
        <v>342000</v>
      </c>
      <c r="H3" s="8" t="s">
        <v>125</v>
      </c>
      <c r="I3" s="12" t="s">
        <v>141</v>
      </c>
      <c r="K3" s="6" t="s">
        <v>106</v>
      </c>
    </row>
    <row r="4" spans="1:11">
      <c r="A4" s="6" t="s">
        <v>65</v>
      </c>
      <c r="B4" s="6" t="s">
        <v>66</v>
      </c>
      <c r="C4" s="6" t="s">
        <v>67</v>
      </c>
      <c r="D4" s="14" t="s">
        <v>68</v>
      </c>
      <c r="E4" s="16">
        <v>60</v>
      </c>
      <c r="F4" s="14">
        <v>390000</v>
      </c>
      <c r="G4" s="14">
        <f t="shared" si="0"/>
        <v>351000</v>
      </c>
      <c r="H4" s="8" t="s">
        <v>126</v>
      </c>
      <c r="I4" s="12" t="s">
        <v>142</v>
      </c>
      <c r="K4" s="6" t="s">
        <v>67</v>
      </c>
    </row>
    <row r="5" spans="1:11">
      <c r="A5" s="6" t="s">
        <v>69</v>
      </c>
      <c r="B5" s="6" t="s">
        <v>70</v>
      </c>
      <c r="C5" s="6" t="s">
        <v>110</v>
      </c>
      <c r="D5" s="14" t="s">
        <v>71</v>
      </c>
      <c r="E5" s="16">
        <v>20</v>
      </c>
      <c r="F5" s="14">
        <v>2700000</v>
      </c>
      <c r="G5" s="14">
        <f t="shared" si="0"/>
        <v>2430000</v>
      </c>
      <c r="H5" s="8" t="s">
        <v>127</v>
      </c>
      <c r="I5" s="12" t="s">
        <v>143</v>
      </c>
      <c r="K5" s="6" t="s">
        <v>78</v>
      </c>
    </row>
    <row r="6" spans="1:11">
      <c r="A6" s="6" t="s">
        <v>72</v>
      </c>
      <c r="B6" s="6" t="s">
        <v>73</v>
      </c>
      <c r="C6" s="6" t="s">
        <v>74</v>
      </c>
      <c r="D6" s="14" t="s">
        <v>75</v>
      </c>
      <c r="E6" s="16">
        <v>25</v>
      </c>
      <c r="F6" s="14">
        <v>1800000</v>
      </c>
      <c r="G6" s="14">
        <f t="shared" si="0"/>
        <v>1620000</v>
      </c>
      <c r="H6" s="8" t="s">
        <v>128</v>
      </c>
      <c r="I6" s="12" t="s">
        <v>144</v>
      </c>
    </row>
    <row r="7" spans="1:11">
      <c r="A7" s="6" t="s">
        <v>76</v>
      </c>
      <c r="B7" s="6" t="s">
        <v>77</v>
      </c>
      <c r="C7" s="6" t="s">
        <v>78</v>
      </c>
      <c r="D7" s="14" t="s">
        <v>79</v>
      </c>
      <c r="E7" s="16">
        <v>40</v>
      </c>
      <c r="F7" s="14">
        <v>450000</v>
      </c>
      <c r="G7" s="14">
        <f t="shared" si="0"/>
        <v>405000</v>
      </c>
      <c r="H7" s="8" t="s">
        <v>129</v>
      </c>
      <c r="I7" s="12" t="s">
        <v>145</v>
      </c>
    </row>
    <row r="8" spans="1:11">
      <c r="A8" s="6" t="s">
        <v>80</v>
      </c>
      <c r="B8" s="6" t="s">
        <v>81</v>
      </c>
      <c r="C8" s="6" t="s">
        <v>74</v>
      </c>
      <c r="D8" s="14" t="s">
        <v>82</v>
      </c>
      <c r="E8" s="16">
        <v>40</v>
      </c>
      <c r="F8" s="14">
        <v>680000</v>
      </c>
      <c r="G8" s="14">
        <f t="shared" si="0"/>
        <v>612000</v>
      </c>
      <c r="H8" s="8" t="s">
        <v>130</v>
      </c>
      <c r="I8" s="12" t="s">
        <v>146</v>
      </c>
    </row>
    <row r="9" spans="1:11">
      <c r="A9" s="6" t="s">
        <v>83</v>
      </c>
      <c r="B9" s="6" t="s">
        <v>84</v>
      </c>
      <c r="C9" s="6" t="s">
        <v>85</v>
      </c>
      <c r="D9" s="14" t="s">
        <v>64</v>
      </c>
      <c r="E9" s="16">
        <v>30</v>
      </c>
      <c r="F9" s="14">
        <v>490000</v>
      </c>
      <c r="G9" s="14">
        <f t="shared" si="0"/>
        <v>441000</v>
      </c>
      <c r="H9" s="8" t="s">
        <v>131</v>
      </c>
      <c r="I9" s="12" t="s">
        <v>147</v>
      </c>
    </row>
    <row r="10" spans="1:11">
      <c r="A10" s="6" t="s">
        <v>86</v>
      </c>
      <c r="B10" s="6" t="s">
        <v>87</v>
      </c>
      <c r="C10" s="6" t="s">
        <v>107</v>
      </c>
      <c r="D10" s="14" t="s">
        <v>88</v>
      </c>
      <c r="E10" s="16">
        <v>25</v>
      </c>
      <c r="F10" s="14">
        <v>590000</v>
      </c>
      <c r="G10" s="14">
        <f t="shared" si="0"/>
        <v>531000</v>
      </c>
      <c r="H10" s="8" t="s">
        <v>132</v>
      </c>
      <c r="I10" s="12" t="s">
        <v>148</v>
      </c>
    </row>
    <row r="11" spans="1:11">
      <c r="A11" s="12" t="s">
        <v>116</v>
      </c>
      <c r="B11" s="12" t="s">
        <v>95</v>
      </c>
      <c r="C11" s="12" t="s">
        <v>67</v>
      </c>
      <c r="D11" s="12" t="s">
        <v>111</v>
      </c>
      <c r="E11" s="17">
        <v>30</v>
      </c>
      <c r="F11" s="11">
        <v>750000</v>
      </c>
      <c r="G11" s="14">
        <f t="shared" si="0"/>
        <v>675000</v>
      </c>
      <c r="H11" s="12" t="s">
        <v>133</v>
      </c>
      <c r="I11" s="12" t="s">
        <v>149</v>
      </c>
    </row>
    <row r="12" spans="1:11">
      <c r="A12" s="12" t="s">
        <v>117</v>
      </c>
      <c r="B12" s="12" t="s">
        <v>96</v>
      </c>
      <c r="C12" s="12" t="s">
        <v>107</v>
      </c>
      <c r="D12" s="12" t="s">
        <v>112</v>
      </c>
      <c r="E12" s="17">
        <v>25</v>
      </c>
      <c r="F12" s="11">
        <v>390000</v>
      </c>
      <c r="G12" s="14">
        <f t="shared" si="0"/>
        <v>351000</v>
      </c>
      <c r="H12" s="12" t="s">
        <v>134</v>
      </c>
      <c r="I12" s="12" t="s">
        <v>150</v>
      </c>
    </row>
    <row r="13" spans="1:11">
      <c r="A13" s="12" t="s">
        <v>118</v>
      </c>
      <c r="B13" s="12" t="s">
        <v>97</v>
      </c>
      <c r="C13" s="12" t="s">
        <v>106</v>
      </c>
      <c r="D13" s="12" t="s">
        <v>88</v>
      </c>
      <c r="E13" s="17">
        <v>35</v>
      </c>
      <c r="F13" s="11">
        <v>450000</v>
      </c>
      <c r="G13" s="14">
        <f t="shared" si="0"/>
        <v>405000</v>
      </c>
      <c r="H13" s="12" t="s">
        <v>135</v>
      </c>
      <c r="I13" s="12" t="s">
        <v>151</v>
      </c>
    </row>
    <row r="14" spans="1:11">
      <c r="A14" s="12" t="s">
        <v>119</v>
      </c>
      <c r="B14" s="12" t="s">
        <v>98</v>
      </c>
      <c r="C14" s="12" t="s">
        <v>108</v>
      </c>
      <c r="D14" s="12" t="s">
        <v>113</v>
      </c>
      <c r="E14" s="17">
        <v>20</v>
      </c>
      <c r="F14" s="11">
        <v>400000</v>
      </c>
      <c r="G14" s="14">
        <f t="shared" si="0"/>
        <v>360000</v>
      </c>
      <c r="H14" s="12" t="s">
        <v>136</v>
      </c>
      <c r="I14" s="12" t="s">
        <v>152</v>
      </c>
    </row>
    <row r="15" spans="1:11">
      <c r="A15" s="12" t="s">
        <v>120</v>
      </c>
      <c r="B15" s="12" t="s">
        <v>99</v>
      </c>
      <c r="C15" s="12" t="s">
        <v>67</v>
      </c>
      <c r="D15" s="12" t="s">
        <v>68</v>
      </c>
      <c r="E15" s="17">
        <v>45</v>
      </c>
      <c r="F15" s="11">
        <v>580000</v>
      </c>
      <c r="G15" s="14">
        <f t="shared" si="0"/>
        <v>522000</v>
      </c>
      <c r="H15" s="12" t="s">
        <v>137</v>
      </c>
      <c r="I15" s="12" t="s">
        <v>153</v>
      </c>
    </row>
    <row r="16" spans="1:11">
      <c r="A16" s="12" t="s">
        <v>121</v>
      </c>
      <c r="B16" s="12" t="s">
        <v>100</v>
      </c>
      <c r="C16" s="12" t="s">
        <v>105</v>
      </c>
      <c r="D16" s="12" t="s">
        <v>82</v>
      </c>
      <c r="E16" s="17">
        <v>50</v>
      </c>
      <c r="F16" s="11">
        <v>490000</v>
      </c>
      <c r="G16" s="14">
        <f t="shared" si="0"/>
        <v>441000</v>
      </c>
      <c r="H16" s="12" t="s">
        <v>138</v>
      </c>
      <c r="I16" s="12" t="s">
        <v>154</v>
      </c>
    </row>
    <row r="17" spans="1:9">
      <c r="A17" s="12" t="s">
        <v>122</v>
      </c>
      <c r="B17" s="12" t="s">
        <v>101</v>
      </c>
      <c r="C17" s="12" t="s">
        <v>104</v>
      </c>
      <c r="D17" s="12" t="s">
        <v>114</v>
      </c>
      <c r="E17" s="17">
        <v>35</v>
      </c>
      <c r="F17" s="11">
        <v>399000</v>
      </c>
      <c r="G17" s="14">
        <f t="shared" si="0"/>
        <v>359100</v>
      </c>
      <c r="H17" s="12" t="s">
        <v>139</v>
      </c>
      <c r="I17" s="12" t="s">
        <v>155</v>
      </c>
    </row>
    <row r="18" spans="1:9">
      <c r="A18" s="12" t="s">
        <v>123</v>
      </c>
      <c r="B18" s="12" t="s">
        <v>102</v>
      </c>
      <c r="C18" s="12" t="s">
        <v>103</v>
      </c>
      <c r="D18" s="12" t="s">
        <v>115</v>
      </c>
      <c r="E18" s="17">
        <v>25</v>
      </c>
      <c r="F18" s="11">
        <v>1850000</v>
      </c>
      <c r="G18" s="14">
        <f t="shared" si="0"/>
        <v>1665000</v>
      </c>
      <c r="H18" s="12" t="s">
        <v>140</v>
      </c>
      <c r="I18" s="12" t="s">
        <v>156</v>
      </c>
    </row>
    <row r="19" spans="1:9">
      <c r="A19" s="41" t="s">
        <v>124</v>
      </c>
      <c r="B19" s="42"/>
      <c r="C19" s="42"/>
      <c r="D19" s="43"/>
      <c r="E19" s="17"/>
      <c r="F19" s="11"/>
      <c r="G19" s="14">
        <f>SUM(G3:G18)</f>
        <v>11510100</v>
      </c>
      <c r="H19" s="1"/>
      <c r="I19" s="1"/>
    </row>
    <row r="21" spans="1:9">
      <c r="A21" s="1" t="s">
        <v>93</v>
      </c>
      <c r="B21" s="15">
        <v>0.1</v>
      </c>
    </row>
  </sheetData>
  <mergeCells count="1">
    <mergeCell ref="A19:D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G10"/>
  <sheetViews>
    <sheetView workbookViewId="0">
      <selection activeCell="K37" sqref="K37"/>
    </sheetView>
  </sheetViews>
  <sheetFormatPr defaultRowHeight="16.5"/>
  <cols>
    <col min="2" max="2" width="12.375" bestFit="1" customWidth="1"/>
    <col min="3" max="3" width="11.25" customWidth="1"/>
    <col min="4" max="5" width="10.625" bestFit="1" customWidth="1"/>
  </cols>
  <sheetData>
    <row r="2" spans="1:7">
      <c r="A2" s="6" t="s">
        <v>58</v>
      </c>
      <c r="B2" s="6" t="s">
        <v>59</v>
      </c>
      <c r="C2" s="6" t="s">
        <v>60</v>
      </c>
      <c r="D2" s="7" t="s">
        <v>94</v>
      </c>
      <c r="E2" s="7" t="s">
        <v>91</v>
      </c>
      <c r="F2" s="6" t="s">
        <v>61</v>
      </c>
      <c r="G2" s="6" t="s">
        <v>89</v>
      </c>
    </row>
    <row r="3" spans="1:7">
      <c r="A3" s="6" t="s">
        <v>62</v>
      </c>
      <c r="B3" s="6" t="s">
        <v>63</v>
      </c>
      <c r="C3" s="6" t="s">
        <v>106</v>
      </c>
      <c r="D3" s="16">
        <v>35</v>
      </c>
      <c r="E3" s="14">
        <v>380000</v>
      </c>
      <c r="F3" s="14">
        <v>5</v>
      </c>
      <c r="G3" s="8" t="s">
        <v>125</v>
      </c>
    </row>
    <row r="4" spans="1:7">
      <c r="A4" s="6" t="s">
        <v>65</v>
      </c>
      <c r="B4" s="6" t="s">
        <v>70</v>
      </c>
      <c r="C4" s="6" t="s">
        <v>67</v>
      </c>
      <c r="D4" s="16">
        <v>20</v>
      </c>
      <c r="E4" s="14">
        <v>2700000</v>
      </c>
      <c r="F4" s="14">
        <v>10</v>
      </c>
      <c r="G4" s="8" t="s">
        <v>126</v>
      </c>
    </row>
    <row r="5" spans="1:7">
      <c r="A5" s="6" t="s">
        <v>69</v>
      </c>
      <c r="B5" s="6" t="s">
        <v>73</v>
      </c>
      <c r="C5" s="6" t="s">
        <v>110</v>
      </c>
      <c r="D5" s="16">
        <v>25</v>
      </c>
      <c r="E5" s="14">
        <v>1800000</v>
      </c>
      <c r="F5" s="14">
        <v>5</v>
      </c>
      <c r="G5" s="8" t="s">
        <v>127</v>
      </c>
    </row>
    <row r="6" spans="1:7">
      <c r="A6" s="6" t="s">
        <v>72</v>
      </c>
      <c r="B6" s="6" t="s">
        <v>84</v>
      </c>
      <c r="C6" s="6" t="s">
        <v>67</v>
      </c>
      <c r="D6" s="16">
        <v>30</v>
      </c>
      <c r="E6" s="14">
        <v>490000</v>
      </c>
      <c r="F6" s="14">
        <v>4</v>
      </c>
      <c r="G6" s="8" t="s">
        <v>128</v>
      </c>
    </row>
    <row r="7" spans="1:7">
      <c r="A7" s="6" t="s">
        <v>76</v>
      </c>
      <c r="B7" s="6" t="s">
        <v>87</v>
      </c>
      <c r="C7" s="6" t="s">
        <v>157</v>
      </c>
      <c r="D7" s="16">
        <v>25</v>
      </c>
      <c r="E7" s="14">
        <v>590000</v>
      </c>
      <c r="F7" s="14">
        <v>3</v>
      </c>
      <c r="G7" s="8" t="s">
        <v>129</v>
      </c>
    </row>
    <row r="8" spans="1:7">
      <c r="A8" s="6" t="s">
        <v>80</v>
      </c>
      <c r="B8" s="13" t="s">
        <v>95</v>
      </c>
      <c r="C8" s="6" t="s">
        <v>67</v>
      </c>
      <c r="D8" s="17">
        <v>30</v>
      </c>
      <c r="E8" s="11">
        <v>750000</v>
      </c>
      <c r="F8" s="14">
        <v>5</v>
      </c>
      <c r="G8" s="8" t="s">
        <v>130</v>
      </c>
    </row>
    <row r="9" spans="1:7">
      <c r="A9" s="6" t="s">
        <v>83</v>
      </c>
      <c r="B9" s="13" t="s">
        <v>96</v>
      </c>
      <c r="C9" s="6" t="s">
        <v>78</v>
      </c>
      <c r="D9" s="17">
        <v>25</v>
      </c>
      <c r="E9" s="11">
        <v>390000</v>
      </c>
      <c r="F9" s="14">
        <v>3</v>
      </c>
      <c r="G9" s="8" t="s">
        <v>131</v>
      </c>
    </row>
    <row r="10" spans="1:7">
      <c r="A10" s="6" t="s">
        <v>86</v>
      </c>
      <c r="B10" s="13" t="s">
        <v>102</v>
      </c>
      <c r="C10" s="6" t="s">
        <v>158</v>
      </c>
      <c r="D10" s="17">
        <v>25</v>
      </c>
      <c r="E10" s="11">
        <v>1850000</v>
      </c>
      <c r="F10" s="14">
        <v>5</v>
      </c>
      <c r="G10" s="8" t="s">
        <v>132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H17"/>
  <sheetViews>
    <sheetView workbookViewId="0"/>
  </sheetViews>
  <sheetFormatPr defaultRowHeight="16.5"/>
  <cols>
    <col min="2" max="2" width="12.375" bestFit="1" customWidth="1"/>
    <col min="3" max="3" width="11.75" customWidth="1"/>
    <col min="4" max="4" width="11.5" customWidth="1"/>
    <col min="6" max="6" width="10.625" bestFit="1" customWidth="1"/>
    <col min="7" max="7" width="13.375" customWidth="1"/>
  </cols>
  <sheetData>
    <row r="5" spans="1:8">
      <c r="A5" s="6" t="s">
        <v>58</v>
      </c>
      <c r="B5" s="6" t="s">
        <v>59</v>
      </c>
      <c r="C5" s="6" t="s">
        <v>60</v>
      </c>
      <c r="D5" s="6" t="s">
        <v>61</v>
      </c>
      <c r="E5" s="7" t="s">
        <v>94</v>
      </c>
      <c r="F5" s="7" t="s">
        <v>91</v>
      </c>
      <c r="G5" s="13" t="s">
        <v>163</v>
      </c>
      <c r="H5" s="6" t="s">
        <v>89</v>
      </c>
    </row>
    <row r="6" spans="1:8">
      <c r="A6" s="6" t="s">
        <v>62</v>
      </c>
      <c r="B6" s="6" t="s">
        <v>63</v>
      </c>
      <c r="C6" s="6" t="s">
        <v>106</v>
      </c>
      <c r="D6" s="20">
        <v>5</v>
      </c>
      <c r="E6" s="16">
        <v>30</v>
      </c>
      <c r="F6" s="14">
        <v>380000</v>
      </c>
      <c r="G6" s="22">
        <v>150000</v>
      </c>
      <c r="H6" s="8" t="s">
        <v>125</v>
      </c>
    </row>
    <row r="7" spans="1:8">
      <c r="A7" s="6" t="s">
        <v>65</v>
      </c>
      <c r="B7" s="6" t="s">
        <v>66</v>
      </c>
      <c r="C7" s="6" t="s">
        <v>67</v>
      </c>
      <c r="D7" s="20">
        <v>3</v>
      </c>
      <c r="E7" s="16">
        <v>60</v>
      </c>
      <c r="F7" s="14">
        <v>390000</v>
      </c>
      <c r="G7" s="22">
        <v>350000</v>
      </c>
      <c r="H7" s="8" t="s">
        <v>126</v>
      </c>
    </row>
    <row r="8" spans="1:8">
      <c r="A8" s="6" t="s">
        <v>69</v>
      </c>
      <c r="B8" s="6" t="s">
        <v>70</v>
      </c>
      <c r="C8" s="6" t="s">
        <v>110</v>
      </c>
      <c r="D8" s="20">
        <v>10</v>
      </c>
      <c r="E8" s="16">
        <v>20</v>
      </c>
      <c r="F8" s="14">
        <v>2700000</v>
      </c>
      <c r="G8" s="22">
        <v>-100000</v>
      </c>
      <c r="H8" s="8" t="s">
        <v>127</v>
      </c>
    </row>
    <row r="9" spans="1:8">
      <c r="A9" s="6" t="s">
        <v>72</v>
      </c>
      <c r="B9" s="6" t="s">
        <v>73</v>
      </c>
      <c r="C9" s="6" t="s">
        <v>67</v>
      </c>
      <c r="D9" s="20">
        <v>7</v>
      </c>
      <c r="E9" s="16">
        <v>25</v>
      </c>
      <c r="F9" s="14">
        <v>1800000</v>
      </c>
      <c r="G9" s="22">
        <v>200000</v>
      </c>
      <c r="H9" s="8" t="s">
        <v>128</v>
      </c>
    </row>
    <row r="10" spans="1:8">
      <c r="A10" s="6" t="s">
        <v>76</v>
      </c>
      <c r="B10" s="6" t="s">
        <v>77</v>
      </c>
      <c r="C10" s="6" t="s">
        <v>78</v>
      </c>
      <c r="D10" s="20">
        <v>4</v>
      </c>
      <c r="E10" s="16">
        <v>40</v>
      </c>
      <c r="F10" s="14">
        <v>450000</v>
      </c>
      <c r="G10" s="22" t="s">
        <v>159</v>
      </c>
      <c r="H10" s="8" t="s">
        <v>129</v>
      </c>
    </row>
    <row r="11" spans="1:8">
      <c r="A11" s="6" t="s">
        <v>80</v>
      </c>
      <c r="B11" s="6" t="s">
        <v>81</v>
      </c>
      <c r="C11" s="6" t="s">
        <v>67</v>
      </c>
      <c r="D11" s="20">
        <v>4</v>
      </c>
      <c r="E11" s="16">
        <v>40</v>
      </c>
      <c r="F11" s="14">
        <v>680000</v>
      </c>
      <c r="G11" s="22">
        <v>-150000</v>
      </c>
      <c r="H11" s="8" t="s">
        <v>130</v>
      </c>
    </row>
    <row r="12" spans="1:8">
      <c r="A12" s="6" t="s">
        <v>83</v>
      </c>
      <c r="B12" s="6" t="s">
        <v>84</v>
      </c>
      <c r="C12" s="6" t="s">
        <v>78</v>
      </c>
      <c r="D12" s="20">
        <v>5</v>
      </c>
      <c r="E12" s="16">
        <v>30</v>
      </c>
      <c r="F12" s="14">
        <v>490000</v>
      </c>
      <c r="G12" s="22">
        <v>0</v>
      </c>
      <c r="H12" s="8" t="s">
        <v>131</v>
      </c>
    </row>
    <row r="13" spans="1:8">
      <c r="A13" s="6" t="s">
        <v>86</v>
      </c>
      <c r="B13" s="6" t="s">
        <v>87</v>
      </c>
      <c r="C13" s="6" t="s">
        <v>106</v>
      </c>
      <c r="D13" s="20">
        <v>7</v>
      </c>
      <c r="E13" s="16">
        <v>25</v>
      </c>
      <c r="F13" s="14">
        <v>590000</v>
      </c>
      <c r="G13" s="22" t="s">
        <v>160</v>
      </c>
      <c r="H13" s="8" t="s">
        <v>132</v>
      </c>
    </row>
    <row r="14" spans="1:8">
      <c r="A14" s="13" t="s">
        <v>116</v>
      </c>
      <c r="B14" s="13" t="s">
        <v>161</v>
      </c>
      <c r="C14" s="13" t="s">
        <v>67</v>
      </c>
      <c r="D14" s="21">
        <v>7</v>
      </c>
      <c r="E14" s="17">
        <v>30</v>
      </c>
      <c r="F14" s="11">
        <v>2200000</v>
      </c>
      <c r="G14" s="22">
        <v>-100000</v>
      </c>
      <c r="H14" s="13" t="s">
        <v>133</v>
      </c>
    </row>
    <row r="15" spans="1:8">
      <c r="A15" s="13" t="s">
        <v>117</v>
      </c>
      <c r="B15" s="13" t="s">
        <v>162</v>
      </c>
      <c r="C15" s="13" t="s">
        <v>67</v>
      </c>
      <c r="D15" s="21">
        <v>11</v>
      </c>
      <c r="E15" s="17">
        <v>25</v>
      </c>
      <c r="F15" s="11">
        <v>2900000</v>
      </c>
      <c r="G15" s="22">
        <v>0</v>
      </c>
      <c r="H15" s="13" t="s">
        <v>134</v>
      </c>
    </row>
    <row r="16" spans="1:8">
      <c r="A16" s="13" t="s">
        <v>118</v>
      </c>
      <c r="B16" s="13" t="s">
        <v>97</v>
      </c>
      <c r="C16" s="13" t="s">
        <v>106</v>
      </c>
      <c r="D16" s="21">
        <v>5</v>
      </c>
      <c r="E16" s="17">
        <v>35</v>
      </c>
      <c r="F16" s="11">
        <v>450000</v>
      </c>
      <c r="G16" s="22">
        <v>250000</v>
      </c>
      <c r="H16" s="13" t="s">
        <v>135</v>
      </c>
    </row>
    <row r="17" spans="1:8">
      <c r="A17" s="13" t="s">
        <v>119</v>
      </c>
      <c r="B17" s="13" t="s">
        <v>98</v>
      </c>
      <c r="C17" s="13" t="s">
        <v>78</v>
      </c>
      <c r="D17" s="21">
        <v>3</v>
      </c>
      <c r="E17" s="17">
        <v>20</v>
      </c>
      <c r="F17" s="11">
        <v>400000</v>
      </c>
      <c r="G17" s="22">
        <v>130000</v>
      </c>
      <c r="H17" s="13" t="s">
        <v>136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G20"/>
  <sheetViews>
    <sheetView workbookViewId="0"/>
  </sheetViews>
  <sheetFormatPr defaultRowHeight="16.5"/>
  <cols>
    <col min="1" max="1" width="11.75" customWidth="1"/>
    <col min="2" max="2" width="10.75" customWidth="1"/>
    <col min="3" max="3" width="21.625" customWidth="1"/>
    <col min="4" max="4" width="12.125" customWidth="1"/>
    <col min="5" max="5" width="14.875" customWidth="1"/>
  </cols>
  <sheetData>
    <row r="2" spans="1:7">
      <c r="A2" s="44" t="s">
        <v>0</v>
      </c>
      <c r="B2" s="44" t="s">
        <v>1</v>
      </c>
      <c r="C2" s="44"/>
      <c r="D2" s="44" t="s">
        <v>4</v>
      </c>
      <c r="E2" s="44" t="s">
        <v>5</v>
      </c>
    </row>
    <row r="3" spans="1:7">
      <c r="A3" s="44"/>
      <c r="B3" s="2" t="s">
        <v>2</v>
      </c>
      <c r="C3" s="2" t="s">
        <v>3</v>
      </c>
      <c r="D3" s="44"/>
      <c r="E3" s="44"/>
    </row>
    <row r="4" spans="1:7">
      <c r="A4" s="1"/>
      <c r="B4" s="1"/>
      <c r="C4" s="1"/>
      <c r="D4" s="1"/>
      <c r="E4" s="1"/>
    </row>
    <row r="5" spans="1:7">
      <c r="A5" s="1"/>
      <c r="B5" s="1"/>
      <c r="C5" s="1"/>
      <c r="D5" s="1"/>
      <c r="E5" s="1"/>
      <c r="G5" t="s">
        <v>9</v>
      </c>
    </row>
    <row r="6" spans="1:7">
      <c r="A6" s="1"/>
      <c r="B6" s="1"/>
      <c r="C6" s="1"/>
      <c r="D6" s="1"/>
      <c r="E6" s="1"/>
      <c r="G6" t="s">
        <v>6</v>
      </c>
    </row>
    <row r="7" spans="1:7">
      <c r="A7" s="1"/>
      <c r="B7" s="1"/>
      <c r="C7" s="1"/>
      <c r="D7" s="1"/>
      <c r="E7" s="1"/>
      <c r="G7" t="s">
        <v>7</v>
      </c>
    </row>
    <row r="8" spans="1:7">
      <c r="A8" s="1"/>
      <c r="B8" s="1"/>
      <c r="C8" s="1"/>
      <c r="D8" s="1"/>
      <c r="E8" s="1"/>
      <c r="G8" t="s">
        <v>8</v>
      </c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  <row r="13" spans="1:7">
      <c r="A13" s="1"/>
      <c r="B13" s="1"/>
      <c r="C13" s="1"/>
      <c r="D13" s="1"/>
      <c r="E13" s="1"/>
    </row>
    <row r="14" spans="1:7">
      <c r="A14" s="1"/>
      <c r="B14" s="1"/>
      <c r="C14" s="1"/>
      <c r="D14" s="1"/>
      <c r="E14" s="1"/>
    </row>
    <row r="15" spans="1:7">
      <c r="A15" s="1"/>
      <c r="B15" s="1"/>
      <c r="C15" s="1"/>
      <c r="D15" s="1"/>
      <c r="E15" s="1"/>
    </row>
    <row r="16" spans="1:7">
      <c r="A16" s="1"/>
      <c r="B16" s="1"/>
      <c r="C16" s="1"/>
      <c r="D16" s="1"/>
      <c r="E16" s="1"/>
    </row>
    <row r="17" spans="1:5">
      <c r="A17" s="1"/>
      <c r="B17" s="1"/>
      <c r="C17" s="1"/>
      <c r="D17" s="1"/>
      <c r="E17" s="1"/>
    </row>
    <row r="18" spans="1:5">
      <c r="A18" s="1"/>
      <c r="B18" s="1"/>
      <c r="C18" s="1"/>
      <c r="D18" s="1"/>
      <c r="E18" s="1"/>
    </row>
    <row r="19" spans="1:5">
      <c r="A19" s="1"/>
      <c r="B19" s="1"/>
      <c r="C19" s="1"/>
      <c r="D19" s="1"/>
      <c r="E19" s="1"/>
    </row>
    <row r="20" spans="1:5">
      <c r="A20" s="1"/>
      <c r="B20" s="1"/>
      <c r="C20" s="1"/>
      <c r="D20" s="1"/>
      <c r="E20" s="1"/>
    </row>
  </sheetData>
  <mergeCells count="4">
    <mergeCell ref="E2:E3"/>
    <mergeCell ref="D2:D3"/>
    <mergeCell ref="B2:C2"/>
    <mergeCell ref="A2:A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연락처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1025" r:id="rId3" name="cmd연락처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'분석작업-2'!Extract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2021-05-29T09:16:42Z</cp:lastPrinted>
  <dcterms:created xsi:type="dcterms:W3CDTF">2021-04-18T04:44:57Z</dcterms:created>
  <dcterms:modified xsi:type="dcterms:W3CDTF">2023-09-10T11:41:05Z</dcterms:modified>
</cp:coreProperties>
</file>