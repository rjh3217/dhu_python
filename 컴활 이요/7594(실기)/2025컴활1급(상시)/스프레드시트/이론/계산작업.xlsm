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1급\상시공략집\2025컴활1급(상시)\스프레드시트\이론\"/>
    </mc:Choice>
  </mc:AlternateContent>
  <xr:revisionPtr revIDLastSave="0" documentId="13_ncr:1_{56A18EAF-BA67-429B-BBC1-62AD3EE4E6A7}" xr6:coauthVersionLast="47" xr6:coauthVersionMax="47" xr10:uidLastSave="{00000000-0000-0000-0000-000000000000}"/>
  <bookViews>
    <workbookView xWindow="13155" yWindow="45" windowWidth="12960" windowHeight="14505" tabRatio="882" firstSheet="4" activeTab="9" xr2:uid="{00000000-000D-0000-FFFF-FFFF00000000}"/>
  </bookViews>
  <sheets>
    <sheet name="데이터베이스" sheetId="15" r:id="rId1"/>
    <sheet name="데이터베이스(결과)" sheetId="2" r:id="rId2"/>
    <sheet name="수학삼각" sheetId="65" r:id="rId3"/>
    <sheet name="수학삼각(결과)" sheetId="3" r:id="rId4"/>
    <sheet name="통계" sheetId="18" r:id="rId5"/>
    <sheet name="통계(결과)" sheetId="5" r:id="rId6"/>
    <sheet name="찾기참조1" sheetId="32" r:id="rId7"/>
    <sheet name="찾기참조1(결과)" sheetId="33" r:id="rId8"/>
    <sheet name="찾기참조2" sheetId="68" r:id="rId9"/>
    <sheet name="찾기참조2(결과)" sheetId="67" r:id="rId10"/>
    <sheet name="날짜" sheetId="34" r:id="rId11"/>
    <sheet name="날짜(결과)" sheetId="35" r:id="rId12"/>
    <sheet name="텍스트1" sheetId="36" r:id="rId13"/>
    <sheet name="텍스트1(결과)" sheetId="37" r:id="rId14"/>
    <sheet name="텍스트2" sheetId="62" r:id="rId15"/>
    <sheet name="텍스트2(결과)" sheetId="63" r:id="rId16"/>
    <sheet name="논리1" sheetId="13" r:id="rId17"/>
    <sheet name="논리1(결과)" sheetId="27" r:id="rId18"/>
    <sheet name="논리2" sheetId="40" r:id="rId19"/>
    <sheet name="논리2(결과)" sheetId="41" r:id="rId20"/>
    <sheet name="재무" sheetId="46" r:id="rId21"/>
    <sheet name="재무(결과)" sheetId="47" r:id="rId22"/>
    <sheet name="정보" sheetId="48" r:id="rId23"/>
    <sheet name="정보(결과)" sheetId="49" r:id="rId24"/>
    <sheet name="배열1" sheetId="58" r:id="rId25"/>
    <sheet name="배열1(결과)" sheetId="59" r:id="rId26"/>
    <sheet name="배열2" sheetId="69" r:id="rId27"/>
    <sheet name="배열2(결과)" sheetId="70" r:id="rId28"/>
    <sheet name="사용자정의" sheetId="64" r:id="rId29"/>
    <sheet name="사용자정의(결과)" sheetId="61" r:id="rId30"/>
  </sheets>
  <functionGroups builtInGroupCount="19"/>
  <externalReferences>
    <externalReference r:id="rId31"/>
    <externalReference r:id="rId32"/>
  </externalReferences>
  <definedNames>
    <definedName name="삼학년">'[1]3학년입력'!$E$1:$E$65536</definedName>
    <definedName name="이익금합계">#REF!</definedName>
    <definedName name="이학년">'[1]2학년입력'!$E$1:$E$65536</definedName>
    <definedName name="일학년">'[1]1학년입력'!$E$1:$E$65536</definedName>
    <definedName name="학생수">'[2]서식(결과)'!$G$5:$H$19</definedName>
    <definedName name="할인율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33" l="1" a="1"/>
  <c r="J3" i="33" s="1"/>
  <c r="L40" i="2"/>
  <c r="G31" i="70" a="1"/>
  <c r="G31" i="70" s="1"/>
  <c r="G30" i="70" a="1"/>
  <c r="G30" i="70" s="1"/>
  <c r="G29" i="70" a="1"/>
  <c r="G29" i="70" s="1"/>
  <c r="G28" i="70" a="1"/>
  <c r="G28" i="70" s="1"/>
  <c r="I24" i="70" a="1"/>
  <c r="I24" i="70" s="1"/>
  <c r="G24" i="70" a="1"/>
  <c r="G24" i="70" s="1"/>
  <c r="D24" i="70"/>
  <c r="D24" i="70" a="1"/>
  <c r="C24" i="70" a="1"/>
  <c r="C24" i="70" s="1"/>
  <c r="B24" i="70" a="1"/>
  <c r="B24" i="70" s="1"/>
  <c r="O23" i="70" a="1"/>
  <c r="O23" i="70" s="1"/>
  <c r="N23" i="70" a="1"/>
  <c r="N23" i="70" s="1"/>
  <c r="M23" i="70" a="1"/>
  <c r="M23" i="70" s="1"/>
  <c r="L23" i="70" a="1"/>
  <c r="L23" i="70" s="1"/>
  <c r="I23" i="70" a="1"/>
  <c r="I23" i="70" s="1"/>
  <c r="G23" i="70" a="1"/>
  <c r="G23" i="70" s="1"/>
  <c r="D23" i="70" a="1"/>
  <c r="D23" i="70" s="1"/>
  <c r="C23" i="70" a="1"/>
  <c r="C23" i="70" s="1"/>
  <c r="B23" i="70" a="1"/>
  <c r="B23" i="70" s="1"/>
  <c r="V22" i="70" a="1"/>
  <c r="V22" i="70" s="1"/>
  <c r="U22" i="70" a="1"/>
  <c r="U22" i="70" s="1"/>
  <c r="O22" i="70" a="1"/>
  <c r="O22" i="70" s="1"/>
  <c r="N22" i="70" a="1"/>
  <c r="N22" i="70" s="1"/>
  <c r="M22" i="70" a="1"/>
  <c r="M22" i="70" s="1"/>
  <c r="L22" i="70" a="1"/>
  <c r="L22" i="70" s="1"/>
  <c r="I22" i="70" a="1"/>
  <c r="I22" i="70" s="1"/>
  <c r="G22" i="70" a="1"/>
  <c r="G22" i="70" s="1"/>
  <c r="D22" i="70" a="1"/>
  <c r="D22" i="70" s="1"/>
  <c r="C22" i="70" a="1"/>
  <c r="C22" i="70" s="1"/>
  <c r="B22" i="70" a="1"/>
  <c r="B22" i="70" s="1"/>
  <c r="V21" i="70" a="1"/>
  <c r="V21" i="70" s="1"/>
  <c r="U21" i="70" a="1"/>
  <c r="U21" i="70" s="1"/>
  <c r="S21" i="70" a="1"/>
  <c r="S24" i="70" s="1"/>
  <c r="O21" i="70"/>
  <c r="O21" i="70" a="1"/>
  <c r="N21" i="70" a="1"/>
  <c r="N21" i="70" s="1"/>
  <c r="M21" i="70" a="1"/>
  <c r="M21" i="70" s="1"/>
  <c r="L21" i="70" a="1"/>
  <c r="L21" i="70" s="1"/>
  <c r="I21" i="70" a="1"/>
  <c r="I21" i="70" s="1"/>
  <c r="G21" i="70" a="1"/>
  <c r="G21" i="70" s="1"/>
  <c r="O17" i="70"/>
  <c r="O16" i="70"/>
  <c r="O15" i="70"/>
  <c r="O14" i="70"/>
  <c r="O13" i="70"/>
  <c r="O12" i="70"/>
  <c r="O11" i="70"/>
  <c r="O10" i="70"/>
  <c r="O9" i="70"/>
  <c r="O8" i="70"/>
  <c r="O7" i="70"/>
  <c r="O6" i="70"/>
  <c r="O5" i="70"/>
  <c r="O4" i="70"/>
  <c r="O3" i="70"/>
  <c r="S22" i="70" l="1"/>
  <c r="S23" i="70"/>
  <c r="S21" i="70"/>
  <c r="F4" i="67" l="1" a="1"/>
  <c r="F4" i="67" s="1"/>
  <c r="F5" i="67" a="1"/>
  <c r="F5" i="67" s="1"/>
  <c r="F6" i="67" a="1"/>
  <c r="F6" i="67" s="1"/>
  <c r="F7" i="67" a="1"/>
  <c r="F7" i="67"/>
  <c r="F8" i="67" a="1"/>
  <c r="F8" i="67"/>
  <c r="F9" i="67" a="1"/>
  <c r="F9" i="67" s="1"/>
  <c r="F10" i="67" a="1"/>
  <c r="F10" i="67" s="1"/>
  <c r="F11" i="67" a="1"/>
  <c r="F11" i="67" s="1"/>
  <c r="F12" i="67" a="1"/>
  <c r="F12" i="67" s="1"/>
  <c r="F13" i="67" a="1"/>
  <c r="F13" i="67" s="1"/>
  <c r="F3" i="67" a="1"/>
  <c r="F3" i="67" s="1"/>
  <c r="AE4" i="67"/>
  <c r="AE5" i="67"/>
  <c r="AE6" i="67"/>
  <c r="AE7" i="67"/>
  <c r="AE8" i="67"/>
  <c r="AE9" i="67"/>
  <c r="AE10" i="67"/>
  <c r="AE11" i="67"/>
  <c r="AE12" i="67"/>
  <c r="AE13" i="67"/>
  <c r="AE3" i="67"/>
  <c r="W4" i="67"/>
  <c r="W5" i="67"/>
  <c r="W6" i="67"/>
  <c r="W7" i="67"/>
  <c r="W8" i="67"/>
  <c r="W9" i="67"/>
  <c r="W10" i="67"/>
  <c r="W11" i="67"/>
  <c r="W12" i="67"/>
  <c r="W13" i="67"/>
  <c r="W3" i="67"/>
  <c r="O4" i="67"/>
  <c r="O5" i="67"/>
  <c r="O6" i="67"/>
  <c r="O7" i="67"/>
  <c r="O8" i="67"/>
  <c r="O9" i="67"/>
  <c r="O10" i="67"/>
  <c r="O11" i="67"/>
  <c r="O12" i="67"/>
  <c r="O13" i="67"/>
  <c r="O3" i="67"/>
  <c r="B4" i="67"/>
  <c r="B5" i="67"/>
  <c r="B6" i="67"/>
  <c r="B7" i="67"/>
  <c r="B8" i="67"/>
  <c r="B9" i="67"/>
  <c r="B10" i="67"/>
  <c r="B11" i="67"/>
  <c r="B12" i="67"/>
  <c r="B13" i="67"/>
  <c r="B3" i="67"/>
  <c r="X4" i="67" l="1"/>
  <c r="X5" i="67"/>
  <c r="X6" i="67"/>
  <c r="X7" i="67"/>
  <c r="X8" i="67"/>
  <c r="X9" i="67"/>
  <c r="X10" i="67"/>
  <c r="X11" i="67"/>
  <c r="X12" i="67"/>
  <c r="X13" i="67"/>
  <c r="X3" i="67"/>
  <c r="V4" i="63"/>
  <c r="V5" i="63"/>
  <c r="V6" i="63"/>
  <c r="V7" i="63"/>
  <c r="V8" i="63"/>
  <c r="V9" i="63"/>
  <c r="V10" i="63"/>
  <c r="V11" i="63"/>
  <c r="V12" i="63"/>
  <c r="V13" i="63"/>
  <c r="V14" i="63"/>
  <c r="V15" i="63"/>
  <c r="V16" i="63"/>
  <c r="V17" i="63"/>
  <c r="V18" i="63"/>
  <c r="V3" i="63"/>
  <c r="G11" i="48" l="1"/>
  <c r="O13" i="49" l="1"/>
  <c r="O12" i="49"/>
  <c r="O11" i="49"/>
  <c r="O10" i="49"/>
  <c r="O9" i="49"/>
  <c r="O8" i="49"/>
  <c r="O7" i="49"/>
  <c r="O6" i="49"/>
  <c r="O5" i="49"/>
  <c r="O4" i="49"/>
  <c r="O3" i="49"/>
  <c r="T4" i="47"/>
  <c r="T5" i="47"/>
  <c r="T6" i="47"/>
  <c r="T7" i="47"/>
  <c r="T8" i="47"/>
  <c r="T9" i="47"/>
  <c r="T10" i="47"/>
  <c r="T11" i="47"/>
  <c r="T12" i="47"/>
  <c r="T13" i="47"/>
  <c r="T3" i="47"/>
  <c r="W4" i="47"/>
  <c r="W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3" i="47"/>
  <c r="K24" i="18"/>
  <c r="K4" i="5" l="1"/>
  <c r="K5" i="5"/>
  <c r="K3" i="5"/>
  <c r="I30" i="5"/>
  <c r="I31" i="5"/>
  <c r="I32" i="5"/>
  <c r="I33" i="5"/>
  <c r="I34" i="5"/>
  <c r="I35" i="5"/>
  <c r="I36" i="5"/>
  <c r="I37" i="5"/>
  <c r="I38" i="5"/>
  <c r="I29" i="5"/>
  <c r="M17" i="3"/>
  <c r="N17" i="3"/>
  <c r="M18" i="3"/>
  <c r="N18" i="3"/>
  <c r="N16" i="3"/>
  <c r="M16" i="3"/>
  <c r="J12" i="3"/>
  <c r="J11" i="3"/>
  <c r="J10" i="3"/>
  <c r="J9" i="3"/>
  <c r="J8" i="3"/>
  <c r="J7" i="3"/>
  <c r="J6" i="3"/>
  <c r="J5" i="3"/>
  <c r="J4" i="3"/>
  <c r="J3" i="3"/>
  <c r="E25" i="3"/>
  <c r="E30" i="5"/>
  <c r="J24" i="13"/>
  <c r="J23" i="13"/>
  <c r="J22" i="13"/>
  <c r="J21" i="13"/>
  <c r="J20" i="13"/>
  <c r="J19" i="13"/>
  <c r="J18" i="13"/>
  <c r="J17" i="13"/>
  <c r="J37" i="27" a="1"/>
  <c r="J37" i="27" s="1"/>
  <c r="D37" i="27" a="1"/>
  <c r="D37" i="27" s="1"/>
  <c r="J36" i="27" a="1"/>
  <c r="J36" i="27" s="1"/>
  <c r="D36" i="27" a="1"/>
  <c r="D36" i="27" s="1"/>
  <c r="J35" i="27" a="1"/>
  <c r="J35" i="27" s="1"/>
  <c r="D35" i="27" a="1"/>
  <c r="D35" i="27" s="1"/>
  <c r="J34" i="27" a="1"/>
  <c r="J34" i="27" s="1"/>
  <c r="D34" i="27" a="1"/>
  <c r="D34" i="27" s="1"/>
  <c r="J33" i="27" a="1"/>
  <c r="J33" i="27" s="1"/>
  <c r="D33" i="27" a="1"/>
  <c r="D33" i="27" s="1"/>
  <c r="J32" i="27" a="1"/>
  <c r="J32" i="27" s="1"/>
  <c r="D32" i="27" a="1"/>
  <c r="D32" i="27" s="1"/>
  <c r="J31" i="27" a="1"/>
  <c r="J31" i="27" s="1"/>
  <c r="D31" i="27" a="1"/>
  <c r="D31" i="27" s="1"/>
  <c r="J30" i="27" a="1"/>
  <c r="J30" i="27" s="1"/>
  <c r="D30" i="27" a="1"/>
  <c r="D30" i="27" s="1"/>
  <c r="N4" i="61" a="1"/>
  <c r="H22" i="61" a="1"/>
  <c r="N3" i="61" a="1"/>
  <c r="D5" i="61" a="1"/>
  <c r="D16" i="61" a="1"/>
  <c r="D22" i="61" a="1"/>
  <c r="H18" i="61" a="1"/>
  <c r="N10" i="61" a="1"/>
  <c r="N6" i="61" a="1"/>
  <c r="N25" i="61" a="1"/>
  <c r="H11" i="61" a="1"/>
  <c r="D11" i="61" a="1"/>
  <c r="D23" i="61" a="1"/>
  <c r="N22" i="61" a="1"/>
  <c r="H4" i="61" a="1"/>
  <c r="D18" i="61" a="1"/>
  <c r="H25" i="61" a="1"/>
  <c r="N8" i="61" a="1"/>
  <c r="N12" i="61" a="1"/>
  <c r="H20" i="61" a="1"/>
  <c r="D3" i="61" a="1"/>
  <c r="N17" i="61" a="1"/>
  <c r="N20" i="61" a="1"/>
  <c r="H12" i="61" a="1"/>
  <c r="D21" i="61" a="1"/>
  <c r="H8" i="61" a="1"/>
  <c r="H23" i="61" a="1"/>
  <c r="H24" i="61" a="1"/>
  <c r="H9" i="61" a="1"/>
  <c r="N9" i="61" a="1"/>
  <c r="N7" i="61" a="1"/>
  <c r="D9" i="61" a="1"/>
  <c r="D4" i="61" a="1"/>
  <c r="N18" i="61" a="1"/>
  <c r="H21" i="61" a="1"/>
  <c r="N11" i="61" a="1"/>
  <c r="D6" i="61" a="1"/>
  <c r="N16" i="61" a="1"/>
  <c r="N19" i="61" a="1"/>
  <c r="H6" i="61" a="1"/>
  <c r="H10" i="61" a="1"/>
  <c r="D10" i="61" a="1"/>
  <c r="H17" i="61" a="1"/>
  <c r="H16" i="61" a="1"/>
  <c r="H19" i="61" a="1"/>
  <c r="N23" i="61" a="1"/>
  <c r="D24" i="61" a="1"/>
  <c r="N21" i="61" a="1"/>
  <c r="D25" i="61" a="1"/>
  <c r="H5" i="61" a="1"/>
  <c r="H3" i="61" a="1"/>
  <c r="D8" i="61" a="1"/>
  <c r="N5" i="61" a="1"/>
  <c r="H7" i="61" a="1"/>
  <c r="D7" i="61" a="1"/>
  <c r="D20" i="61" a="1"/>
  <c r="D19" i="61" a="1"/>
  <c r="N24" i="61" a="1"/>
  <c r="D17" i="61" a="1"/>
  <c r="D12" i="61" a="1"/>
  <c r="D8" i="61" l="1"/>
  <c r="D25" i="61"/>
  <c r="D10" i="61"/>
  <c r="D9" i="61"/>
  <c r="D11" i="61"/>
  <c r="D6" i="61"/>
  <c r="D4" i="61"/>
  <c r="D18" i="61"/>
  <c r="D12" i="61"/>
  <c r="D16" i="61"/>
  <c r="D20" i="61"/>
  <c r="D7" i="61"/>
  <c r="D5" i="61"/>
  <c r="D3" i="61"/>
  <c r="D22" i="61"/>
  <c r="D19" i="61"/>
  <c r="D21" i="61"/>
  <c r="D24" i="61"/>
  <c r="D23" i="61"/>
  <c r="D17" i="61"/>
  <c r="H21" i="61"/>
  <c r="H20" i="61"/>
  <c r="H19" i="61"/>
  <c r="H4" i="61"/>
  <c r="H24" i="61"/>
  <c r="H18" i="61"/>
  <c r="H25" i="61"/>
  <c r="H7" i="61"/>
  <c r="H9" i="61"/>
  <c r="H16" i="61"/>
  <c r="H22" i="61"/>
  <c r="H3" i="61"/>
  <c r="H11" i="61"/>
  <c r="H8" i="61"/>
  <c r="H23" i="61"/>
  <c r="H17" i="61"/>
  <c r="H12" i="61"/>
  <c r="H6" i="61"/>
  <c r="H10" i="61"/>
  <c r="H5" i="61"/>
  <c r="N3" i="61"/>
  <c r="N5" i="61"/>
  <c r="N12" i="61"/>
  <c r="N11" i="61"/>
  <c r="N10" i="61"/>
  <c r="N9" i="61"/>
  <c r="N8" i="61"/>
  <c r="N7" i="61"/>
  <c r="N6" i="61"/>
  <c r="N4" i="61"/>
  <c r="N16" i="61"/>
  <c r="N22" i="61"/>
  <c r="N25" i="61"/>
  <c r="N24" i="61"/>
  <c r="N23" i="61"/>
  <c r="N21" i="61"/>
  <c r="N20" i="61"/>
  <c r="N19" i="61"/>
  <c r="N18" i="61"/>
  <c r="N17" i="61"/>
  <c r="K18" i="27" a="1"/>
  <c r="K18" i="27" s="1"/>
  <c r="K19" i="27" a="1"/>
  <c r="K19" i="27" s="1"/>
  <c r="K20" i="27" a="1"/>
  <c r="K20" i="27" s="1"/>
  <c r="K21" i="27" a="1"/>
  <c r="K21" i="27" s="1"/>
  <c r="K22" i="27" a="1"/>
  <c r="K22" i="27" s="1"/>
  <c r="K23" i="27" a="1"/>
  <c r="K23" i="27" s="1"/>
  <c r="K24" i="27" a="1"/>
  <c r="K24" i="27" s="1"/>
  <c r="K17" i="27" a="1"/>
  <c r="K17" i="27" s="1"/>
  <c r="Q4" i="33"/>
  <c r="Q5" i="33"/>
  <c r="Q6" i="33"/>
  <c r="Q7" i="33"/>
  <c r="Q8" i="33"/>
  <c r="Q9" i="33"/>
  <c r="Q10" i="33"/>
  <c r="Q11" i="33"/>
  <c r="Q12" i="33"/>
  <c r="Q13" i="33"/>
  <c r="Q14" i="33"/>
  <c r="Q15" i="33"/>
  <c r="Q16" i="33"/>
  <c r="Q17" i="33"/>
  <c r="Q18" i="33"/>
  <c r="Q19" i="33"/>
  <c r="Q20" i="33"/>
  <c r="Q21" i="33"/>
  <c r="Q22" i="33"/>
  <c r="Q23" i="33"/>
  <c r="Q24" i="33"/>
  <c r="Q25" i="33"/>
  <c r="Q3" i="33"/>
  <c r="J4" i="33" a="1"/>
  <c r="J4" i="33"/>
  <c r="J5" i="33" a="1"/>
  <c r="J5" i="33"/>
  <c r="J6" i="33" a="1"/>
  <c r="J6" i="33"/>
  <c r="J7" i="33" a="1"/>
  <c r="J7" i="33" s="1"/>
  <c r="J8" i="33" a="1"/>
  <c r="J8" i="33" s="1"/>
  <c r="J9" i="33" a="1"/>
  <c r="J9" i="33" s="1"/>
  <c r="J10" i="33" a="1"/>
  <c r="J10" i="33" s="1"/>
  <c r="J11" i="33" a="1"/>
  <c r="J11" i="33" s="1"/>
  <c r="J12" i="33" a="1"/>
  <c r="J12" i="33" s="1"/>
  <c r="J13" i="33" a="1"/>
  <c r="J13" i="33" s="1"/>
  <c r="J14" i="33" a="1"/>
  <c r="J14" i="33"/>
  <c r="J15" i="33" a="1"/>
  <c r="J15" i="33"/>
  <c r="J16" i="33" a="1"/>
  <c r="J16" i="33"/>
  <c r="J17" i="33" a="1"/>
  <c r="J17" i="33" s="1"/>
  <c r="J18" i="33" a="1"/>
  <c r="J18" i="33" s="1"/>
  <c r="J19" i="33" a="1"/>
  <c r="J19" i="33" s="1"/>
  <c r="J20" i="33" a="1"/>
  <c r="J20" i="33" s="1"/>
  <c r="S4" i="59" a="1"/>
  <c r="S4" i="59" s="1"/>
  <c r="S10" i="59" l="1"/>
  <c r="S9" i="59"/>
  <c r="S8" i="59"/>
  <c r="S7" i="59"/>
  <c r="S6" i="59"/>
  <c r="S5" i="59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3" i="41"/>
  <c r="N4" i="63"/>
  <c r="N5" i="63"/>
  <c r="N6" i="63"/>
  <c r="N7" i="63"/>
  <c r="N8" i="63"/>
  <c r="N9" i="63"/>
  <c r="N10" i="63"/>
  <c r="N11" i="63"/>
  <c r="N12" i="63"/>
  <c r="N13" i="63"/>
  <c r="N14" i="63"/>
  <c r="N15" i="63"/>
  <c r="N16" i="63"/>
  <c r="N17" i="63"/>
  <c r="N18" i="63"/>
  <c r="N19" i="63"/>
  <c r="N20" i="63"/>
  <c r="N21" i="63"/>
  <c r="N22" i="63"/>
  <c r="N23" i="63"/>
  <c r="N24" i="63"/>
  <c r="N25" i="63"/>
  <c r="N26" i="63"/>
  <c r="N27" i="63"/>
  <c r="N28" i="63"/>
  <c r="N29" i="63"/>
  <c r="N3" i="63"/>
  <c r="K23" i="63"/>
  <c r="K24" i="63"/>
  <c r="K25" i="63"/>
  <c r="K26" i="63"/>
  <c r="K22" i="63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3" i="37"/>
  <c r="B4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B30" i="37"/>
  <c r="B3" i="37"/>
  <c r="E4" i="41"/>
  <c r="E5" i="41"/>
  <c r="E6" i="41"/>
  <c r="E7" i="41"/>
  <c r="E8" i="41"/>
  <c r="E9" i="41"/>
  <c r="E10" i="41"/>
  <c r="E11" i="41"/>
  <c r="E12" i="41"/>
  <c r="E13" i="41"/>
  <c r="E14" i="41"/>
  <c r="E15" i="41"/>
  <c r="E16" i="41"/>
  <c r="E17" i="41"/>
  <c r="E3" i="41"/>
  <c r="R30" i="63" l="1"/>
  <c r="R29" i="63"/>
  <c r="R28" i="63"/>
  <c r="R27" i="63"/>
  <c r="R26" i="63"/>
  <c r="R25" i="63"/>
  <c r="R24" i="63"/>
  <c r="E24" i="63"/>
  <c r="G24" i="63" s="1"/>
  <c r="R23" i="63"/>
  <c r="E23" i="63"/>
  <c r="G23" i="63" s="1"/>
  <c r="R22" i="63"/>
  <c r="E22" i="63"/>
  <c r="G22" i="63" s="1"/>
  <c r="R21" i="63"/>
  <c r="E21" i="63"/>
  <c r="G21" i="63" s="1"/>
  <c r="R20" i="63"/>
  <c r="E20" i="63"/>
  <c r="G20" i="63" s="1"/>
  <c r="R19" i="63"/>
  <c r="E19" i="63"/>
  <c r="G19" i="63" s="1"/>
  <c r="R18" i="63"/>
  <c r="E18" i="63"/>
  <c r="G18" i="63" s="1"/>
  <c r="R17" i="63"/>
  <c r="E17" i="63"/>
  <c r="G17" i="63" s="1"/>
  <c r="R16" i="63"/>
  <c r="E16" i="63"/>
  <c r="G16" i="63" s="1"/>
  <c r="R15" i="63"/>
  <c r="E15" i="63"/>
  <c r="G15" i="63" s="1"/>
  <c r="R14" i="63"/>
  <c r="E14" i="63"/>
  <c r="G14" i="63" s="1"/>
  <c r="R13" i="63"/>
  <c r="E13" i="63"/>
  <c r="G13" i="63" s="1"/>
  <c r="R12" i="63"/>
  <c r="L12" i="63"/>
  <c r="E12" i="63"/>
  <c r="G12" i="63" s="1"/>
  <c r="R11" i="63"/>
  <c r="L11" i="63"/>
  <c r="E11" i="63"/>
  <c r="G11" i="63" s="1"/>
  <c r="R10" i="63"/>
  <c r="L10" i="63"/>
  <c r="E10" i="63"/>
  <c r="G10" i="63" s="1"/>
  <c r="R9" i="63"/>
  <c r="L9" i="63"/>
  <c r="E9" i="63"/>
  <c r="G9" i="63" s="1"/>
  <c r="R8" i="63"/>
  <c r="L8" i="63"/>
  <c r="E8" i="63"/>
  <c r="G8" i="63" s="1"/>
  <c r="R7" i="63"/>
  <c r="L7" i="63"/>
  <c r="E7" i="63"/>
  <c r="G7" i="63" s="1"/>
  <c r="R6" i="63"/>
  <c r="L6" i="63"/>
  <c r="E6" i="63"/>
  <c r="G6" i="63" s="1"/>
  <c r="R5" i="63"/>
  <c r="L5" i="63"/>
  <c r="E5" i="63"/>
  <c r="G5" i="63" s="1"/>
  <c r="R4" i="63"/>
  <c r="L4" i="63"/>
  <c r="E4" i="63"/>
  <c r="G4" i="63" s="1"/>
  <c r="R3" i="63"/>
  <c r="L3" i="63"/>
  <c r="E3" i="63"/>
  <c r="G3" i="63" s="1"/>
  <c r="E24" i="62"/>
  <c r="E23" i="62"/>
  <c r="E22" i="62"/>
  <c r="E21" i="62"/>
  <c r="E20" i="62"/>
  <c r="E19" i="62"/>
  <c r="E18" i="62"/>
  <c r="E17" i="62"/>
  <c r="E16" i="62"/>
  <c r="E15" i="62"/>
  <c r="E14" i="62"/>
  <c r="E13" i="62"/>
  <c r="E12" i="62"/>
  <c r="E11" i="62"/>
  <c r="E10" i="62"/>
  <c r="E9" i="62"/>
  <c r="E8" i="62"/>
  <c r="E7" i="62"/>
  <c r="E6" i="62"/>
  <c r="E5" i="62"/>
  <c r="E4" i="62"/>
  <c r="E3" i="62"/>
  <c r="E4" i="27" l="1"/>
  <c r="E5" i="27"/>
  <c r="E6" i="27"/>
  <c r="E7" i="27"/>
  <c r="E8" i="27"/>
  <c r="E9" i="27"/>
  <c r="E10" i="27"/>
  <c r="E11" i="27"/>
  <c r="E12" i="27"/>
  <c r="E3" i="27"/>
  <c r="D39" i="2" l="1"/>
  <c r="E3" i="59" l="1"/>
  <c r="E4" i="59"/>
  <c r="E5" i="59"/>
  <c r="E6" i="59"/>
  <c r="E7" i="59"/>
  <c r="E8" i="59"/>
  <c r="E9" i="59"/>
  <c r="E10" i="59"/>
  <c r="E11" i="59"/>
  <c r="E12" i="59"/>
  <c r="E13" i="59"/>
  <c r="E14" i="59"/>
  <c r="E15" i="59"/>
  <c r="R15" i="59" a="1"/>
  <c r="R15" i="59" s="1"/>
  <c r="S15" i="59" a="1"/>
  <c r="S15" i="59" s="1"/>
  <c r="T15" i="59" a="1"/>
  <c r="T15" i="59" s="1"/>
  <c r="U15" i="59" a="1"/>
  <c r="U15" i="59" s="1"/>
  <c r="V15" i="59" a="1"/>
  <c r="V15" i="59" s="1"/>
  <c r="E16" i="59"/>
  <c r="R16" i="59" a="1"/>
  <c r="R16" i="59" s="1"/>
  <c r="S16" i="59" a="1"/>
  <c r="S16" i="59" s="1"/>
  <c r="T16" i="59" a="1"/>
  <c r="T16" i="59" s="1"/>
  <c r="U16" i="59" a="1"/>
  <c r="U16" i="59" s="1"/>
  <c r="V16" i="59" a="1"/>
  <c r="V16" i="59" s="1"/>
  <c r="E17" i="59"/>
  <c r="R17" i="59" a="1"/>
  <c r="R17" i="59" s="1"/>
  <c r="S17" i="59" a="1"/>
  <c r="S17" i="59" s="1"/>
  <c r="T17" i="59" a="1"/>
  <c r="T17" i="59"/>
  <c r="U17" i="59" a="1"/>
  <c r="U17" i="59" s="1"/>
  <c r="V17" i="59" a="1"/>
  <c r="V17" i="59" s="1"/>
  <c r="E18" i="59"/>
  <c r="R18" i="59" a="1"/>
  <c r="R18" i="59" s="1"/>
  <c r="S18" i="59" a="1"/>
  <c r="S18" i="59" s="1"/>
  <c r="T18" i="59" a="1"/>
  <c r="T18" i="59" s="1"/>
  <c r="U18" i="59" a="1"/>
  <c r="U18" i="59" s="1"/>
  <c r="V18" i="59" a="1"/>
  <c r="V18" i="59" s="1"/>
  <c r="E19" i="59"/>
  <c r="E20" i="59"/>
  <c r="H23" i="59" a="1"/>
  <c r="H23" i="59" s="1"/>
  <c r="I23" i="59" a="1"/>
  <c r="I23" i="59" s="1"/>
  <c r="J23" i="59" a="1"/>
  <c r="J23" i="59" s="1"/>
  <c r="C24" i="59" a="1"/>
  <c r="C24" i="59" s="1"/>
  <c r="D24" i="59" a="1"/>
  <c r="D24" i="59" s="1"/>
  <c r="H24" i="59" a="1"/>
  <c r="H24" i="59" s="1"/>
  <c r="I24" i="59" a="1"/>
  <c r="I24" i="59" s="1"/>
  <c r="J24" i="59" a="1"/>
  <c r="J24" i="59" s="1"/>
  <c r="C25" i="59" a="1"/>
  <c r="C25" i="59"/>
  <c r="D25" i="59" a="1"/>
  <c r="D25" i="59"/>
  <c r="H25" i="59" a="1"/>
  <c r="H25" i="59" s="1"/>
  <c r="I25" i="59" a="1"/>
  <c r="I25" i="59" s="1"/>
  <c r="J25" i="59" a="1"/>
  <c r="J25" i="59" s="1"/>
  <c r="H29" i="59" a="1"/>
  <c r="H29" i="59" s="1"/>
  <c r="I29" i="59" a="1"/>
  <c r="I29" i="59" s="1"/>
  <c r="J29" i="59" a="1"/>
  <c r="J29" i="59" s="1"/>
  <c r="H30" i="59" a="1"/>
  <c r="H30" i="59" s="1"/>
  <c r="I30" i="59" a="1"/>
  <c r="I30" i="59" s="1"/>
  <c r="J30" i="59" a="1"/>
  <c r="J30" i="59" s="1"/>
  <c r="H31" i="59" a="1"/>
  <c r="H31" i="59" s="1"/>
  <c r="I31" i="59" a="1"/>
  <c r="I31" i="59" s="1"/>
  <c r="J31" i="59" a="1"/>
  <c r="J31" i="59" s="1"/>
  <c r="H32" i="59" a="1"/>
  <c r="H32" i="59" s="1"/>
  <c r="I32" i="59" a="1"/>
  <c r="I32" i="59" s="1"/>
  <c r="J32" i="59" a="1"/>
  <c r="J32" i="59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D4" i="49"/>
  <c r="F4" i="49"/>
  <c r="G4" i="49" s="1"/>
  <c r="D5" i="49"/>
  <c r="F5" i="49"/>
  <c r="G5" i="49" s="1"/>
  <c r="D6" i="49"/>
  <c r="F6" i="49"/>
  <c r="G6" i="49" s="1"/>
  <c r="D7" i="49"/>
  <c r="F7" i="49"/>
  <c r="G7" i="49" s="1"/>
  <c r="D8" i="49"/>
  <c r="F8" i="49"/>
  <c r="G8" i="49"/>
  <c r="D9" i="49"/>
  <c r="F9" i="49"/>
  <c r="G9" i="49" s="1"/>
  <c r="D10" i="49"/>
  <c r="F10" i="49"/>
  <c r="G10" i="49" s="1"/>
  <c r="E3" i="47"/>
  <c r="J3" i="47"/>
  <c r="L3" i="47" s="1"/>
  <c r="Q3" i="47"/>
  <c r="E4" i="47"/>
  <c r="J4" i="47"/>
  <c r="L4" i="47" s="1"/>
  <c r="Q4" i="47"/>
  <c r="E5" i="47"/>
  <c r="J5" i="47"/>
  <c r="L5" i="47" s="1"/>
  <c r="Q5" i="47"/>
  <c r="E6" i="47"/>
  <c r="J6" i="47"/>
  <c r="L6" i="47" s="1"/>
  <c r="Q6" i="47"/>
  <c r="E7" i="47"/>
  <c r="J7" i="47"/>
  <c r="L7" i="47" s="1"/>
  <c r="Q7" i="47"/>
  <c r="E8" i="47"/>
  <c r="J8" i="47"/>
  <c r="L8" i="47" s="1"/>
  <c r="Q8" i="47"/>
  <c r="E9" i="47"/>
  <c r="J9" i="47"/>
  <c r="L9" i="47" s="1"/>
  <c r="Q9" i="47"/>
  <c r="E10" i="47"/>
  <c r="J10" i="47"/>
  <c r="L10" i="47" s="1"/>
  <c r="Q10" i="47"/>
  <c r="E11" i="47"/>
  <c r="J11" i="47"/>
  <c r="L11" i="47" s="1"/>
  <c r="Q11" i="47"/>
  <c r="E12" i="47"/>
  <c r="J12" i="47"/>
  <c r="L12" i="47" s="1"/>
  <c r="Q12" i="47"/>
  <c r="E13" i="47"/>
  <c r="J13" i="47"/>
  <c r="L13" i="47" s="1"/>
  <c r="Q13" i="47"/>
  <c r="E14" i="47"/>
  <c r="J14" i="47"/>
  <c r="L14" i="47" s="1"/>
  <c r="Q14" i="47"/>
  <c r="E15" i="47"/>
  <c r="J15" i="47"/>
  <c r="L15" i="47" s="1"/>
  <c r="Q15" i="47"/>
  <c r="E16" i="47"/>
  <c r="J16" i="47"/>
  <c r="L16" i="47" s="1"/>
  <c r="Q16" i="47"/>
  <c r="E17" i="47"/>
  <c r="J17" i="47"/>
  <c r="L17" i="47" s="1"/>
  <c r="Q17" i="47"/>
  <c r="E18" i="47"/>
  <c r="J18" i="47"/>
  <c r="L18" i="47" s="1"/>
  <c r="Q18" i="47"/>
  <c r="E19" i="47"/>
  <c r="J19" i="47"/>
  <c r="L19" i="47" s="1"/>
  <c r="Q19" i="47"/>
  <c r="E20" i="47"/>
  <c r="J20" i="47"/>
  <c r="L20" i="47" s="1"/>
  <c r="Q20" i="47"/>
  <c r="E21" i="47"/>
  <c r="J21" i="47"/>
  <c r="L21" i="47" s="1"/>
  <c r="Q21" i="47"/>
  <c r="E22" i="47"/>
  <c r="J22" i="47"/>
  <c r="L22" i="47" s="1"/>
  <c r="E23" i="47"/>
  <c r="J23" i="47"/>
  <c r="L23" i="47" s="1"/>
  <c r="E24" i="47"/>
  <c r="J24" i="47"/>
  <c r="L24" i="47" s="1"/>
  <c r="E25" i="47"/>
  <c r="E26" i="47"/>
  <c r="O31" i="47"/>
  <c r="P31" i="47"/>
  <c r="Q31" i="47"/>
  <c r="R31" i="47"/>
  <c r="S31" i="47"/>
  <c r="T31" i="47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6" i="41"/>
  <c r="K15" i="41"/>
  <c r="K14" i="41"/>
  <c r="K13" i="41"/>
  <c r="N12" i="41"/>
  <c r="K12" i="41"/>
  <c r="N11" i="41"/>
  <c r="K11" i="41"/>
  <c r="N10" i="41"/>
  <c r="K10" i="41"/>
  <c r="N9" i="41"/>
  <c r="K9" i="41"/>
  <c r="N8" i="41"/>
  <c r="K8" i="41"/>
  <c r="N7" i="41"/>
  <c r="K7" i="41"/>
  <c r="N6" i="41"/>
  <c r="K6" i="41"/>
  <c r="N5" i="41"/>
  <c r="K5" i="41"/>
  <c r="N4" i="41"/>
  <c r="K4" i="41"/>
  <c r="N3" i="41"/>
  <c r="K3" i="41"/>
  <c r="J21" i="37"/>
  <c r="J20" i="37"/>
  <c r="J19" i="37"/>
  <c r="J18" i="37"/>
  <c r="J17" i="37"/>
  <c r="M16" i="37"/>
  <c r="J16" i="37"/>
  <c r="M15" i="37"/>
  <c r="J15" i="37"/>
  <c r="M14" i="37"/>
  <c r="J14" i="37"/>
  <c r="M13" i="37"/>
  <c r="J13" i="37"/>
  <c r="M12" i="37"/>
  <c r="J12" i="37"/>
  <c r="M11" i="37"/>
  <c r="J11" i="37"/>
  <c r="M10" i="37"/>
  <c r="J10" i="37"/>
  <c r="M9" i="37"/>
  <c r="J9" i="37"/>
  <c r="M8" i="37"/>
  <c r="J8" i="37"/>
  <c r="M7" i="37"/>
  <c r="J7" i="37"/>
  <c r="M6" i="37"/>
  <c r="J6" i="37"/>
  <c r="M5" i="37"/>
  <c r="J5" i="37"/>
  <c r="M4" i="37"/>
  <c r="J4" i="37"/>
  <c r="M3" i="37"/>
  <c r="J3" i="37"/>
  <c r="S24" i="35"/>
  <c r="S23" i="35"/>
  <c r="S22" i="35"/>
  <c r="S21" i="35"/>
  <c r="S20" i="35"/>
  <c r="S19" i="35"/>
  <c r="J19" i="35"/>
  <c r="S18" i="35"/>
  <c r="M18" i="35"/>
  <c r="J18" i="35"/>
  <c r="D18" i="35"/>
  <c r="S17" i="35"/>
  <c r="M17" i="35"/>
  <c r="J17" i="35"/>
  <c r="D17" i="35"/>
  <c r="S16" i="35"/>
  <c r="M16" i="35"/>
  <c r="J16" i="35"/>
  <c r="D16" i="35"/>
  <c r="S15" i="35"/>
  <c r="M15" i="35"/>
  <c r="J15" i="35"/>
  <c r="D15" i="35"/>
  <c r="S14" i="35"/>
  <c r="M14" i="35"/>
  <c r="J14" i="35"/>
  <c r="D14" i="35"/>
  <c r="S13" i="35"/>
  <c r="M13" i="35"/>
  <c r="J13" i="35"/>
  <c r="D13" i="35"/>
  <c r="S12" i="35"/>
  <c r="M12" i="35"/>
  <c r="J12" i="35"/>
  <c r="D12" i="35"/>
  <c r="S11" i="35"/>
  <c r="M11" i="35"/>
  <c r="J11" i="35"/>
  <c r="D11" i="35"/>
  <c r="S10" i="35"/>
  <c r="M10" i="35"/>
  <c r="J10" i="35"/>
  <c r="D10" i="35"/>
  <c r="S9" i="35"/>
  <c r="M9" i="35"/>
  <c r="J9" i="35"/>
  <c r="D9" i="35"/>
  <c r="S8" i="35"/>
  <c r="M8" i="35"/>
  <c r="J8" i="35"/>
  <c r="D8" i="35"/>
  <c r="S7" i="35"/>
  <c r="M7" i="35"/>
  <c r="J7" i="35"/>
  <c r="D7" i="35"/>
  <c r="S6" i="35"/>
  <c r="M6" i="35"/>
  <c r="J6" i="35"/>
  <c r="D6" i="35"/>
  <c r="S5" i="35"/>
  <c r="M5" i="35"/>
  <c r="J5" i="35"/>
  <c r="D5" i="35"/>
  <c r="S4" i="35"/>
  <c r="M4" i="35"/>
  <c r="J4" i="35"/>
  <c r="D4" i="35"/>
  <c r="S3" i="35"/>
  <c r="M3" i="35"/>
  <c r="J3" i="35"/>
  <c r="D3" i="35"/>
  <c r="I29" i="33"/>
  <c r="I28" i="33"/>
  <c r="I27" i="33"/>
  <c r="I26" i="33"/>
  <c r="I25" i="33"/>
  <c r="T20" i="33"/>
  <c r="T19" i="33"/>
  <c r="T18" i="33"/>
  <c r="T17" i="33"/>
  <c r="T16" i="33"/>
  <c r="T15" i="33"/>
  <c r="T14" i="33"/>
  <c r="T13" i="33"/>
  <c r="F13" i="33"/>
  <c r="T12" i="33"/>
  <c r="F12" i="33"/>
  <c r="T11" i="33"/>
  <c r="F11" i="33"/>
  <c r="T10" i="33"/>
  <c r="F10" i="33"/>
  <c r="T9" i="33"/>
  <c r="F9" i="33"/>
  <c r="T8" i="33"/>
  <c r="F8" i="33"/>
  <c r="T7" i="33"/>
  <c r="F7" i="33"/>
  <c r="T6" i="33"/>
  <c r="F6" i="33"/>
  <c r="T5" i="33"/>
  <c r="F5" i="33"/>
  <c r="T4" i="33"/>
  <c r="F4" i="33"/>
  <c r="T3" i="33"/>
  <c r="F3" i="33"/>
  <c r="B29" i="59" l="1" a="1"/>
  <c r="B29" i="59" s="1"/>
  <c r="G11" i="49"/>
  <c r="B33" i="59" a="1"/>
  <c r="B33" i="59" s="1"/>
  <c r="B32" i="59" a="1"/>
  <c r="B32" i="59" s="1"/>
  <c r="B31" i="59" a="1"/>
  <c r="B31" i="59" s="1"/>
  <c r="B30" i="59" a="1"/>
  <c r="B30" i="59" s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24" i="5"/>
  <c r="K24" i="5"/>
  <c r="D11" i="5" l="1"/>
  <c r="E4" i="3"/>
  <c r="E5" i="3"/>
  <c r="E6" i="3"/>
  <c r="E7" i="3"/>
  <c r="E8" i="3"/>
  <c r="E9" i="3"/>
  <c r="E10" i="3"/>
  <c r="E11" i="3"/>
  <c r="E12" i="3"/>
  <c r="E3" i="3"/>
  <c r="M25" i="2"/>
  <c r="E25" i="2"/>
  <c r="E11" i="2"/>
  <c r="J24" i="27"/>
  <c r="J23" i="27"/>
  <c r="J22" i="27"/>
  <c r="J21" i="27"/>
  <c r="J20" i="27"/>
  <c r="J19" i="27"/>
  <c r="J18" i="27"/>
  <c r="J17" i="27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N37" i="2" l="1"/>
  <c r="N36" i="2"/>
  <c r="N35" i="2"/>
  <c r="N34" i="2"/>
  <c r="N33" i="2"/>
  <c r="N32" i="2"/>
  <c r="N31" i="2"/>
  <c r="N30" i="2"/>
  <c r="N29" i="2"/>
  <c r="L10" i="2"/>
  <c r="L9" i="2"/>
  <c r="L11" i="2" s="1"/>
  <c r="L8" i="2"/>
  <c r="L7" i="2"/>
  <c r="L6" i="2"/>
  <c r="L5" i="2"/>
  <c r="L4" i="2"/>
  <c r="L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<sst xmlns="http://schemas.openxmlformats.org/spreadsheetml/2006/main" count="4158" uniqueCount="1520">
  <si>
    <t>합계</t>
    <phoneticPr fontId="4" type="noConversion"/>
  </si>
  <si>
    <t>단가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</si>
  <si>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</si>
  <si>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</si>
  <si>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</si>
  <si>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</si>
  <si>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</si>
  <si>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</si>
  <si>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</si>
  <si>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</si>
  <si>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</si>
  <si>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</si>
  <si>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</si>
  <si>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</si>
  <si>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</si>
  <si>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</si>
  <si>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</si>
  <si>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</si>
  <si>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</si>
  <si>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</si>
  <si>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</si>
  <si>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</si>
  <si>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</si>
  <si>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</si>
  <si>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</si>
  <si>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</si>
  <si>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</si>
  <si>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</si>
  <si>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</si>
  <si>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</si>
  <si>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</si>
  <si>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</si>
  <si>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</si>
  <si>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</si>
  <si>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</si>
  <si>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</si>
  <si>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</si>
  <si>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</si>
  <si>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</si>
  <si>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</si>
  <si>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</si>
  <si>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</si>
  <si>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</si>
  <si>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</si>
  <si>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</si>
  <si>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</si>
  <si>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</si>
  <si>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</si>
  <si>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</si>
  <si>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</si>
  <si>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</si>
  <si>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</si>
  <si>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</si>
  <si>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</si>
  <si>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</si>
  <si>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</si>
  <si>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</si>
  <si>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</si>
  <si>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</si>
  <si>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</si>
  <si>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</si>
  <si>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</si>
  <si>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</si>
  <si>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</si>
  <si>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</si>
  <si>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</si>
  <si>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</si>
  <si>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</si>
  <si>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</si>
  <si>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</si>
  <si>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</si>
  <si>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</si>
  <si>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</si>
  <si>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</si>
  <si>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</si>
  <si>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</si>
  <si>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</si>
  <si>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</si>
  <si>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</si>
  <si>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</si>
  <si>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</si>
  <si>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</si>
  <si>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</si>
  <si>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</si>
  <si>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</si>
  <si>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</si>
  <si>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</si>
  <si>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</si>
  <si>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</si>
  <si>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</si>
  <si>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</si>
  <si>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</si>
  <si>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</si>
  <si>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</si>
  <si>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</si>
  <si>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</si>
  <si>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</si>
  <si>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</si>
  <si>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</si>
  <si>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</si>
  <si>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</si>
  <si>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</si>
  <si>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</si>
  <si>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</si>
  <si>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</si>
  <si>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</si>
  <si>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</si>
  <si>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</si>
  <si>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</si>
  <si>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</si>
  <si>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</si>
  <si>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</si>
  <si>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</si>
  <si>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</si>
  <si>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</si>
  <si>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</si>
  <si>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</si>
  <si>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</si>
  <si>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</si>
  <si>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</si>
  <si>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</si>
  <si>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</si>
  <si>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</si>
  <si>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</si>
  <si>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</si>
  <si>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</si>
  <si>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</si>
  <si>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</si>
  <si>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</si>
  <si>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</si>
  <si>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</si>
  <si>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</si>
  <si>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</si>
  <si>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</si>
  <si>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</si>
  <si>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</si>
  <si>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</si>
  <si>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</si>
  <si>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</si>
  <si>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</si>
  <si>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</si>
  <si>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</si>
  <si>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</si>
  <si>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</si>
  <si>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</si>
  <si>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</si>
  <si>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</si>
  <si>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</si>
  <si>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</si>
  <si>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</si>
  <si>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</si>
  <si>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</si>
  <si>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성과금 지급 현황</t>
    <phoneticPr fontId="2" type="noConversion"/>
  </si>
  <si>
    <t>[표2]</t>
    <phoneticPr fontId="2" type="noConversion"/>
  </si>
  <si>
    <t>사원명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</si>
  <si>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</si>
  <si>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</si>
  <si>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</si>
  <si>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성과금</t>
    <phoneticPr fontId="2" type="noConversion"/>
  </si>
  <si>
    <t>한국민</t>
    <phoneticPr fontId="2" type="noConversion"/>
  </si>
  <si>
    <t>과장</t>
    <phoneticPr fontId="2" type="noConversion"/>
  </si>
  <si>
    <t>조윤아</t>
    <phoneticPr fontId="2" type="noConversion"/>
  </si>
  <si>
    <t>과장</t>
    <phoneticPr fontId="2" type="noConversion"/>
  </si>
  <si>
    <t>이희선</t>
    <phoneticPr fontId="2" type="noConversion"/>
  </si>
  <si>
    <t>김지영</t>
    <phoneticPr fontId="2" type="noConversion"/>
  </si>
  <si>
    <t>대리</t>
    <phoneticPr fontId="2" type="noConversion"/>
  </si>
  <si>
    <t>김석준</t>
    <phoneticPr fontId="2" type="noConversion"/>
  </si>
  <si>
    <t>이가인</t>
    <phoneticPr fontId="2" type="noConversion"/>
  </si>
  <si>
    <t>대리</t>
    <phoneticPr fontId="2" type="noConversion"/>
  </si>
  <si>
    <t>권성철</t>
    <phoneticPr fontId="2" type="noConversion"/>
  </si>
  <si>
    <t>사원</t>
    <phoneticPr fontId="2" type="noConversion"/>
  </si>
  <si>
    <t>안덕성</t>
    <phoneticPr fontId="2" type="noConversion"/>
  </si>
  <si>
    <t>오연주</t>
    <phoneticPr fontId="2" type="noConversion"/>
  </si>
  <si>
    <t>사원</t>
    <phoneticPr fontId="2" type="noConversion"/>
  </si>
  <si>
    <t>김도연</t>
    <phoneticPr fontId="2" type="noConversion"/>
  </si>
  <si>
    <t>사원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</si>
  <si>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</si>
  <si>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</si>
  <si>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</si>
  <si>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</si>
  <si>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</si>
  <si>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</si>
  <si>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</si>
  <si>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</si>
  <si>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</si>
  <si>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</si>
  <si>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</si>
  <si>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</si>
  <si>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</si>
  <si>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</si>
  <si>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이수학</t>
    <phoneticPr fontId="2" type="noConversion"/>
  </si>
  <si>
    <t>골드</t>
    <phoneticPr fontId="2" type="noConversion"/>
  </si>
  <si>
    <t>안혜경</t>
    <phoneticPr fontId="2" type="noConversion"/>
  </si>
  <si>
    <t>골드</t>
    <phoneticPr fontId="2" type="noConversion"/>
  </si>
  <si>
    <t>김신성</t>
    <phoneticPr fontId="2" type="noConversion"/>
  </si>
  <si>
    <t>VIP</t>
    <phoneticPr fontId="2" type="noConversion"/>
  </si>
  <si>
    <t>양의정</t>
    <phoneticPr fontId="2" type="noConversion"/>
  </si>
  <si>
    <t>일반</t>
    <phoneticPr fontId="2" type="noConversion"/>
  </si>
  <si>
    <t>김태희</t>
    <phoneticPr fontId="2" type="noConversion"/>
  </si>
  <si>
    <t>선기섭</t>
    <phoneticPr fontId="2" type="noConversion"/>
  </si>
  <si>
    <t>정신영</t>
    <phoneticPr fontId="2" type="noConversion"/>
  </si>
  <si>
    <t>구입빈도 높은 고객의 구입총액 합계</t>
    <phoneticPr fontId="2" type="noConversion"/>
  </si>
  <si>
    <t>사원 관리 현황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</si>
  <si>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</si>
  <si>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</si>
  <si>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</si>
  <si>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</si>
  <si>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</si>
  <si>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</si>
  <si>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</si>
  <si>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</si>
  <si>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</si>
  <si>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</si>
  <si>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서경화</t>
    <phoneticPr fontId="2" type="noConversion"/>
  </si>
  <si>
    <t>이상연</t>
    <phoneticPr fontId="2" type="noConversion"/>
  </si>
  <si>
    <t>관리부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</si>
  <si>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</si>
  <si>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</si>
  <si>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</si>
  <si>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손예진</t>
    <phoneticPr fontId="2" type="noConversion"/>
  </si>
  <si>
    <t>관리부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</si>
  <si>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</si>
  <si>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</si>
  <si>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</si>
  <si>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</si>
  <si>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</si>
  <si>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</si>
  <si>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</si>
  <si>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</si>
  <si>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</si>
  <si>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</si>
  <si>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</si>
  <si>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</si>
  <si>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</si>
  <si>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</si>
  <si>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</si>
  <si>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</si>
  <si>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</si>
  <si>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</si>
  <si>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</si>
  <si>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</si>
  <si>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</si>
  <si>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</si>
  <si>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</si>
  <si>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</si>
  <si>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</si>
  <si>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</si>
  <si>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</si>
  <si>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</si>
  <si>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</si>
  <si>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</si>
  <si>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</si>
  <si>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</si>
  <si>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</si>
  <si>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</si>
  <si>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</si>
  <si>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</si>
  <si>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</si>
  <si>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</si>
  <si>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</si>
  <si>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</si>
  <si>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</si>
  <si>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</si>
  <si>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</si>
  <si>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</si>
  <si>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</si>
  <si>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</si>
  <si>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</si>
  <si>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</si>
  <si>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</si>
  <si>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</si>
  <si>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</si>
  <si>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</si>
  <si>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</si>
  <si>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</si>
  <si>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</si>
  <si>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</si>
  <si>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점수</t>
    <phoneticPr fontId="2" type="noConversion"/>
  </si>
  <si>
    <t>1월</t>
    <phoneticPr fontId="2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</si>
  <si>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</si>
  <si>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</si>
  <si>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</si>
  <si>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</si>
  <si>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</si>
  <si>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</si>
  <si>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</si>
  <si>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</si>
  <si>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</si>
  <si>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결과</t>
    <phoneticPr fontId="2" type="noConversion"/>
  </si>
  <si>
    <t>할인가</t>
    <phoneticPr fontId="2" type="noConversion"/>
  </si>
  <si>
    <t>평균</t>
    <phoneticPr fontId="2" type="noConversion"/>
  </si>
  <si>
    <t>코드</t>
    <phoneticPr fontId="2" type="noConversion"/>
  </si>
  <si>
    <t>B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</si>
  <si>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</si>
  <si>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</si>
  <si>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</si>
  <si>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A</t>
    <phoneticPr fontId="2" type="noConversion"/>
  </si>
  <si>
    <t>코드</t>
  </si>
  <si>
    <t>기준일 :</t>
    <phoneticPr fontId="2" type="noConversion"/>
  </si>
  <si>
    <t>학년</t>
    <phoneticPr fontId="2" type="noConversion"/>
  </si>
  <si>
    <t>이름</t>
  </si>
  <si>
    <t>이창명</t>
  </si>
  <si>
    <t>교내 미술경시대회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</si>
  <si>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</si>
  <si>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</si>
  <si>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</si>
  <si>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</si>
  <si>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</si>
  <si>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</si>
  <si>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</si>
  <si>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</si>
  <si>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</si>
  <si>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</si>
  <si>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</si>
  <si>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</si>
  <si>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</si>
  <si>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</si>
  <si>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</si>
  <si>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</si>
  <si>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</si>
  <si>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</si>
  <si>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</si>
  <si>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</si>
  <si>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</si>
  <si>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</si>
  <si>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</si>
  <si>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</si>
  <si>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</si>
  <si>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</si>
  <si>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</si>
  <si>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</si>
  <si>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</si>
  <si>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</si>
  <si>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</si>
  <si>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</si>
  <si>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</si>
  <si>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</si>
  <si>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</si>
  <si>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</si>
  <si>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</si>
  <si>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</si>
  <si>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</si>
  <si>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</si>
  <si>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</si>
  <si>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</si>
  <si>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</si>
  <si>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</si>
  <si>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</si>
  <si>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</si>
  <si>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</si>
  <si>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국사</t>
    <phoneticPr fontId="4" type="noConversion"/>
  </si>
  <si>
    <t>상식</t>
    <phoneticPr fontId="4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</si>
  <si>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</si>
  <si>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</si>
  <si>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</si>
  <si>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</si>
  <si>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</si>
  <si>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</si>
  <si>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</si>
  <si>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</si>
  <si>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</si>
  <si>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</si>
  <si>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</si>
  <si>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</si>
  <si>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</si>
  <si>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</si>
  <si>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</si>
  <si>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</si>
  <si>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</si>
  <si>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</si>
  <si>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</si>
  <si>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</si>
  <si>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</si>
  <si>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</si>
  <si>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[표5]</t>
    <phoneticPr fontId="2" type="noConversion"/>
  </si>
  <si>
    <t>[표7]</t>
    <phoneticPr fontId="2" type="noConversion"/>
  </si>
  <si>
    <t>[표9]</t>
    <phoneticPr fontId="2" type="noConversion"/>
  </si>
  <si>
    <t>주문코드</t>
    <phoneticPr fontId="2" type="noConversion"/>
  </si>
  <si>
    <t>주문코드</t>
    <phoneticPr fontId="2" type="noConversion"/>
  </si>
  <si>
    <t>매출액</t>
    <phoneticPr fontId="2" type="noConversion"/>
  </si>
  <si>
    <t>결제방법</t>
    <phoneticPr fontId="2" type="noConversion"/>
  </si>
  <si>
    <t>적립률</t>
    <phoneticPr fontId="2" type="noConversion"/>
  </si>
  <si>
    <t>할부기간</t>
    <phoneticPr fontId="2" type="noConversion"/>
  </si>
  <si>
    <t>지불수수료</t>
    <phoneticPr fontId="2" type="noConversion"/>
  </si>
  <si>
    <t>지불수수료</t>
    <phoneticPr fontId="2" type="noConversion"/>
  </si>
  <si>
    <t>지역</t>
    <phoneticPr fontId="2" type="noConversion"/>
  </si>
  <si>
    <t>전용면적</t>
    <phoneticPr fontId="2" type="noConversion"/>
  </si>
  <si>
    <t>청약가능액</t>
    <phoneticPr fontId="2" type="noConversion"/>
  </si>
  <si>
    <t>청약가능액</t>
    <phoneticPr fontId="2" type="noConversion"/>
  </si>
  <si>
    <t>학과코드</t>
  </si>
  <si>
    <t>TOEIC</t>
  </si>
  <si>
    <t>컴퓨터</t>
  </si>
  <si>
    <t>전공2</t>
  </si>
  <si>
    <t>평가</t>
    <phoneticPr fontId="2" type="noConversion"/>
  </si>
  <si>
    <t>회원코드</t>
    <phoneticPr fontId="2" type="noConversion"/>
  </si>
  <si>
    <t>직업</t>
    <phoneticPr fontId="2" type="noConversion"/>
  </si>
  <si>
    <t>T004</t>
    <phoneticPr fontId="2" type="noConversion"/>
  </si>
  <si>
    <t>나라카드</t>
    <phoneticPr fontId="2" type="noConversion"/>
  </si>
  <si>
    <t>서울, 부산</t>
    <phoneticPr fontId="2" type="noConversion"/>
  </si>
  <si>
    <t>최옥자</t>
  </si>
  <si>
    <t>B2</t>
  </si>
  <si>
    <t>JA140</t>
  </si>
  <si>
    <t>C005</t>
    <phoneticPr fontId="2" type="noConversion"/>
  </si>
  <si>
    <t>한국카드</t>
    <phoneticPr fontId="2" type="noConversion"/>
  </si>
  <si>
    <t>한국카드</t>
    <phoneticPr fontId="2" type="noConversion"/>
  </si>
  <si>
    <t>기타광역시</t>
    <phoneticPr fontId="2" type="noConversion"/>
  </si>
  <si>
    <t>송현우</t>
  </si>
  <si>
    <t>B1</t>
  </si>
  <si>
    <t>JB571</t>
  </si>
  <si>
    <t>V006</t>
    <phoneticPr fontId="2" type="noConversion"/>
  </si>
  <si>
    <t>기타지역</t>
    <phoneticPr fontId="2" type="noConversion"/>
  </si>
  <si>
    <t>이욱현</t>
  </si>
  <si>
    <t>C2</t>
  </si>
  <si>
    <t>JD367</t>
  </si>
  <si>
    <t>C005</t>
    <phoneticPr fontId="2" type="noConversion"/>
  </si>
  <si>
    <t>대한카드</t>
    <phoneticPr fontId="2" type="noConversion"/>
  </si>
  <si>
    <t>대한카드</t>
    <phoneticPr fontId="2" type="noConversion"/>
  </si>
  <si>
    <t>서울, 부산</t>
    <phoneticPr fontId="2" type="noConversion"/>
  </si>
  <si>
    <t>이창섭</t>
  </si>
  <si>
    <t>JC664</t>
  </si>
  <si>
    <t>T001</t>
    <phoneticPr fontId="2" type="noConversion"/>
  </si>
  <si>
    <t>김영란</t>
  </si>
  <si>
    <t>A2</t>
  </si>
  <si>
    <t>JA188</t>
  </si>
  <si>
    <t>C003</t>
    <phoneticPr fontId="2" type="noConversion"/>
  </si>
  <si>
    <t>민들레</t>
  </si>
  <si>
    <t>JC268</t>
  </si>
  <si>
    <t>V005</t>
    <phoneticPr fontId="2" type="noConversion"/>
  </si>
  <si>
    <t>기타광역시</t>
    <phoneticPr fontId="2" type="noConversion"/>
  </si>
  <si>
    <t>황유선</t>
  </si>
  <si>
    <t>JA845</t>
  </si>
  <si>
    <t>T005</t>
    <phoneticPr fontId="2" type="noConversion"/>
  </si>
  <si>
    <t>손범수</t>
  </si>
  <si>
    <t>JD977</t>
  </si>
  <si>
    <t>기타지역</t>
    <phoneticPr fontId="2" type="noConversion"/>
  </si>
  <si>
    <t>진양혜</t>
  </si>
  <si>
    <t>A1</t>
  </si>
  <si>
    <t>JE386</t>
  </si>
  <si>
    <t>김건남</t>
  </si>
  <si>
    <t>JC663</t>
  </si>
  <si>
    <t>V007</t>
    <phoneticPr fontId="2" type="noConversion"/>
  </si>
  <si>
    <t>박성미</t>
  </si>
  <si>
    <t>JC864</t>
  </si>
  <si>
    <t>김광배</t>
  </si>
  <si>
    <t>JA165</t>
  </si>
  <si>
    <t>[표2] 할부기간별 수수료율</t>
    <phoneticPr fontId="2" type="noConversion"/>
  </si>
  <si>
    <t>이무열</t>
  </si>
  <si>
    <t>JB398</t>
  </si>
  <si>
    <t>할부기간</t>
    <phoneticPr fontId="2" type="noConversion"/>
  </si>
  <si>
    <t>양창석</t>
  </si>
  <si>
    <t>JC741</t>
  </si>
  <si>
    <t>배유정</t>
  </si>
  <si>
    <t>C1</t>
  </si>
  <si>
    <t>JB661</t>
  </si>
  <si>
    <t>심상섭</t>
  </si>
  <si>
    <t>JA219</t>
  </si>
  <si>
    <t>기타카드</t>
    <phoneticPr fontId="2" type="noConversion"/>
  </si>
  <si>
    <t>권은영</t>
  </si>
  <si>
    <t>JB336</t>
  </si>
  <si>
    <t>이숙영</t>
  </si>
  <si>
    <t>JB643</t>
  </si>
  <si>
    <t>[표3] 청약가능액</t>
    <phoneticPr fontId="2" type="noConversion"/>
  </si>
  <si>
    <t>한영희</t>
  </si>
  <si>
    <t>오성식</t>
  </si>
  <si>
    <t>[표6]</t>
    <phoneticPr fontId="2" type="noConversion"/>
  </si>
  <si>
    <t>김상철</t>
  </si>
  <si>
    <t>[표10]</t>
    <phoneticPr fontId="2" type="noConversion"/>
  </si>
  <si>
    <t>[표10]</t>
    <phoneticPr fontId="2" type="noConversion"/>
  </si>
  <si>
    <t>DVD코드</t>
    <phoneticPr fontId="2" type="noConversion"/>
  </si>
  <si>
    <t>DVD코드</t>
    <phoneticPr fontId="2" type="noConversion"/>
  </si>
  <si>
    <t>타이틀명</t>
    <phoneticPr fontId="2" type="noConversion"/>
  </si>
  <si>
    <t>타이틀명</t>
    <phoneticPr fontId="2" type="noConversion"/>
  </si>
  <si>
    <t>서호형</t>
  </si>
  <si>
    <t>코드</t>
    <phoneticPr fontId="2" type="noConversion"/>
  </si>
  <si>
    <t>직업</t>
    <phoneticPr fontId="4" type="noConversion"/>
  </si>
  <si>
    <t>DVD-11</t>
    <phoneticPr fontId="2" type="noConversion"/>
  </si>
  <si>
    <t>JA</t>
  </si>
  <si>
    <t>자영업</t>
    <phoneticPr fontId="4" type="noConversion"/>
  </si>
  <si>
    <t>DVD-22</t>
    <phoneticPr fontId="2" type="noConversion"/>
  </si>
  <si>
    <t>JB</t>
  </si>
  <si>
    <t>회사원</t>
    <phoneticPr fontId="4" type="noConversion"/>
  </si>
  <si>
    <t>[표4] DVD 타이틀명</t>
    <phoneticPr fontId="2" type="noConversion"/>
  </si>
  <si>
    <t>DVD-33</t>
    <phoneticPr fontId="2" type="noConversion"/>
  </si>
  <si>
    <t>[표8]</t>
    <phoneticPr fontId="2" type="noConversion"/>
  </si>
  <si>
    <t>[표8]</t>
    <phoneticPr fontId="2" type="noConversion"/>
  </si>
  <si>
    <t>JD</t>
  </si>
  <si>
    <t>공무원</t>
    <phoneticPr fontId="4" type="noConversion"/>
  </si>
  <si>
    <t>반지의 제왕</t>
    <phoneticPr fontId="2" type="noConversion"/>
  </si>
  <si>
    <t>해리포터</t>
    <phoneticPr fontId="2" type="noConversion"/>
  </si>
  <si>
    <t>호빗</t>
    <phoneticPr fontId="2" type="noConversion"/>
  </si>
  <si>
    <t>토이스토리</t>
    <phoneticPr fontId="2" type="noConversion"/>
  </si>
  <si>
    <t>박물관은 살아 있다</t>
    <phoneticPr fontId="2" type="noConversion"/>
  </si>
  <si>
    <t>DVD-44</t>
    <phoneticPr fontId="2" type="noConversion"/>
  </si>
  <si>
    <t>DVD-44</t>
    <phoneticPr fontId="2" type="noConversion"/>
  </si>
  <si>
    <t>평균</t>
    <phoneticPr fontId="2" type="noConversion"/>
  </si>
  <si>
    <t>JC</t>
  </si>
  <si>
    <t>의사</t>
    <phoneticPr fontId="4" type="noConversion"/>
  </si>
  <si>
    <t>DVD-55</t>
    <phoneticPr fontId="2" type="noConversion"/>
  </si>
  <si>
    <t>DVD-55</t>
    <phoneticPr fontId="2" type="noConversion"/>
  </si>
  <si>
    <t>F</t>
    <phoneticPr fontId="2" type="noConversion"/>
  </si>
  <si>
    <t>D</t>
    <phoneticPr fontId="2" type="noConversion"/>
  </si>
  <si>
    <t>JE</t>
  </si>
  <si>
    <t>변호사</t>
    <phoneticPr fontId="4" type="noConversion"/>
  </si>
  <si>
    <t>지역</t>
    <phoneticPr fontId="2" type="noConversion"/>
  </si>
  <si>
    <t>평가</t>
    <phoneticPr fontId="2" type="noConversion"/>
  </si>
  <si>
    <t>기타지역</t>
    <phoneticPr fontId="2" type="noConversion"/>
  </si>
  <si>
    <t>서울, 부산</t>
    <phoneticPr fontId="2" type="noConversion"/>
  </si>
  <si>
    <t>서울, 부산</t>
    <phoneticPr fontId="2" type="noConversion"/>
  </si>
  <si>
    <t>기타광역시</t>
    <phoneticPr fontId="2" type="noConversion"/>
  </si>
  <si>
    <t>직업</t>
    <phoneticPr fontId="4" type="noConversion"/>
  </si>
  <si>
    <t>회사원</t>
    <phoneticPr fontId="4" type="noConversion"/>
  </si>
  <si>
    <t>A</t>
    <phoneticPr fontId="2" type="noConversion"/>
  </si>
  <si>
    <t xml:space="preserve">시작일 : </t>
    <phoneticPr fontId="2" type="noConversion"/>
  </si>
  <si>
    <t>[표2] 공휴일</t>
    <phoneticPr fontId="2" type="noConversion"/>
  </si>
  <si>
    <t>[표3] 수선일</t>
    <phoneticPr fontId="2" type="noConversion"/>
  </si>
  <si>
    <t>[표4] 사용기간</t>
    <phoneticPr fontId="2" type="noConversion"/>
  </si>
  <si>
    <t>행사내용</t>
    <phoneticPr fontId="2" type="noConversion"/>
  </si>
  <si>
    <t>행사일</t>
    <phoneticPr fontId="2" type="noConversion"/>
  </si>
  <si>
    <t>작업일</t>
    <phoneticPr fontId="2" type="noConversion"/>
  </si>
  <si>
    <t>날짜</t>
    <phoneticPr fontId="2" type="noConversion"/>
  </si>
  <si>
    <t>공휴일</t>
    <phoneticPr fontId="2" type="noConversion"/>
  </si>
  <si>
    <t>판매일</t>
    <phoneticPr fontId="2" type="noConversion"/>
  </si>
  <si>
    <t>수선일</t>
    <phoneticPr fontId="2" type="noConversion"/>
  </si>
  <si>
    <t>검침일</t>
    <phoneticPr fontId="2" type="noConversion"/>
  </si>
  <si>
    <t>사용기간</t>
    <phoneticPr fontId="2" type="noConversion"/>
  </si>
  <si>
    <t>제조일</t>
    <phoneticPr fontId="2" type="noConversion"/>
  </si>
  <si>
    <t>보존기간(개월)</t>
    <phoneticPr fontId="2" type="noConversion"/>
  </si>
  <si>
    <t>김기완</t>
    <phoneticPr fontId="2" type="noConversion"/>
  </si>
  <si>
    <t>돌잔치</t>
    <phoneticPr fontId="2" type="noConversion"/>
  </si>
  <si>
    <t>신정</t>
    <phoneticPr fontId="2" type="noConversion"/>
  </si>
  <si>
    <t>KL0133LI</t>
  </si>
  <si>
    <t>성정아</t>
    <phoneticPr fontId="2" type="noConversion"/>
  </si>
  <si>
    <t>삼일절</t>
    <phoneticPr fontId="2" type="noConversion"/>
  </si>
  <si>
    <t>NL0244PO</t>
  </si>
  <si>
    <t>이기봉</t>
    <phoneticPr fontId="2" type="noConversion"/>
  </si>
  <si>
    <t>어린이날</t>
    <phoneticPr fontId="2" type="noConversion"/>
  </si>
  <si>
    <t>JL0322PO</t>
  </si>
  <si>
    <t>안산진</t>
    <phoneticPr fontId="2" type="noConversion"/>
  </si>
  <si>
    <t>현충일</t>
    <phoneticPr fontId="2" type="noConversion"/>
  </si>
  <si>
    <t>KL5444PO</t>
  </si>
  <si>
    <t>이석호</t>
    <phoneticPr fontId="2" type="noConversion"/>
  </si>
  <si>
    <t>결혼식</t>
    <phoneticPr fontId="2" type="noConversion"/>
  </si>
  <si>
    <t>광복절</t>
    <phoneticPr fontId="2" type="noConversion"/>
  </si>
  <si>
    <t>SK1233PO</t>
  </si>
  <si>
    <t>양미진</t>
    <phoneticPr fontId="2" type="noConversion"/>
  </si>
  <si>
    <t>개천절</t>
    <phoneticPr fontId="2" type="noConversion"/>
  </si>
  <si>
    <t>개천절</t>
    <phoneticPr fontId="2" type="noConversion"/>
  </si>
  <si>
    <t>NL1211LI</t>
  </si>
  <si>
    <t>유인하</t>
    <phoneticPr fontId="2" type="noConversion"/>
  </si>
  <si>
    <t>한글날</t>
    <phoneticPr fontId="2" type="noConversion"/>
  </si>
  <si>
    <t>SK2922PJ</t>
  </si>
  <si>
    <t>김경지</t>
    <phoneticPr fontId="2" type="noConversion"/>
  </si>
  <si>
    <t>결혼식</t>
    <phoneticPr fontId="2" type="noConversion"/>
  </si>
  <si>
    <t>크리스마스</t>
    <phoneticPr fontId="2" type="noConversion"/>
  </si>
  <si>
    <t>NL2522KY</t>
  </si>
  <si>
    <t>이신호</t>
    <phoneticPr fontId="2" type="noConversion"/>
  </si>
  <si>
    <t>KL2133PO</t>
  </si>
  <si>
    <t>최익현</t>
    <phoneticPr fontId="2" type="noConversion"/>
  </si>
  <si>
    <t>JL2033LI</t>
  </si>
  <si>
    <t>김상중</t>
    <phoneticPr fontId="2" type="noConversion"/>
  </si>
  <si>
    <t>KL2133LI</t>
  </si>
  <si>
    <t>윤미화</t>
    <phoneticPr fontId="2" type="noConversion"/>
  </si>
  <si>
    <t>JL3211LI</t>
  </si>
  <si>
    <t>이연경</t>
    <phoneticPr fontId="2" type="noConversion"/>
  </si>
  <si>
    <t>JL0144PO</t>
  </si>
  <si>
    <t>김호야</t>
    <phoneticPr fontId="2" type="noConversion"/>
  </si>
  <si>
    <t>SK0133PI</t>
  </si>
  <si>
    <t>이솔비</t>
    <phoneticPr fontId="2" type="noConversion"/>
  </si>
  <si>
    <t>NL2311KY</t>
  </si>
  <si>
    <t>김은희</t>
    <phoneticPr fontId="2" type="noConversion"/>
  </si>
  <si>
    <t>NL1244PO</t>
  </si>
  <si>
    <t>JL2044PO</t>
  </si>
  <si>
    <t>[표5] 할인율</t>
    <phoneticPr fontId="2" type="noConversion"/>
  </si>
  <si>
    <t>JL2211LI</t>
  </si>
  <si>
    <t>남은기간</t>
    <phoneticPr fontId="2" type="noConversion"/>
  </si>
  <si>
    <t>할인율</t>
    <phoneticPr fontId="2" type="noConversion"/>
  </si>
  <si>
    <t>NL2033PO</t>
  </si>
  <si>
    <t>SK2111LI</t>
  </si>
  <si>
    <t>SK2022KY</t>
  </si>
  <si>
    <t>NL2111PO</t>
  </si>
  <si>
    <t>신정</t>
    <phoneticPr fontId="2" type="noConversion"/>
  </si>
  <si>
    <t>삼일절</t>
    <phoneticPr fontId="2" type="noConversion"/>
  </si>
  <si>
    <t>어린이날</t>
    <phoneticPr fontId="2" type="noConversion"/>
  </si>
  <si>
    <t>현충일</t>
    <phoneticPr fontId="2" type="noConversion"/>
  </si>
  <si>
    <t>광복절</t>
    <phoneticPr fontId="2" type="noConversion"/>
  </si>
  <si>
    <t>한글날</t>
    <phoneticPr fontId="2" type="noConversion"/>
  </si>
  <si>
    <t>크리스마스</t>
    <phoneticPr fontId="2" type="noConversion"/>
  </si>
  <si>
    <t>[표5] 할인율</t>
    <phoneticPr fontId="2" type="noConversion"/>
  </si>
  <si>
    <t>남은기간</t>
    <phoneticPr fontId="2" type="noConversion"/>
  </si>
  <si>
    <t>할인율</t>
    <phoneticPr fontId="2" type="noConversion"/>
  </si>
  <si>
    <t>[표1]</t>
    <phoneticPr fontId="2" type="noConversion"/>
  </si>
  <si>
    <t>[표2]</t>
    <phoneticPr fontId="2" type="noConversion"/>
  </si>
  <si>
    <t>[표3]</t>
    <phoneticPr fontId="2" type="noConversion"/>
  </si>
  <si>
    <t>[표4] 블랙박스의 판매 현황</t>
    <phoneticPr fontId="2" type="noConversion"/>
  </si>
  <si>
    <t>보험자</t>
    <phoneticPr fontId="2" type="noConversion"/>
  </si>
  <si>
    <t>피보험자</t>
    <phoneticPr fontId="4" type="noConversion"/>
  </si>
  <si>
    <t>도서명</t>
    <phoneticPr fontId="2" type="noConversion"/>
  </si>
  <si>
    <t>저자</t>
    <phoneticPr fontId="2" type="noConversion"/>
  </si>
  <si>
    <t>판매량</t>
    <phoneticPr fontId="2" type="noConversion"/>
  </si>
  <si>
    <t>판매지수</t>
    <phoneticPr fontId="4" type="noConversion"/>
  </si>
  <si>
    <t>홈페이지주소</t>
    <phoneticPr fontId="4" type="noConversion"/>
  </si>
  <si>
    <t>메일주소</t>
    <phoneticPr fontId="4" type="noConversion"/>
  </si>
  <si>
    <t>제품ID</t>
    <phoneticPr fontId="2" type="noConversion"/>
  </si>
  <si>
    <t>비고</t>
    <phoneticPr fontId="4" type="noConversion"/>
  </si>
  <si>
    <t>이은주</t>
  </si>
  <si>
    <t>송영희</t>
  </si>
  <si>
    <t>박은주</t>
  </si>
  <si>
    <t>김정아</t>
  </si>
  <si>
    <t>윤슬기</t>
  </si>
  <si>
    <t>김정수</t>
  </si>
  <si>
    <t>크리스 해드필드</t>
  </si>
  <si>
    <t>하영재</t>
  </si>
  <si>
    <t>한동주</t>
  </si>
  <si>
    <t>박지훈</t>
  </si>
  <si>
    <t>김영진</t>
  </si>
  <si>
    <t>신호와 소음</t>
    <phoneticPr fontId="2" type="noConversion"/>
  </si>
  <si>
    <t>김미영</t>
  </si>
  <si>
    <t>이미정</t>
  </si>
  <si>
    <t>김기훈</t>
  </si>
  <si>
    <t>박소현</t>
  </si>
  <si>
    <t>차호철</t>
  </si>
  <si>
    <t>김기정</t>
  </si>
  <si>
    <t>이경애</t>
  </si>
  <si>
    <t>김동우</t>
  </si>
  <si>
    <t>한보영</t>
  </si>
  <si>
    <t>신애란</t>
  </si>
  <si>
    <t>이동우</t>
  </si>
  <si>
    <t>민채린</t>
  </si>
  <si>
    <t>구영호</t>
  </si>
  <si>
    <t>한진호</t>
  </si>
  <si>
    <t>이성구</t>
    <phoneticPr fontId="2" type="noConversion"/>
  </si>
  <si>
    <t>김샛별</t>
    <phoneticPr fontId="2" type="noConversion"/>
  </si>
  <si>
    <t>이수진</t>
    <phoneticPr fontId="2" type="noConversion"/>
  </si>
  <si>
    <t>강민희</t>
    <phoneticPr fontId="2" type="noConversion"/>
  </si>
  <si>
    <t>공간이 마음을 살린다</t>
    <phoneticPr fontId="2" type="noConversion"/>
  </si>
  <si>
    <t>에스더 M. 스턴버그</t>
    <phoneticPr fontId="2" type="noConversion"/>
  </si>
  <si>
    <t>naver05.kr</t>
    <phoneticPr fontId="4" type="noConversion"/>
  </si>
  <si>
    <t>SK01-0044</t>
    <phoneticPr fontId="2" type="noConversion"/>
  </si>
  <si>
    <t>나는 돈이 없어도 경매를 한다</t>
    <phoneticPr fontId="2" type="noConversion"/>
  </si>
  <si>
    <t>이현정</t>
    <phoneticPr fontId="2" type="noConversion"/>
  </si>
  <si>
    <t>ckd9292.kr</t>
    <phoneticPr fontId="4" type="noConversion"/>
  </si>
  <si>
    <t>LK03-0049</t>
    <phoneticPr fontId="2" type="noConversion"/>
  </si>
  <si>
    <t>교감하는 부모가 아이의 십대를 살린다</t>
    <phoneticPr fontId="2" type="noConversion"/>
  </si>
  <si>
    <t>마이크 리에라</t>
    <phoneticPr fontId="2" type="noConversion"/>
  </si>
  <si>
    <t>korea7979.kr</t>
    <phoneticPr fontId="4" type="noConversion"/>
  </si>
  <si>
    <t>JB02-0053</t>
    <phoneticPr fontId="2" type="noConversion"/>
  </si>
  <si>
    <t>인포그래픽 인사이트</t>
    <phoneticPr fontId="2" type="noConversion"/>
  </si>
  <si>
    <t>송수정</t>
    <phoneticPr fontId="2" type="noConversion"/>
  </si>
  <si>
    <t>doctorkim.kr</t>
    <phoneticPr fontId="4" type="noConversion"/>
  </si>
  <si>
    <t>JB01-0047</t>
    <phoneticPr fontId="2" type="noConversion"/>
  </si>
  <si>
    <t>오바마의 설득법</t>
    <phoneticPr fontId="2" type="noConversion"/>
  </si>
  <si>
    <t>문병용</t>
    <phoneticPr fontId="2" type="noConversion"/>
  </si>
  <si>
    <t>kyh1254.kr</t>
    <phoneticPr fontId="4" type="noConversion"/>
  </si>
  <si>
    <t>SK04-0043</t>
    <phoneticPr fontId="2" type="noConversion"/>
  </si>
  <si>
    <t>우주비행사의 지구생활 안내서</t>
    <phoneticPr fontId="2" type="noConversion"/>
  </si>
  <si>
    <t>allhappy.kr</t>
    <phoneticPr fontId="4" type="noConversion"/>
  </si>
  <si>
    <t>LK02-0049</t>
    <phoneticPr fontId="2" type="noConversion"/>
  </si>
  <si>
    <t>일반상식의 재구성(교양편)</t>
    <phoneticPr fontId="2" type="noConversion"/>
  </si>
  <si>
    <t>길벗R&amp;D</t>
    <phoneticPr fontId="2" type="noConversion"/>
  </si>
  <si>
    <t>baseballma.kr</t>
    <phoneticPr fontId="4" type="noConversion"/>
  </si>
  <si>
    <t>LK02-0050</t>
    <phoneticPr fontId="2" type="noConversion"/>
  </si>
  <si>
    <t>농부가 된 도시 사람들</t>
    <phoneticPr fontId="2" type="noConversion"/>
  </si>
  <si>
    <t>김혜영</t>
    <phoneticPr fontId="2" type="noConversion"/>
  </si>
  <si>
    <t>gusaud951.kr</t>
    <phoneticPr fontId="4" type="noConversion"/>
  </si>
  <si>
    <t>JB04-0046</t>
    <phoneticPr fontId="2" type="noConversion"/>
  </si>
  <si>
    <t>드림위버</t>
    <phoneticPr fontId="2" type="noConversion"/>
  </si>
  <si>
    <t>이문성</t>
    <phoneticPr fontId="2" type="noConversion"/>
  </si>
  <si>
    <t>forever3003.kr</t>
    <phoneticPr fontId="4" type="noConversion"/>
  </si>
  <si>
    <t>LK03-0055</t>
    <phoneticPr fontId="2" type="noConversion"/>
  </si>
  <si>
    <t>네이트 실버</t>
    <phoneticPr fontId="2" type="noConversion"/>
  </si>
  <si>
    <t>mesweet.kr</t>
    <phoneticPr fontId="4" type="noConversion"/>
  </si>
  <si>
    <t>JB02-0040</t>
    <phoneticPr fontId="2" type="noConversion"/>
  </si>
  <si>
    <t>월급쟁이 재테크 상식사전</t>
    <phoneticPr fontId="2" type="noConversion"/>
  </si>
  <si>
    <t>우용표</t>
    <phoneticPr fontId="2" type="noConversion"/>
  </si>
  <si>
    <t>familylove.kr</t>
    <phoneticPr fontId="4" type="noConversion"/>
  </si>
  <si>
    <t>LK04-0044</t>
    <phoneticPr fontId="2" type="noConversion"/>
  </si>
  <si>
    <t>유럽여행 핵심사전 500</t>
    <phoneticPr fontId="2" type="noConversion"/>
  </si>
  <si>
    <t>김후영</t>
    <phoneticPr fontId="2" type="noConversion"/>
  </si>
  <si>
    <t>cooking555.kr</t>
    <phoneticPr fontId="4" type="noConversion"/>
  </si>
  <si>
    <t>LK01-0055</t>
    <phoneticPr fontId="2" type="noConversion"/>
  </si>
  <si>
    <t>인디자인</t>
    <phoneticPr fontId="2" type="noConversion"/>
  </si>
  <si>
    <t>김민국</t>
    <phoneticPr fontId="2" type="noConversion"/>
  </si>
  <si>
    <t>teacherlee.kr</t>
    <phoneticPr fontId="4" type="noConversion"/>
  </si>
  <si>
    <t>JB03-0052</t>
    <phoneticPr fontId="2" type="noConversion"/>
  </si>
  <si>
    <t>인터넷·쇼핑몰 마케팅</t>
    <phoneticPr fontId="2" type="noConversion"/>
  </si>
  <si>
    <t>최신국</t>
    <phoneticPr fontId="2" type="noConversion"/>
  </si>
  <si>
    <t>abc097.kr</t>
    <phoneticPr fontId="4" type="noConversion"/>
  </si>
  <si>
    <t>SK02-0051</t>
    <phoneticPr fontId="2" type="noConversion"/>
  </si>
  <si>
    <t>60분 공부법</t>
    <phoneticPr fontId="2" type="noConversion"/>
  </si>
  <si>
    <t>야마모토 노리아키</t>
    <phoneticPr fontId="2" type="noConversion"/>
  </si>
  <si>
    <t>suman12.kr</t>
    <phoneticPr fontId="4" type="noConversion"/>
  </si>
  <si>
    <t>CPPG 개인정보관리사</t>
    <phoneticPr fontId="2" type="noConversion"/>
  </si>
  <si>
    <t>박억남</t>
    <phoneticPr fontId="2" type="noConversion"/>
  </si>
  <si>
    <t>jjs1234.kr</t>
    <phoneticPr fontId="4" type="noConversion"/>
  </si>
  <si>
    <t>YouTube</t>
    <phoneticPr fontId="2" type="noConversion"/>
  </si>
  <si>
    <t>조민정</t>
    <phoneticPr fontId="2" type="noConversion"/>
  </si>
  <si>
    <t>88friend.kr</t>
    <phoneticPr fontId="4" type="noConversion"/>
  </si>
  <si>
    <t>철학을 권하다</t>
    <phoneticPr fontId="2" type="noConversion"/>
  </si>
  <si>
    <t>에반스</t>
    <phoneticPr fontId="2" type="noConversion"/>
  </si>
  <si>
    <t>abcdef52.kr</t>
    <phoneticPr fontId="4" type="noConversion"/>
  </si>
  <si>
    <t>치매 없는 생활습관</t>
    <phoneticPr fontId="2" type="noConversion"/>
  </si>
  <si>
    <t>오토모 에이치</t>
    <phoneticPr fontId="2" type="noConversion"/>
  </si>
  <si>
    <t>love5523.kr</t>
    <phoneticPr fontId="4" type="noConversion"/>
  </si>
  <si>
    <t xml:space="preserve">5분 편의점 요리 </t>
    <phoneticPr fontId="2" type="noConversion"/>
  </si>
  <si>
    <t>이재건</t>
    <phoneticPr fontId="2" type="noConversion"/>
  </si>
  <si>
    <t xml:space="preserve">나는 스무살에 백만장자가 되었다 </t>
    <phoneticPr fontId="2" type="noConversion"/>
  </si>
  <si>
    <t>프레이저 도허티</t>
    <phoneticPr fontId="2" type="noConversion"/>
  </si>
  <si>
    <t xml:space="preserve">캠핑 주말여행 코스북 </t>
    <phoneticPr fontId="2" type="noConversion"/>
  </si>
  <si>
    <t>서승범 외</t>
    <phoneticPr fontId="2" type="noConversion"/>
  </si>
  <si>
    <t>엑셀&amp;파워포인트</t>
    <phoneticPr fontId="2" type="noConversion"/>
  </si>
  <si>
    <t>박인성</t>
    <phoneticPr fontId="2" type="noConversion"/>
  </si>
  <si>
    <t>하루 3분 우리말 맞춤법</t>
    <phoneticPr fontId="2" type="noConversion"/>
  </si>
  <si>
    <t>김주우</t>
    <phoneticPr fontId="2" type="noConversion"/>
  </si>
  <si>
    <t>한국사능력검정시험 중급 기출문제의 재구성</t>
    <phoneticPr fontId="2" type="noConversion"/>
  </si>
  <si>
    <t>이건홍외</t>
    <phoneticPr fontId="2" type="noConversion"/>
  </si>
  <si>
    <t>물품코드</t>
    <phoneticPr fontId="2" type="noConversion"/>
  </si>
  <si>
    <t>단가</t>
    <phoneticPr fontId="2" type="noConversion"/>
  </si>
  <si>
    <t>인원</t>
    <phoneticPr fontId="2" type="noConversion"/>
  </si>
  <si>
    <t>번호</t>
    <phoneticPr fontId="2" type="noConversion"/>
  </si>
  <si>
    <t>강의년도</t>
    <phoneticPr fontId="2" type="noConversion"/>
  </si>
  <si>
    <t>JJ1111</t>
    <phoneticPr fontId="2" type="noConversion"/>
  </si>
  <si>
    <t>정회원</t>
    <phoneticPr fontId="2" type="noConversion"/>
  </si>
  <si>
    <t>준회원</t>
    <phoneticPr fontId="2" type="noConversion"/>
  </si>
  <si>
    <t>S002</t>
  </si>
  <si>
    <t>SS1111</t>
    <phoneticPr fontId="2" type="noConversion"/>
  </si>
  <si>
    <t>S003</t>
  </si>
  <si>
    <t>SS2222</t>
    <phoneticPr fontId="2" type="noConversion"/>
  </si>
  <si>
    <t>S004</t>
  </si>
  <si>
    <t>S005</t>
  </si>
  <si>
    <t>SS3333</t>
    <phoneticPr fontId="2" type="noConversion"/>
  </si>
  <si>
    <t>S006</t>
  </si>
  <si>
    <t>박호영</t>
    <phoneticPr fontId="2" type="noConversion"/>
  </si>
  <si>
    <t>S007</t>
  </si>
  <si>
    <t>S008</t>
  </si>
  <si>
    <t>권충수</t>
    <phoneticPr fontId="2" type="noConversion"/>
  </si>
  <si>
    <t>S009</t>
  </si>
  <si>
    <t>S010</t>
  </si>
  <si>
    <t>S011</t>
  </si>
  <si>
    <t>S012</t>
  </si>
  <si>
    <t>배사공</t>
    <phoneticPr fontId="2" type="noConversion"/>
  </si>
  <si>
    <t>S013</t>
  </si>
  <si>
    <t>S014</t>
  </si>
  <si>
    <t>crystal hall</t>
    <phoneticPr fontId="2" type="noConversion"/>
  </si>
  <si>
    <t xml:space="preserve">diamond hall </t>
    <phoneticPr fontId="2" type="noConversion"/>
  </si>
  <si>
    <t>S015</t>
  </si>
  <si>
    <t>S016</t>
  </si>
  <si>
    <t>S017</t>
  </si>
  <si>
    <t>S018</t>
  </si>
  <si>
    <t>오덕우</t>
    <phoneticPr fontId="2" type="noConversion"/>
  </si>
  <si>
    <t>S019</t>
  </si>
  <si>
    <t>S020</t>
  </si>
  <si>
    <t>S021</t>
  </si>
  <si>
    <t>S022</t>
  </si>
  <si>
    <t>S023</t>
  </si>
  <si>
    <t>S024</t>
  </si>
  <si>
    <t>S025</t>
  </si>
  <si>
    <t>S026</t>
  </si>
  <si>
    <t>지역</t>
  </si>
  <si>
    <t>S027</t>
  </si>
  <si>
    <t>서울, 부산</t>
  </si>
  <si>
    <t>SB</t>
  </si>
  <si>
    <t>S028</t>
  </si>
  <si>
    <t>기타광역시</t>
  </si>
  <si>
    <t>KY</t>
  </si>
  <si>
    <t>기타지역</t>
  </si>
  <si>
    <t>KT</t>
  </si>
  <si>
    <t>[표1]</t>
    <phoneticPr fontId="2" type="noConversion"/>
  </si>
  <si>
    <t>[표2]</t>
    <phoneticPr fontId="2" type="noConversion"/>
  </si>
  <si>
    <t>[표3]</t>
    <phoneticPr fontId="2" type="noConversion"/>
  </si>
  <si>
    <t>[표4]</t>
    <phoneticPr fontId="2" type="noConversion"/>
  </si>
  <si>
    <t>주문코드</t>
    <phoneticPr fontId="2" type="noConversion"/>
  </si>
  <si>
    <t>주문방법</t>
    <phoneticPr fontId="2" type="noConversion"/>
  </si>
  <si>
    <t>감상시간(분)</t>
    <phoneticPr fontId="2" type="noConversion"/>
  </si>
  <si>
    <t>환산</t>
    <phoneticPr fontId="2" type="noConversion"/>
  </si>
  <si>
    <t>코드</t>
    <phoneticPr fontId="2" type="noConversion"/>
  </si>
  <si>
    <t>현재강의수</t>
    <phoneticPr fontId="2" type="noConversion"/>
  </si>
  <si>
    <t>현재강의수</t>
    <phoneticPr fontId="2" type="noConversion"/>
  </si>
  <si>
    <t>수강인원</t>
    <phoneticPr fontId="2" type="noConversion"/>
  </si>
  <si>
    <t>전체강의수</t>
    <phoneticPr fontId="2" type="noConversion"/>
  </si>
  <si>
    <t>진행율</t>
    <phoneticPr fontId="2" type="noConversion"/>
  </si>
  <si>
    <t>사업자명</t>
    <phoneticPr fontId="2" type="noConversion"/>
  </si>
  <si>
    <t>사업자명</t>
    <phoneticPr fontId="2" type="noConversion"/>
  </si>
  <si>
    <t>사업자번호</t>
    <phoneticPr fontId="2" type="noConversion"/>
  </si>
  <si>
    <t>T001</t>
    <phoneticPr fontId="2" type="noConversion"/>
  </si>
  <si>
    <t>S001</t>
    <phoneticPr fontId="2" type="noConversion"/>
  </si>
  <si>
    <t>세진정형외과</t>
    <phoneticPr fontId="2" type="noConversion"/>
  </si>
  <si>
    <t>C002</t>
    <phoneticPr fontId="2" type="noConversion"/>
  </si>
  <si>
    <t>C002</t>
    <phoneticPr fontId="2" type="noConversion"/>
  </si>
  <si>
    <t>성산수학학원</t>
    <phoneticPr fontId="2" type="noConversion"/>
  </si>
  <si>
    <t>성산수학학원</t>
    <phoneticPr fontId="2" type="noConversion"/>
  </si>
  <si>
    <t>V006</t>
    <phoneticPr fontId="2" type="noConversion"/>
  </si>
  <si>
    <t>도레미피아노</t>
    <phoneticPr fontId="2" type="noConversion"/>
  </si>
  <si>
    <t>V003</t>
    <phoneticPr fontId="2" type="noConversion"/>
  </si>
  <si>
    <t>영진약국</t>
    <phoneticPr fontId="2" type="noConversion"/>
  </si>
  <si>
    <t>T004</t>
    <phoneticPr fontId="2" type="noConversion"/>
  </si>
  <si>
    <t>우리슈퍼</t>
    <phoneticPr fontId="2" type="noConversion"/>
  </si>
  <si>
    <t>C005</t>
    <phoneticPr fontId="2" type="noConversion"/>
  </si>
  <si>
    <t>한국도로공사</t>
    <phoneticPr fontId="2" type="noConversion"/>
  </si>
  <si>
    <t>상공내과</t>
  </si>
  <si>
    <t>우리생명</t>
    <phoneticPr fontId="2" type="noConversion"/>
  </si>
  <si>
    <t>V002</t>
    <phoneticPr fontId="2" type="noConversion"/>
  </si>
  <si>
    <t>한우마을</t>
    <phoneticPr fontId="2" type="noConversion"/>
  </si>
  <si>
    <t>요가학원</t>
    <phoneticPr fontId="2" type="noConversion"/>
  </si>
  <si>
    <t>[표5]</t>
    <phoneticPr fontId="2" type="noConversion"/>
  </si>
  <si>
    <t>V005</t>
    <phoneticPr fontId="2" type="noConversion"/>
  </si>
  <si>
    <t>T007</t>
    <phoneticPr fontId="2" type="noConversion"/>
  </si>
  <si>
    <t>상공내과</t>
    <phoneticPr fontId="2" type="noConversion"/>
  </si>
  <si>
    <t>399-88-22134</t>
    <phoneticPr fontId="2" type="noConversion"/>
  </si>
  <si>
    <t>127-25-20122</t>
    <phoneticPr fontId="2" type="noConversion"/>
  </si>
  <si>
    <t>301-13-00321</t>
    <phoneticPr fontId="2" type="noConversion"/>
  </si>
  <si>
    <t>224-92-20123</t>
    <phoneticPr fontId="2" type="noConversion"/>
  </si>
  <si>
    <t>C003</t>
    <phoneticPr fontId="2" type="noConversion"/>
  </si>
  <si>
    <t>124-58-36512</t>
    <phoneticPr fontId="2" type="noConversion"/>
  </si>
  <si>
    <t>T005</t>
    <phoneticPr fontId="2" type="noConversion"/>
  </si>
  <si>
    <t>V007</t>
    <phoneticPr fontId="2" type="noConversion"/>
  </si>
  <si>
    <t>V006</t>
    <phoneticPr fontId="2" type="noConversion"/>
  </si>
  <si>
    <t>환산</t>
    <phoneticPr fontId="2" type="noConversion"/>
  </si>
  <si>
    <t>대출금액</t>
    <phoneticPr fontId="4" type="noConversion"/>
  </si>
  <si>
    <t>연이율</t>
    <phoneticPr fontId="4" type="noConversion"/>
  </si>
  <si>
    <t>월상환액</t>
    <phoneticPr fontId="4" type="noConversion"/>
  </si>
  <si>
    <t>연이율</t>
    <phoneticPr fontId="4" type="noConversion"/>
  </si>
  <si>
    <t>변호사</t>
    <phoneticPr fontId="4" type="noConversion"/>
  </si>
  <si>
    <t>의사</t>
    <phoneticPr fontId="4" type="noConversion"/>
  </si>
  <si>
    <t>공무원</t>
    <phoneticPr fontId="4" type="noConversion"/>
  </si>
  <si>
    <t>회사원</t>
    <phoneticPr fontId="4" type="noConversion"/>
  </si>
  <si>
    <t>현재가치</t>
    <phoneticPr fontId="4" type="noConversion"/>
  </si>
  <si>
    <t>자영업</t>
    <phoneticPr fontId="4" type="noConversion"/>
  </si>
  <si>
    <t>월납입액</t>
    <phoneticPr fontId="4" type="noConversion"/>
  </si>
  <si>
    <t>직업</t>
    <phoneticPr fontId="4" type="noConversion"/>
  </si>
  <si>
    <t>코드</t>
    <phoneticPr fontId="2" type="noConversion"/>
  </si>
  <si>
    <t>기간(년)</t>
    <phoneticPr fontId="4" type="noConversion"/>
  </si>
  <si>
    <t>대출기간</t>
    <phoneticPr fontId="4" type="noConversion"/>
  </si>
  <si>
    <t>[표2]</t>
    <phoneticPr fontId="4" type="noConversion"/>
  </si>
  <si>
    <t>[표6]</t>
    <phoneticPr fontId="4" type="noConversion"/>
  </si>
  <si>
    <t>이성국</t>
    <phoneticPr fontId="4" type="noConversion"/>
  </si>
  <si>
    <t>JB523</t>
  </si>
  <si>
    <t>이율</t>
    <phoneticPr fontId="4" type="noConversion"/>
  </si>
  <si>
    <t>배진찬</t>
    <phoneticPr fontId="4" type="noConversion"/>
  </si>
  <si>
    <t>JB583</t>
  </si>
  <si>
    <t>김성완</t>
    <phoneticPr fontId="2" type="noConversion"/>
  </si>
  <si>
    <t>홍민국</t>
    <phoneticPr fontId="4" type="noConversion"/>
  </si>
  <si>
    <t>JA649</t>
  </si>
  <si>
    <t>[표5]</t>
    <phoneticPr fontId="4" type="noConversion"/>
  </si>
  <si>
    <t>임유승</t>
    <phoneticPr fontId="2" type="noConversion"/>
  </si>
  <si>
    <t>김숙자</t>
    <phoneticPr fontId="4" type="noConversion"/>
  </si>
  <si>
    <t>JC590</t>
  </si>
  <si>
    <t>한마식</t>
    <phoneticPr fontId="2" type="noConversion"/>
  </si>
  <si>
    <t>강동희</t>
    <phoneticPr fontId="4" type="noConversion"/>
  </si>
  <si>
    <t>JC509</t>
  </si>
  <si>
    <t>하민지</t>
    <phoneticPr fontId="4" type="noConversion"/>
  </si>
  <si>
    <t>오덕우</t>
    <phoneticPr fontId="2" type="noConversion"/>
  </si>
  <si>
    <t>이영숙</t>
    <phoneticPr fontId="4" type="noConversion"/>
  </si>
  <si>
    <t>JB578</t>
  </si>
  <si>
    <t>채경찬</t>
    <phoneticPr fontId="4" type="noConversion"/>
  </si>
  <si>
    <t>김솔오</t>
    <phoneticPr fontId="2" type="noConversion"/>
  </si>
  <si>
    <t>-</t>
    <phoneticPr fontId="4" type="noConversion"/>
  </si>
  <si>
    <t>-</t>
    <phoneticPr fontId="4" type="noConversion"/>
  </si>
  <si>
    <t>배종숙</t>
    <phoneticPr fontId="4" type="noConversion"/>
  </si>
  <si>
    <t>진대준</t>
    <phoneticPr fontId="4" type="noConversion"/>
  </si>
  <si>
    <t>민병욱</t>
    <phoneticPr fontId="2" type="noConversion"/>
  </si>
  <si>
    <t>김현민</t>
    <phoneticPr fontId="4" type="noConversion"/>
  </si>
  <si>
    <t>정종수</t>
    <phoneticPr fontId="4" type="noConversion"/>
  </si>
  <si>
    <t>안대훈</t>
    <phoneticPr fontId="2" type="noConversion"/>
  </si>
  <si>
    <t>강진구</t>
    <phoneticPr fontId="4" type="noConversion"/>
  </si>
  <si>
    <t>정수만</t>
    <phoneticPr fontId="4" type="noConversion"/>
  </si>
  <si>
    <t>고진웅</t>
    <phoneticPr fontId="2" type="noConversion"/>
  </si>
  <si>
    <t>이영민</t>
    <phoneticPr fontId="4" type="noConversion"/>
  </si>
  <si>
    <t>임종례</t>
    <phoneticPr fontId="4" type="noConversion"/>
  </si>
  <si>
    <t>김진상</t>
    <phoneticPr fontId="2" type="noConversion"/>
  </si>
  <si>
    <t>-</t>
    <phoneticPr fontId="4" type="noConversion"/>
  </si>
  <si>
    <t>오수진</t>
  </si>
  <si>
    <t>이찬진</t>
    <phoneticPr fontId="4" type="noConversion"/>
  </si>
  <si>
    <t>배사공</t>
    <phoneticPr fontId="2" type="noConversion"/>
  </si>
  <si>
    <t>이민준</t>
  </si>
  <si>
    <t>이진영</t>
    <phoneticPr fontId="4" type="noConversion"/>
  </si>
  <si>
    <t>김중건</t>
    <phoneticPr fontId="2" type="noConversion"/>
  </si>
  <si>
    <t>윤선중</t>
  </si>
  <si>
    <t>이상민</t>
    <phoneticPr fontId="4" type="noConversion"/>
  </si>
  <si>
    <t>이구름</t>
    <phoneticPr fontId="2" type="noConversion"/>
  </si>
  <si>
    <t>박지원</t>
  </si>
  <si>
    <t>이민정</t>
    <phoneticPr fontId="4" type="noConversion"/>
  </si>
  <si>
    <t>임원이</t>
    <phoneticPr fontId="2" type="noConversion"/>
  </si>
  <si>
    <t>명노찬</t>
    <phoneticPr fontId="4" type="noConversion"/>
  </si>
  <si>
    <t>오동진</t>
    <phoneticPr fontId="4" type="noConversion"/>
  </si>
  <si>
    <t>권충수</t>
    <phoneticPr fontId="2" type="noConversion"/>
  </si>
  <si>
    <t>김영민</t>
    <phoneticPr fontId="4" type="noConversion"/>
  </si>
  <si>
    <t>서현명</t>
    <phoneticPr fontId="4" type="noConversion"/>
  </si>
  <si>
    <t>김새롬</t>
    <phoneticPr fontId="2" type="noConversion"/>
  </si>
  <si>
    <t>권창영</t>
    <phoneticPr fontId="4" type="noConversion"/>
  </si>
  <si>
    <t>마동탁</t>
    <phoneticPr fontId="4" type="noConversion"/>
  </si>
  <si>
    <t>박호영</t>
    <phoneticPr fontId="2" type="noConversion"/>
  </si>
  <si>
    <t>김은조</t>
    <phoneticPr fontId="4" type="noConversion"/>
  </si>
  <si>
    <t>설진성</t>
    <phoneticPr fontId="2" type="noConversion"/>
  </si>
  <si>
    <t>고광섭</t>
    <phoneticPr fontId="4" type="noConversion"/>
  </si>
  <si>
    <t>김영희</t>
    <phoneticPr fontId="4" type="noConversion"/>
  </si>
  <si>
    <t>강한후</t>
    <phoneticPr fontId="2" type="noConversion"/>
  </si>
  <si>
    <t>서현명</t>
    <phoneticPr fontId="4" type="noConversion"/>
  </si>
  <si>
    <t>김병준</t>
    <phoneticPr fontId="4" type="noConversion"/>
  </si>
  <si>
    <t>유벼리</t>
    <phoneticPr fontId="2" type="noConversion"/>
  </si>
  <si>
    <t>김동진</t>
    <phoneticPr fontId="4" type="noConversion"/>
  </si>
  <si>
    <t>한아름</t>
    <phoneticPr fontId="2" type="noConversion"/>
  </si>
  <si>
    <t>임종례</t>
    <phoneticPr fontId="4" type="noConversion"/>
  </si>
  <si>
    <t>임채빈</t>
    <phoneticPr fontId="2" type="noConversion"/>
  </si>
  <si>
    <t>채경찬</t>
    <phoneticPr fontId="4" type="noConversion"/>
  </si>
  <si>
    <t>고광섭</t>
    <phoneticPr fontId="4" type="noConversion"/>
  </si>
  <si>
    <t>김은소</t>
    <phoneticPr fontId="2" type="noConversion"/>
  </si>
  <si>
    <t>이찬진</t>
    <phoneticPr fontId="4" type="noConversion"/>
  </si>
  <si>
    <t>성명</t>
    <phoneticPr fontId="4" type="noConversion"/>
  </si>
  <si>
    <t>PMT</t>
    <phoneticPr fontId="2" type="noConversion"/>
  </si>
  <si>
    <t>할부기간(월)</t>
    <phoneticPr fontId="2" type="noConversion"/>
  </si>
  <si>
    <t>판매금액</t>
    <phoneticPr fontId="2" type="noConversion"/>
  </si>
  <si>
    <t>단가</t>
    <phoneticPr fontId="2" type="noConversion"/>
  </si>
  <si>
    <t>수량</t>
    <phoneticPr fontId="2" type="noConversion"/>
  </si>
  <si>
    <t>구매자</t>
    <phoneticPr fontId="2" type="noConversion"/>
  </si>
  <si>
    <t>회원코드</t>
    <phoneticPr fontId="2" type="noConversion"/>
  </si>
  <si>
    <t>[표4]</t>
    <phoneticPr fontId="4" type="noConversion"/>
  </si>
  <si>
    <t>[표3]</t>
    <phoneticPr fontId="2" type="noConversion"/>
  </si>
  <si>
    <t>[표1]</t>
    <phoneticPr fontId="4" type="noConversion"/>
  </si>
  <si>
    <t>변호사</t>
    <phoneticPr fontId="4" type="noConversion"/>
  </si>
  <si>
    <t>의사</t>
    <phoneticPr fontId="4" type="noConversion"/>
  </si>
  <si>
    <t>공무원</t>
    <phoneticPr fontId="4" type="noConversion"/>
  </si>
  <si>
    <t>회사원</t>
    <phoneticPr fontId="4" type="noConversion"/>
  </si>
  <si>
    <t>현재가치</t>
    <phoneticPr fontId="4" type="noConversion"/>
  </si>
  <si>
    <t>자영업</t>
    <phoneticPr fontId="4" type="noConversion"/>
  </si>
  <si>
    <t>월납입액</t>
    <phoneticPr fontId="4" type="noConversion"/>
  </si>
  <si>
    <t>직업</t>
    <phoneticPr fontId="4" type="noConversion"/>
  </si>
  <si>
    <t>기간(년)</t>
    <phoneticPr fontId="4" type="noConversion"/>
  </si>
  <si>
    <t>대출기간</t>
    <phoneticPr fontId="4" type="noConversion"/>
  </si>
  <si>
    <t>[표2]</t>
    <phoneticPr fontId="4" type="noConversion"/>
  </si>
  <si>
    <t>[표6]</t>
    <phoneticPr fontId="4" type="noConversion"/>
  </si>
  <si>
    <t>이율</t>
    <phoneticPr fontId="4" type="noConversion"/>
  </si>
  <si>
    <t>배진찬</t>
    <phoneticPr fontId="4" type="noConversion"/>
  </si>
  <si>
    <t>김성완</t>
    <phoneticPr fontId="2" type="noConversion"/>
  </si>
  <si>
    <t>홍민국</t>
    <phoneticPr fontId="4" type="noConversion"/>
  </si>
  <si>
    <t>[표5]</t>
    <phoneticPr fontId="4" type="noConversion"/>
  </si>
  <si>
    <t>임유승</t>
    <phoneticPr fontId="2" type="noConversion"/>
  </si>
  <si>
    <t>김숙자</t>
    <phoneticPr fontId="4" type="noConversion"/>
  </si>
  <si>
    <t>한마식</t>
    <phoneticPr fontId="2" type="noConversion"/>
  </si>
  <si>
    <t>하민지</t>
    <phoneticPr fontId="4" type="noConversion"/>
  </si>
  <si>
    <t>오덕우</t>
    <phoneticPr fontId="2" type="noConversion"/>
  </si>
  <si>
    <t>이영숙</t>
    <phoneticPr fontId="4" type="noConversion"/>
  </si>
  <si>
    <t>김솔오</t>
    <phoneticPr fontId="2" type="noConversion"/>
  </si>
  <si>
    <t>-</t>
    <phoneticPr fontId="4" type="noConversion"/>
  </si>
  <si>
    <t>배종숙</t>
    <phoneticPr fontId="4" type="noConversion"/>
  </si>
  <si>
    <t>진대준</t>
    <phoneticPr fontId="4" type="noConversion"/>
  </si>
  <si>
    <t>민병욱</t>
    <phoneticPr fontId="2" type="noConversion"/>
  </si>
  <si>
    <t>김현민</t>
    <phoneticPr fontId="4" type="noConversion"/>
  </si>
  <si>
    <t>정종수</t>
    <phoneticPr fontId="4" type="noConversion"/>
  </si>
  <si>
    <t>안대훈</t>
    <phoneticPr fontId="2" type="noConversion"/>
  </si>
  <si>
    <t>정수만</t>
    <phoneticPr fontId="4" type="noConversion"/>
  </si>
  <si>
    <t>고진웅</t>
    <phoneticPr fontId="2" type="noConversion"/>
  </si>
  <si>
    <t>이영민</t>
    <phoneticPr fontId="4" type="noConversion"/>
  </si>
  <si>
    <t>임종례</t>
    <phoneticPr fontId="4" type="noConversion"/>
  </si>
  <si>
    <t>김진상</t>
    <phoneticPr fontId="2" type="noConversion"/>
  </si>
  <si>
    <t>이찬진</t>
    <phoneticPr fontId="4" type="noConversion"/>
  </si>
  <si>
    <t>이진영</t>
    <phoneticPr fontId="4" type="noConversion"/>
  </si>
  <si>
    <t>김중건</t>
    <phoneticPr fontId="2" type="noConversion"/>
  </si>
  <si>
    <t>이상민</t>
    <phoneticPr fontId="4" type="noConversion"/>
  </si>
  <si>
    <t>이구름</t>
    <phoneticPr fontId="2" type="noConversion"/>
  </si>
  <si>
    <t>이민정</t>
    <phoneticPr fontId="4" type="noConversion"/>
  </si>
  <si>
    <t>임원이</t>
    <phoneticPr fontId="2" type="noConversion"/>
  </si>
  <si>
    <t>명노찬</t>
    <phoneticPr fontId="4" type="noConversion"/>
  </si>
  <si>
    <t>오동진</t>
    <phoneticPr fontId="4" type="noConversion"/>
  </si>
  <si>
    <t>권충수</t>
    <phoneticPr fontId="2" type="noConversion"/>
  </si>
  <si>
    <t>김영민</t>
    <phoneticPr fontId="4" type="noConversion"/>
  </si>
  <si>
    <t>김새롬</t>
    <phoneticPr fontId="2" type="noConversion"/>
  </si>
  <si>
    <t>권창영</t>
    <phoneticPr fontId="4" type="noConversion"/>
  </si>
  <si>
    <t>마동탁</t>
    <phoneticPr fontId="4" type="noConversion"/>
  </si>
  <si>
    <t>박호영</t>
    <phoneticPr fontId="2" type="noConversion"/>
  </si>
  <si>
    <t>김은조</t>
    <phoneticPr fontId="4" type="noConversion"/>
  </si>
  <si>
    <t>설진성</t>
    <phoneticPr fontId="2" type="noConversion"/>
  </si>
  <si>
    <t>유벼리</t>
    <phoneticPr fontId="2" type="noConversion"/>
  </si>
  <si>
    <t>정종수</t>
    <phoneticPr fontId="4" type="noConversion"/>
  </si>
  <si>
    <t>김동진</t>
    <phoneticPr fontId="4" type="noConversion"/>
  </si>
  <si>
    <t>한아름</t>
    <phoneticPr fontId="2" type="noConversion"/>
  </si>
  <si>
    <t>임종례</t>
    <phoneticPr fontId="4" type="noConversion"/>
  </si>
  <si>
    <t>권창영</t>
    <phoneticPr fontId="4" type="noConversion"/>
  </si>
  <si>
    <t>임채빈</t>
    <phoneticPr fontId="2" type="noConversion"/>
  </si>
  <si>
    <t>채경찬</t>
    <phoneticPr fontId="4" type="noConversion"/>
  </si>
  <si>
    <t>김은소</t>
    <phoneticPr fontId="2" type="noConversion"/>
  </si>
  <si>
    <t>월상환액</t>
    <phoneticPr fontId="4" type="noConversion"/>
  </si>
  <si>
    <t>대출금액</t>
    <phoneticPr fontId="4" type="noConversion"/>
  </si>
  <si>
    <t>대출기간</t>
    <phoneticPr fontId="4" type="noConversion"/>
  </si>
  <si>
    <t>성명</t>
    <phoneticPr fontId="4" type="noConversion"/>
  </si>
  <si>
    <t>PMT</t>
    <phoneticPr fontId="2" type="noConversion"/>
  </si>
  <si>
    <t>할부기간(월)</t>
    <phoneticPr fontId="2" type="noConversion"/>
  </si>
  <si>
    <t>판매금액</t>
    <phoneticPr fontId="2" type="noConversion"/>
  </si>
  <si>
    <t>단가</t>
    <phoneticPr fontId="2" type="noConversion"/>
  </si>
  <si>
    <t>수량</t>
    <phoneticPr fontId="2" type="noConversion"/>
  </si>
  <si>
    <t>구매자</t>
    <phoneticPr fontId="2" type="noConversion"/>
  </si>
  <si>
    <t>회원코드</t>
    <phoneticPr fontId="2" type="noConversion"/>
  </si>
  <si>
    <t>[표4]</t>
    <phoneticPr fontId="4" type="noConversion"/>
  </si>
  <si>
    <t>[표3]</t>
    <phoneticPr fontId="2" type="noConversion"/>
  </si>
  <si>
    <t>[표1]</t>
    <phoneticPr fontId="4" type="noConversion"/>
  </si>
  <si>
    <t>개</t>
  </si>
  <si>
    <t>A010</t>
  </si>
  <si>
    <t>A009</t>
  </si>
  <si>
    <t>A008</t>
  </si>
  <si>
    <t>합계</t>
    <phoneticPr fontId="4" type="noConversion"/>
  </si>
  <si>
    <t>A007</t>
  </si>
  <si>
    <t>A006</t>
  </si>
  <si>
    <t>Box</t>
  </si>
  <si>
    <t>A005</t>
  </si>
  <si>
    <t>A004</t>
  </si>
  <si>
    <t>A003</t>
  </si>
  <si>
    <t>A002</t>
  </si>
  <si>
    <t>A003</t>
    <phoneticPr fontId="4" type="noConversion"/>
  </si>
  <si>
    <t>A001</t>
    <phoneticPr fontId="4" type="noConversion"/>
  </si>
  <si>
    <t>단가</t>
  </si>
  <si>
    <t>규격</t>
  </si>
  <si>
    <t>품명</t>
  </si>
  <si>
    <t>공급가액</t>
    <phoneticPr fontId="4" type="noConversion"/>
  </si>
  <si>
    <t>수량</t>
    <phoneticPr fontId="4" type="noConversion"/>
  </si>
  <si>
    <t>규격</t>
    <phoneticPr fontId="4" type="noConversion"/>
  </si>
  <si>
    <t>품명</t>
    <phoneticPr fontId="4" type="noConversion"/>
  </si>
  <si>
    <t>번호</t>
    <phoneticPr fontId="4" type="noConversion"/>
  </si>
  <si>
    <t>제품목록</t>
    <phoneticPr fontId="4" type="noConversion"/>
  </si>
  <si>
    <t>결제방법</t>
    <phoneticPr fontId="2" type="noConversion"/>
  </si>
  <si>
    <t>`</t>
    <phoneticPr fontId="2" type="noConversion"/>
  </si>
  <si>
    <t>SM</t>
    <phoneticPr fontId="2" type="noConversion"/>
  </si>
  <si>
    <t>BW</t>
    <phoneticPr fontId="2" type="noConversion"/>
  </si>
  <si>
    <t>BW</t>
    <phoneticPr fontId="2" type="noConversion"/>
  </si>
  <si>
    <t>06</t>
    <phoneticPr fontId="2" type="noConversion"/>
  </si>
  <si>
    <t>JJ2222</t>
    <phoneticPr fontId="2" type="noConversion"/>
  </si>
  <si>
    <t>BM</t>
    <phoneticPr fontId="2" type="noConversion"/>
  </si>
  <si>
    <t>04</t>
    <phoneticPr fontId="2" type="noConversion"/>
  </si>
  <si>
    <t>SS2222</t>
    <phoneticPr fontId="2" type="noConversion"/>
  </si>
  <si>
    <t>SW</t>
    <phoneticPr fontId="2" type="noConversion"/>
  </si>
  <si>
    <t>03</t>
    <phoneticPr fontId="2" type="noConversion"/>
  </si>
  <si>
    <t>01</t>
    <phoneticPr fontId="2" type="noConversion"/>
  </si>
  <si>
    <t>SS1111</t>
    <phoneticPr fontId="2" type="noConversion"/>
  </si>
  <si>
    <t>나라카드</t>
    <phoneticPr fontId="2" type="noConversion"/>
  </si>
  <si>
    <t>모델번호</t>
    <phoneticPr fontId="2" type="noConversion"/>
  </si>
  <si>
    <t>판매금액합계</t>
    <phoneticPr fontId="2" type="noConversion"/>
  </si>
  <si>
    <t>SM</t>
    <phoneticPr fontId="2" type="noConversion"/>
  </si>
  <si>
    <t>[표6] 모델별 평균 매출액</t>
    <phoneticPr fontId="2" type="noConversion"/>
  </si>
  <si>
    <t>[표3] 물품코드별 합계</t>
    <phoneticPr fontId="2" type="noConversion"/>
  </si>
  <si>
    <t>JJ</t>
    <phoneticPr fontId="2" type="noConversion"/>
  </si>
  <si>
    <t>국외</t>
    <phoneticPr fontId="2" type="noConversion"/>
  </si>
  <si>
    <t>SS</t>
    <phoneticPr fontId="2" type="noConversion"/>
  </si>
  <si>
    <t>국내</t>
    <phoneticPr fontId="2" type="noConversion"/>
  </si>
  <si>
    <t>BM</t>
    <phoneticPr fontId="2" type="noConversion"/>
  </si>
  <si>
    <t>단가평균</t>
    <phoneticPr fontId="2" type="noConversion"/>
  </si>
  <si>
    <t>수량평균</t>
    <phoneticPr fontId="2" type="noConversion"/>
  </si>
  <si>
    <t>지역</t>
    <phoneticPr fontId="2" type="noConversion"/>
  </si>
  <si>
    <t>나라카드</t>
    <phoneticPr fontId="2" type="noConversion"/>
  </si>
  <si>
    <t>대한카드</t>
    <phoneticPr fontId="2" type="noConversion"/>
  </si>
  <si>
    <t>한국카드</t>
    <phoneticPr fontId="2" type="noConversion"/>
  </si>
  <si>
    <t>[표2] 지역별 평균</t>
    <phoneticPr fontId="2" type="noConversion"/>
  </si>
  <si>
    <t>[표5] 할부기간별 카드 사용 빈도</t>
    <phoneticPr fontId="2" type="noConversion"/>
  </si>
  <si>
    <t>JJ1111</t>
    <phoneticPr fontId="2" type="noConversion"/>
  </si>
  <si>
    <t>김성완</t>
    <phoneticPr fontId="2" type="noConversion"/>
  </si>
  <si>
    <t>SA-01</t>
    <phoneticPr fontId="2" type="noConversion"/>
  </si>
  <si>
    <t>SA-01</t>
    <phoneticPr fontId="2" type="noConversion"/>
  </si>
  <si>
    <t>SS3333</t>
    <phoneticPr fontId="2" type="noConversion"/>
  </si>
  <si>
    <t>임유승</t>
    <phoneticPr fontId="2" type="noConversion"/>
  </si>
  <si>
    <t>SW</t>
    <phoneticPr fontId="2" type="noConversion"/>
  </si>
  <si>
    <t>SA-04</t>
    <phoneticPr fontId="2" type="noConversion"/>
  </si>
  <si>
    <t>한마식</t>
    <phoneticPr fontId="2" type="noConversion"/>
  </si>
  <si>
    <t>SA-06</t>
    <phoneticPr fontId="2" type="noConversion"/>
  </si>
  <si>
    <t>민병욱</t>
    <phoneticPr fontId="2" type="noConversion"/>
  </si>
  <si>
    <t>SA-05</t>
    <phoneticPr fontId="2" type="noConversion"/>
  </si>
  <si>
    <t>안대훈</t>
    <phoneticPr fontId="2" type="noConversion"/>
  </si>
  <si>
    <t>배사공</t>
    <phoneticPr fontId="2" type="noConversion"/>
  </si>
  <si>
    <t>[표9] 코드별 나이별 평균 가입기간</t>
    <phoneticPr fontId="2" type="noConversion"/>
  </si>
  <si>
    <t>SA-03</t>
    <phoneticPr fontId="2" type="noConversion"/>
  </si>
  <si>
    <t>이구름</t>
    <phoneticPr fontId="2" type="noConversion"/>
  </si>
  <si>
    <t>SA-02</t>
    <phoneticPr fontId="2" type="noConversion"/>
  </si>
  <si>
    <t>SW</t>
    <phoneticPr fontId="2" type="noConversion"/>
  </si>
  <si>
    <t>강한후</t>
    <phoneticPr fontId="2" type="noConversion"/>
  </si>
  <si>
    <t>SM</t>
    <phoneticPr fontId="2" type="noConversion"/>
  </si>
  <si>
    <t>SS1111</t>
    <phoneticPr fontId="2" type="noConversion"/>
  </si>
  <si>
    <t>BW</t>
    <phoneticPr fontId="2" type="noConversion"/>
  </si>
  <si>
    <t>한국카드</t>
    <phoneticPr fontId="2" type="noConversion"/>
  </si>
  <si>
    <t>SA-03</t>
    <phoneticPr fontId="2" type="noConversion"/>
  </si>
  <si>
    <t>가입자수</t>
    <phoneticPr fontId="2" type="noConversion"/>
  </si>
  <si>
    <t>나이</t>
    <phoneticPr fontId="2" type="noConversion"/>
  </si>
  <si>
    <t>[표8] 나이대별 가입자수</t>
    <phoneticPr fontId="2" type="noConversion"/>
  </si>
  <si>
    <t>가입기간</t>
    <phoneticPr fontId="2" type="noConversion"/>
  </si>
  <si>
    <t>가입나이</t>
    <phoneticPr fontId="2" type="noConversion"/>
  </si>
  <si>
    <t>할부기간</t>
    <phoneticPr fontId="2" type="noConversion"/>
  </si>
  <si>
    <t>적립률</t>
    <phoneticPr fontId="2" type="noConversion"/>
  </si>
  <si>
    <t>매출액</t>
    <phoneticPr fontId="2" type="noConversion"/>
  </si>
  <si>
    <t>모델명</t>
    <phoneticPr fontId="2" type="noConversion"/>
  </si>
  <si>
    <t>물품코드</t>
    <phoneticPr fontId="2" type="noConversion"/>
  </si>
  <si>
    <t>[표7]</t>
    <phoneticPr fontId="2" type="noConversion"/>
  </si>
  <si>
    <t>[표4]</t>
    <phoneticPr fontId="2" type="noConversion"/>
  </si>
  <si>
    <t>[표1]</t>
    <phoneticPr fontId="2" type="noConversion"/>
  </si>
  <si>
    <t>06</t>
    <phoneticPr fontId="2" type="noConversion"/>
  </si>
  <si>
    <t>04</t>
    <phoneticPr fontId="2" type="noConversion"/>
  </si>
  <si>
    <t>03</t>
    <phoneticPr fontId="2" type="noConversion"/>
  </si>
  <si>
    <t>[표6] 모델별 평균 매출액</t>
    <phoneticPr fontId="2" type="noConversion"/>
  </si>
  <si>
    <t>[표3] 물품코드별 합계</t>
    <phoneticPr fontId="2" type="noConversion"/>
  </si>
  <si>
    <t>국내</t>
    <phoneticPr fontId="2" type="noConversion"/>
  </si>
  <si>
    <t>권충수</t>
    <phoneticPr fontId="2" type="noConversion"/>
  </si>
  <si>
    <t>박준혁</t>
  </si>
  <si>
    <t>김영길</t>
    <phoneticPr fontId="2" type="noConversion"/>
  </si>
  <si>
    <t>성유희</t>
    <phoneticPr fontId="4" type="noConversion"/>
  </si>
  <si>
    <t>정재익</t>
  </si>
  <si>
    <t>한우규</t>
    <phoneticPr fontId="4" type="noConversion"/>
  </si>
  <si>
    <t>황성호</t>
  </si>
  <si>
    <t>박찬훈</t>
    <phoneticPr fontId="4" type="noConversion"/>
  </si>
  <si>
    <t>김인하</t>
    <phoneticPr fontId="4" type="noConversion"/>
  </si>
  <si>
    <t>이남석</t>
    <phoneticPr fontId="2" type="noConversion"/>
  </si>
  <si>
    <t>비고</t>
    <phoneticPr fontId="2" type="noConversion"/>
  </si>
  <si>
    <t>기타</t>
    <phoneticPr fontId="2" type="noConversion"/>
  </si>
  <si>
    <t>반영점수</t>
    <phoneticPr fontId="2" type="noConversion"/>
  </si>
  <si>
    <t>[표5]</t>
    <phoneticPr fontId="2" type="noConversion"/>
  </si>
  <si>
    <t>가입상태</t>
    <phoneticPr fontId="2" type="noConversion"/>
  </si>
  <si>
    <t>미납기간</t>
    <phoneticPr fontId="2" type="noConversion"/>
  </si>
  <si>
    <t>[표2]</t>
    <phoneticPr fontId="2" type="noConversion"/>
  </si>
  <si>
    <t>기타</t>
    <phoneticPr fontId="2" type="noConversion"/>
  </si>
  <si>
    <t>[표6]</t>
    <phoneticPr fontId="2" type="noConversion"/>
  </si>
  <si>
    <t>[표4]</t>
    <phoneticPr fontId="2" type="noConversion"/>
  </si>
  <si>
    <t>[표1]</t>
    <phoneticPr fontId="2" type="noConversion"/>
  </si>
  <si>
    <t>[표3]</t>
    <phoneticPr fontId="2" type="noConversion"/>
  </si>
  <si>
    <t>[표7]</t>
    <phoneticPr fontId="2" type="noConversion"/>
  </si>
  <si>
    <t>[표8]</t>
    <phoneticPr fontId="2" type="noConversion"/>
  </si>
  <si>
    <t>구매자</t>
    <phoneticPr fontId="2" type="noConversion"/>
  </si>
  <si>
    <t>물품코드</t>
    <phoneticPr fontId="2" type="noConversion"/>
  </si>
  <si>
    <t>수량</t>
    <phoneticPr fontId="2" type="noConversion"/>
  </si>
  <si>
    <t>단가</t>
    <phoneticPr fontId="2" type="noConversion"/>
  </si>
  <si>
    <t>판매금액</t>
    <phoneticPr fontId="2" type="noConversion"/>
  </si>
  <si>
    <t>등급</t>
    <phoneticPr fontId="2" type="noConversion"/>
  </si>
  <si>
    <t>포인트점수</t>
    <phoneticPr fontId="2" type="noConversion"/>
  </si>
  <si>
    <t>성명</t>
    <phoneticPr fontId="2" type="noConversion"/>
  </si>
  <si>
    <t>행사내용</t>
    <phoneticPr fontId="2" type="noConversion"/>
  </si>
  <si>
    <t>인원</t>
    <phoneticPr fontId="2" type="noConversion"/>
  </si>
  <si>
    <t>홀이름</t>
    <phoneticPr fontId="2" type="noConversion"/>
  </si>
  <si>
    <t>번호</t>
    <phoneticPr fontId="2" type="noConversion"/>
  </si>
  <si>
    <t>지역</t>
    <phoneticPr fontId="2" type="noConversion"/>
  </si>
  <si>
    <t>코드</t>
    <phoneticPr fontId="2" type="noConversion"/>
  </si>
  <si>
    <t>강의코드</t>
    <phoneticPr fontId="2" type="noConversion"/>
  </si>
  <si>
    <t>강의년도</t>
    <phoneticPr fontId="2" type="noConversion"/>
  </si>
  <si>
    <t>김은소</t>
    <phoneticPr fontId="2" type="noConversion"/>
  </si>
  <si>
    <t>JJ1111</t>
    <phoneticPr fontId="2" type="noConversion"/>
  </si>
  <si>
    <t>정회원</t>
    <phoneticPr fontId="2" type="noConversion"/>
  </si>
  <si>
    <t>김기완</t>
    <phoneticPr fontId="2" type="noConversion"/>
  </si>
  <si>
    <t>돌잔치</t>
    <phoneticPr fontId="2" type="noConversion"/>
  </si>
  <si>
    <t>서울, 부산</t>
    <phoneticPr fontId="2" type="noConversion"/>
  </si>
  <si>
    <t>S001</t>
    <phoneticPr fontId="2" type="noConversion"/>
  </si>
  <si>
    <t>임채빈</t>
    <phoneticPr fontId="2" type="noConversion"/>
  </si>
  <si>
    <t>JJ2222</t>
    <phoneticPr fontId="2" type="noConversion"/>
  </si>
  <si>
    <t>준회원</t>
    <phoneticPr fontId="2" type="noConversion"/>
  </si>
  <si>
    <t>성정아</t>
    <phoneticPr fontId="2" type="noConversion"/>
  </si>
  <si>
    <t>기타광역시</t>
    <phoneticPr fontId="2" type="noConversion"/>
  </si>
  <si>
    <t>한아름</t>
    <phoneticPr fontId="2" type="noConversion"/>
  </si>
  <si>
    <t>SS1111</t>
    <phoneticPr fontId="2" type="noConversion"/>
  </si>
  <si>
    <t>비회원</t>
    <phoneticPr fontId="2" type="noConversion"/>
  </si>
  <si>
    <t>이기봉</t>
    <phoneticPr fontId="2" type="noConversion"/>
  </si>
  <si>
    <t>기타지역</t>
    <phoneticPr fontId="2" type="noConversion"/>
  </si>
  <si>
    <t>유벼리</t>
    <phoneticPr fontId="2" type="noConversion"/>
  </si>
  <si>
    <t>SS2222</t>
    <phoneticPr fontId="2" type="noConversion"/>
  </si>
  <si>
    <t>안산진</t>
    <phoneticPr fontId="2" type="noConversion"/>
  </si>
  <si>
    <t>강한후</t>
    <phoneticPr fontId="2" type="noConversion"/>
  </si>
  <si>
    <t>이석호</t>
    <phoneticPr fontId="2" type="noConversion"/>
  </si>
  <si>
    <t>결혼식</t>
    <phoneticPr fontId="2" type="noConversion"/>
  </si>
  <si>
    <t>설진성</t>
    <phoneticPr fontId="2" type="noConversion"/>
  </si>
  <si>
    <t>SS3333</t>
    <phoneticPr fontId="2" type="noConversion"/>
  </si>
  <si>
    <t>양미진</t>
    <phoneticPr fontId="2" type="noConversion"/>
  </si>
  <si>
    <t>박호영</t>
    <phoneticPr fontId="2" type="noConversion"/>
  </si>
  <si>
    <t>유인하</t>
    <phoneticPr fontId="2" type="noConversion"/>
  </si>
  <si>
    <t>김새롬</t>
    <phoneticPr fontId="2" type="noConversion"/>
  </si>
  <si>
    <t>권충수</t>
    <phoneticPr fontId="2" type="noConversion"/>
  </si>
  <si>
    <t>이신호</t>
    <phoneticPr fontId="2" type="noConversion"/>
  </si>
  <si>
    <t>임원이</t>
    <phoneticPr fontId="2" type="noConversion"/>
  </si>
  <si>
    <t>최익현</t>
    <phoneticPr fontId="2" type="noConversion"/>
  </si>
  <si>
    <t>이구름</t>
    <phoneticPr fontId="2" type="noConversion"/>
  </si>
  <si>
    <t>김중건</t>
    <phoneticPr fontId="2" type="noConversion"/>
  </si>
  <si>
    <t>[표4]</t>
    <phoneticPr fontId="2" type="noConversion"/>
  </si>
  <si>
    <t>배사공</t>
    <phoneticPr fontId="2" type="noConversion"/>
  </si>
  <si>
    <t>김진상</t>
    <phoneticPr fontId="2" type="noConversion"/>
  </si>
  <si>
    <t>고진웅</t>
    <phoneticPr fontId="2" type="noConversion"/>
  </si>
  <si>
    <t>crystal hall</t>
    <phoneticPr fontId="2" type="noConversion"/>
  </si>
  <si>
    <t xml:space="preserve">diamond hall </t>
    <phoneticPr fontId="2" type="noConversion"/>
  </si>
  <si>
    <t xml:space="preserve">ruby hall </t>
    <phoneticPr fontId="2" type="noConversion"/>
  </si>
  <si>
    <t>안대훈</t>
    <phoneticPr fontId="2" type="noConversion"/>
  </si>
  <si>
    <t xml:space="preserve">emerald hall </t>
    <phoneticPr fontId="2" type="noConversion"/>
  </si>
  <si>
    <t>민병욱</t>
    <phoneticPr fontId="2" type="noConversion"/>
  </si>
  <si>
    <t>김솔오</t>
    <phoneticPr fontId="2" type="noConversion"/>
  </si>
  <si>
    <t>[표5]</t>
    <phoneticPr fontId="2" type="noConversion"/>
  </si>
  <si>
    <t>오덕우</t>
    <phoneticPr fontId="2" type="noConversion"/>
  </si>
  <si>
    <t>이름</t>
    <phoneticPr fontId="2" type="noConversion"/>
  </si>
  <si>
    <t>학생코드</t>
    <phoneticPr fontId="2" type="noConversion"/>
  </si>
  <si>
    <t>반-번호</t>
    <phoneticPr fontId="2" type="noConversion"/>
  </si>
  <si>
    <t>한마식</t>
    <phoneticPr fontId="2" type="noConversion"/>
  </si>
  <si>
    <t>이민정</t>
    <phoneticPr fontId="2" type="noConversion"/>
  </si>
  <si>
    <t>J1009021</t>
    <phoneticPr fontId="2" type="noConversion"/>
  </si>
  <si>
    <t>임유승</t>
    <phoneticPr fontId="2" type="noConversion"/>
  </si>
  <si>
    <t>강호민</t>
    <phoneticPr fontId="2" type="noConversion"/>
  </si>
  <si>
    <t>J2012019</t>
    <phoneticPr fontId="2" type="noConversion"/>
  </si>
  <si>
    <t>김성완</t>
    <phoneticPr fontId="2" type="noConversion"/>
  </si>
  <si>
    <t>김영길</t>
    <phoneticPr fontId="2" type="noConversion"/>
  </si>
  <si>
    <t>J1010003</t>
    <phoneticPr fontId="2" type="noConversion"/>
  </si>
  <si>
    <t>민호선</t>
    <phoneticPr fontId="2" type="noConversion"/>
  </si>
  <si>
    <t>J1007029</t>
    <phoneticPr fontId="2" type="noConversion"/>
  </si>
  <si>
    <t>[표2] 할인율표</t>
    <phoneticPr fontId="2" type="noConversion"/>
  </si>
  <si>
    <t>김종희</t>
    <phoneticPr fontId="2" type="noConversion"/>
  </si>
  <si>
    <t>J2013031</t>
    <phoneticPr fontId="2" type="noConversion"/>
  </si>
  <si>
    <t>[표6]</t>
    <phoneticPr fontId="2" type="noConversion"/>
  </si>
  <si>
    <t>김경지</t>
    <phoneticPr fontId="2" type="noConversion"/>
  </si>
  <si>
    <t>JJ1111</t>
    <phoneticPr fontId="2" type="noConversion"/>
  </si>
  <si>
    <t>준회원</t>
    <phoneticPr fontId="2" type="noConversion"/>
  </si>
  <si>
    <t>김솔오</t>
    <phoneticPr fontId="2" type="noConversion"/>
  </si>
  <si>
    <t>JJ2222</t>
    <phoneticPr fontId="2" type="noConversion"/>
  </si>
  <si>
    <t>정회원</t>
    <phoneticPr fontId="2" type="noConversion"/>
  </si>
  <si>
    <t>[표5]</t>
    <phoneticPr fontId="2" type="noConversion"/>
  </si>
  <si>
    <t>기타지역</t>
    <phoneticPr fontId="2" type="noConversion"/>
  </si>
  <si>
    <t>오덕우</t>
    <phoneticPr fontId="2" type="noConversion"/>
  </si>
  <si>
    <t>이름</t>
    <phoneticPr fontId="2" type="noConversion"/>
  </si>
  <si>
    <t>학생코드</t>
    <phoneticPr fontId="2" type="noConversion"/>
  </si>
  <si>
    <t>반-번호</t>
    <phoneticPr fontId="2" type="noConversion"/>
  </si>
  <si>
    <t>서울, 부산</t>
    <phoneticPr fontId="2" type="noConversion"/>
  </si>
  <si>
    <t>한마식</t>
    <phoneticPr fontId="2" type="noConversion"/>
  </si>
  <si>
    <t>이민정</t>
    <phoneticPr fontId="2" type="noConversion"/>
  </si>
  <si>
    <t>J1009021</t>
    <phoneticPr fontId="2" type="noConversion"/>
  </si>
  <si>
    <t>기타광역시</t>
    <phoneticPr fontId="2" type="noConversion"/>
  </si>
  <si>
    <t>임유승</t>
    <phoneticPr fontId="2" type="noConversion"/>
  </si>
  <si>
    <t>SS3333</t>
    <phoneticPr fontId="2" type="noConversion"/>
  </si>
  <si>
    <t>강호민</t>
    <phoneticPr fontId="2" type="noConversion"/>
  </si>
  <si>
    <t>J2012019</t>
    <phoneticPr fontId="2" type="noConversion"/>
  </si>
  <si>
    <t>김성완</t>
    <phoneticPr fontId="2" type="noConversion"/>
  </si>
  <si>
    <t>김영길</t>
    <phoneticPr fontId="2" type="noConversion"/>
  </si>
  <si>
    <t>J1010003</t>
    <phoneticPr fontId="2" type="noConversion"/>
  </si>
  <si>
    <t>민호선</t>
    <phoneticPr fontId="2" type="noConversion"/>
  </si>
  <si>
    <t>J1007029</t>
    <phoneticPr fontId="2" type="noConversion"/>
  </si>
  <si>
    <t>[표2] 할인율표</t>
    <phoneticPr fontId="2" type="noConversion"/>
  </si>
  <si>
    <t>김종희</t>
    <phoneticPr fontId="2" type="noConversion"/>
  </si>
  <si>
    <t>J2013031</t>
    <phoneticPr fontId="2" type="noConversion"/>
  </si>
  <si>
    <t>수량</t>
    <phoneticPr fontId="2" type="noConversion"/>
  </si>
  <si>
    <t>비회원</t>
    <phoneticPr fontId="2" type="noConversion"/>
  </si>
  <si>
    <t>[표6]</t>
    <phoneticPr fontId="2" type="noConversion"/>
  </si>
  <si>
    <t>주문번호</t>
    <phoneticPr fontId="2" type="noConversion"/>
  </si>
  <si>
    <t>주문일</t>
    <phoneticPr fontId="2" type="noConversion"/>
  </si>
  <si>
    <t>주문금액</t>
    <phoneticPr fontId="2" type="noConversion"/>
  </si>
  <si>
    <t>주문요일</t>
    <phoneticPr fontId="2" type="noConversion"/>
  </si>
  <si>
    <t>사원코드</t>
    <phoneticPr fontId="2" type="noConversion"/>
  </si>
  <si>
    <t>직위</t>
    <phoneticPr fontId="2" type="noConversion"/>
  </si>
  <si>
    <t>P-101</t>
    <phoneticPr fontId="2" type="noConversion"/>
  </si>
  <si>
    <t>E-301</t>
    <phoneticPr fontId="2" type="noConversion"/>
  </si>
  <si>
    <t>B-501</t>
    <phoneticPr fontId="2" type="noConversion"/>
  </si>
  <si>
    <t>P-103</t>
    <phoneticPr fontId="2" type="noConversion"/>
  </si>
  <si>
    <t>B-503</t>
    <phoneticPr fontId="2" type="noConversion"/>
  </si>
  <si>
    <t>B-504</t>
    <phoneticPr fontId="2" type="noConversion"/>
  </si>
  <si>
    <t>E-303</t>
    <phoneticPr fontId="2" type="noConversion"/>
  </si>
  <si>
    <t>P-104</t>
    <phoneticPr fontId="2" type="noConversion"/>
  </si>
  <si>
    <t>납부방법</t>
    <phoneticPr fontId="2" type="noConversion"/>
  </si>
  <si>
    <t>가상계좌</t>
    <phoneticPr fontId="2" type="noConversion"/>
  </si>
  <si>
    <t>납부기한</t>
    <phoneticPr fontId="2" type="noConversion"/>
  </si>
  <si>
    <t>신용카드</t>
    <phoneticPr fontId="2" type="noConversion"/>
  </si>
  <si>
    <t>은행납부</t>
    <phoneticPr fontId="2" type="noConversion"/>
  </si>
  <si>
    <t>납부번호</t>
    <phoneticPr fontId="2" type="noConversion"/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</si>
  <si>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</si>
  <si>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</si>
  <si>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</si>
  <si>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</si>
  <si>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</si>
  <si>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</si>
  <si>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</si>
  <si>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</si>
  <si>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</si>
  <si>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분류</t>
    <phoneticPr fontId="2" type="noConversion"/>
  </si>
  <si>
    <t>평가1</t>
    <phoneticPr fontId="2" type="noConversion"/>
  </si>
  <si>
    <t>평가2</t>
    <phoneticPr fontId="2" type="noConversion"/>
  </si>
  <si>
    <t>포인트</t>
    <phoneticPr fontId="2" type="noConversion"/>
  </si>
  <si>
    <t>C001</t>
    <phoneticPr fontId="2" type="noConversion"/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</si>
  <si>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</si>
  <si>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</si>
  <si>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</si>
  <si>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</si>
  <si>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</si>
  <si>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</si>
  <si>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</si>
  <si>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</si>
  <si>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</si>
  <si>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회원번호</t>
    <phoneticPr fontId="2" type="noConversion"/>
  </si>
  <si>
    <t>BM51</t>
    <phoneticPr fontId="2" type="noConversion"/>
  </si>
  <si>
    <t>SR11</t>
    <phoneticPr fontId="2" type="noConversion"/>
  </si>
  <si>
    <t>SW15</t>
    <phoneticPr fontId="2" type="noConversion"/>
  </si>
  <si>
    <t>SW16</t>
    <phoneticPr fontId="2" type="noConversion"/>
  </si>
  <si>
    <t>SR19</t>
    <phoneticPr fontId="2" type="noConversion"/>
  </si>
  <si>
    <t>SR22</t>
    <phoneticPr fontId="2" type="noConversion"/>
  </si>
  <si>
    <t>SW29</t>
    <phoneticPr fontId="2" type="noConversion"/>
  </si>
  <si>
    <t>BM55</t>
    <phoneticPr fontId="2" type="noConversion"/>
  </si>
  <si>
    <t>BR11</t>
    <phoneticPr fontId="2" type="noConversion"/>
  </si>
  <si>
    <t>BR09</t>
    <phoneticPr fontId="2" type="noConversion"/>
  </si>
  <si>
    <t>평가점수</t>
    <phoneticPr fontId="2" type="noConversion"/>
  </si>
  <si>
    <t>출석</t>
    <phoneticPr fontId="2" type="noConversion"/>
  </si>
  <si>
    <t>수행평가</t>
    <phoneticPr fontId="2" type="noConversion"/>
  </si>
  <si>
    <t>시험성적</t>
    <phoneticPr fontId="2" type="noConversion"/>
  </si>
  <si>
    <t>세대</t>
    <phoneticPr fontId="2" type="noConversion"/>
  </si>
  <si>
    <t>전기량</t>
    <phoneticPr fontId="2" type="noConversion"/>
  </si>
  <si>
    <t>그래프</t>
    <phoneticPr fontId="2" type="noConversion"/>
  </si>
  <si>
    <t>세대별 전기 사용량</t>
    <phoneticPr fontId="2" type="noConversion"/>
  </si>
  <si>
    <t>응시번호</t>
    <phoneticPr fontId="2" type="noConversion"/>
  </si>
  <si>
    <t>실기</t>
    <phoneticPr fontId="2" type="noConversion"/>
  </si>
  <si>
    <t>필기</t>
    <phoneticPr fontId="2" type="noConversion"/>
  </si>
  <si>
    <t>면접</t>
    <phoneticPr fontId="2" type="noConversion"/>
  </si>
  <si>
    <t>응시날짜</t>
    <phoneticPr fontId="2" type="noConversion"/>
  </si>
  <si>
    <t>2025.05.03</t>
  </si>
  <si>
    <t>2025.05.05</t>
  </si>
  <si>
    <t>2025.05.02</t>
  </si>
  <si>
    <t>2025.05.15</t>
  </si>
  <si>
    <t>2025.05.10</t>
  </si>
  <si>
    <t>2025.05.30</t>
  </si>
  <si>
    <t>2024.05.15</t>
  </si>
  <si>
    <t>2024.05.30</t>
  </si>
  <si>
    <t>응시자</t>
    <phoneticPr fontId="2" type="noConversion"/>
  </si>
  <si>
    <t>전월 전기량</t>
    <phoneticPr fontId="2" type="noConversion"/>
  </si>
  <si>
    <t>필기점수</t>
    <phoneticPr fontId="2" type="noConversion"/>
  </si>
  <si>
    <t>백분위</t>
    <phoneticPr fontId="2" type="noConversion"/>
  </si>
  <si>
    <t>성적</t>
    <phoneticPr fontId="2" type="noConversion"/>
  </si>
  <si>
    <t>필기 시험 결과</t>
    <phoneticPr fontId="2" type="noConversion"/>
  </si>
  <si>
    <t>소속</t>
    <phoneticPr fontId="2" type="noConversion"/>
  </si>
  <si>
    <t>간접경비</t>
    <phoneticPr fontId="2" type="noConversion"/>
  </si>
  <si>
    <t>보조경비</t>
    <phoneticPr fontId="2" type="noConversion"/>
  </si>
  <si>
    <t>송파1팀</t>
    <phoneticPr fontId="2" type="noConversion"/>
  </si>
  <si>
    <t>팀</t>
    <phoneticPr fontId="2" type="noConversion"/>
  </si>
  <si>
    <t>기본보조경비</t>
    <phoneticPr fontId="2" type="noConversion"/>
  </si>
  <si>
    <t>지점별 경비 지급</t>
    <phoneticPr fontId="2" type="noConversion"/>
  </si>
  <si>
    <t>서초1팀</t>
    <phoneticPr fontId="2" type="noConversion"/>
  </si>
  <si>
    <t>서초2팀</t>
  </si>
  <si>
    <t>강남1팀</t>
    <phoneticPr fontId="2" type="noConversion"/>
  </si>
  <si>
    <t>강남2팀</t>
  </si>
  <si>
    <t>송파2팀</t>
  </si>
  <si>
    <t>양재1팀</t>
    <phoneticPr fontId="2" type="noConversion"/>
  </si>
  <si>
    <t>양재2팀</t>
  </si>
  <si>
    <t>동작1팀</t>
    <phoneticPr fontId="2" type="noConversion"/>
  </si>
  <si>
    <t>동작2팀</t>
  </si>
  <si>
    <t>상품명</t>
    <phoneticPr fontId="2" type="noConversion"/>
  </si>
  <si>
    <t>사이즈</t>
    <phoneticPr fontId="2" type="noConversion"/>
  </si>
  <si>
    <t>제품상태</t>
    <phoneticPr fontId="2" type="noConversion"/>
  </si>
  <si>
    <t>맛</t>
    <phoneticPr fontId="2" type="noConversion"/>
  </si>
  <si>
    <t>포장상태</t>
    <phoneticPr fontId="2" type="noConversion"/>
  </si>
  <si>
    <t>발표</t>
    <phoneticPr fontId="2" type="noConversion"/>
  </si>
  <si>
    <t>보고서</t>
    <phoneticPr fontId="2" type="noConversion"/>
  </si>
  <si>
    <t>교수평가</t>
    <phoneticPr fontId="2" type="noConversion"/>
  </si>
  <si>
    <t>동료평가</t>
    <phoneticPr fontId="2" type="noConversion"/>
  </si>
  <si>
    <t>평가결과</t>
    <phoneticPr fontId="2" type="noConversion"/>
  </si>
  <si>
    <t>S</t>
    <phoneticPr fontId="2" type="noConversion"/>
  </si>
  <si>
    <t>M</t>
    <phoneticPr fontId="2" type="noConversion"/>
  </si>
  <si>
    <t>L</t>
    <phoneticPr fontId="2" type="noConversion"/>
  </si>
  <si>
    <t>H</t>
    <phoneticPr fontId="2" type="noConversion"/>
  </si>
  <si>
    <t>평가기준</t>
    <phoneticPr fontId="2" type="noConversion"/>
  </si>
  <si>
    <t>가중치</t>
    <phoneticPr fontId="2" type="noConversion"/>
  </si>
  <si>
    <t>평가항목</t>
    <phoneticPr fontId="2" type="noConversion"/>
  </si>
  <si>
    <t>예상월세</t>
    <phoneticPr fontId="2" type="noConversion"/>
  </si>
  <si>
    <t>10년후월세가치</t>
    <phoneticPr fontId="4" type="noConversion"/>
  </si>
  <si>
    <t>매매가</t>
    <phoneticPr fontId="2" type="noConversion"/>
  </si>
  <si>
    <t>월불입액</t>
    <phoneticPr fontId="4" type="noConversion"/>
  </si>
  <si>
    <t>세목</t>
    <phoneticPr fontId="2" type="noConversion"/>
  </si>
  <si>
    <t>주택 취등록세</t>
    <phoneticPr fontId="2" type="noConversion"/>
  </si>
  <si>
    <t>불법주차과태료</t>
    <phoneticPr fontId="2" type="noConversion"/>
  </si>
  <si>
    <t>주민세 개인분</t>
    <phoneticPr fontId="2" type="noConversion"/>
  </si>
  <si>
    <t>주택재산세</t>
    <phoneticPr fontId="2" type="noConversion"/>
  </si>
  <si>
    <t>과세대상</t>
    <phoneticPr fontId="4" type="noConversion"/>
  </si>
  <si>
    <t>납부코드</t>
    <phoneticPr fontId="2" type="noConversion"/>
  </si>
  <si>
    <t>취등록세(자동차)</t>
    <phoneticPr fontId="2" type="noConversion"/>
  </si>
  <si>
    <t>ID</t>
    <phoneticPr fontId="2" type="noConversion"/>
  </si>
  <si>
    <t>변경 ID</t>
    <phoneticPr fontId="2" type="noConversion"/>
  </si>
  <si>
    <t>TS20248818R</t>
  </si>
  <si>
    <t>TS20248555R</t>
  </si>
  <si>
    <t>PS20244360R</t>
  </si>
  <si>
    <t>PS20242576R</t>
  </si>
  <si>
    <t>PS20244326R</t>
  </si>
  <si>
    <t>QS20243770R</t>
  </si>
  <si>
    <t>QS20246813R</t>
  </si>
  <si>
    <t>QS20241834R</t>
  </si>
  <si>
    <t>PS20251709C</t>
  </si>
  <si>
    <t>PS20252819C</t>
  </si>
  <si>
    <t>TS20256472C</t>
  </si>
  <si>
    <t>QS20255349C</t>
  </si>
  <si>
    <t>QS20252319C</t>
  </si>
  <si>
    <t>PS20252744C</t>
  </si>
  <si>
    <t>QS20255155C</t>
  </si>
  <si>
    <t>PS20257761C</t>
  </si>
  <si>
    <t>출석일수</t>
    <phoneticPr fontId="2" type="noConversion"/>
  </si>
  <si>
    <t>결석일수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</si>
  <si>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</si>
  <si>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</si>
  <si>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</si>
  <si>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수강평가</t>
    <phoneticPr fontId="2" type="noConversion"/>
  </si>
  <si>
    <t>수강료할인율</t>
    <phoneticPr fontId="2" type="noConversion"/>
  </si>
  <si>
    <t>목표</t>
    <phoneticPr fontId="2" type="noConversion"/>
  </si>
  <si>
    <t>실적</t>
    <phoneticPr fontId="2" type="noConversion"/>
  </si>
  <si>
    <t>직접경비</t>
    <phoneticPr fontId="2" type="noConversion"/>
  </si>
  <si>
    <t>달성률</t>
    <phoneticPr fontId="2" type="noConversion"/>
  </si>
  <si>
    <t>우면1팀</t>
    <phoneticPr fontId="2" type="noConversion"/>
  </si>
  <si>
    <t>백도소형</t>
    <phoneticPr fontId="2" type="noConversion"/>
  </si>
  <si>
    <t>황도소형</t>
    <phoneticPr fontId="2" type="noConversion"/>
  </si>
  <si>
    <t>천도소형</t>
    <phoneticPr fontId="2" type="noConversion"/>
  </si>
  <si>
    <t>납작소형</t>
    <phoneticPr fontId="2" type="noConversion"/>
  </si>
  <si>
    <t>N</t>
    <phoneticPr fontId="2" type="noConversion"/>
  </si>
  <si>
    <t>백도중형</t>
    <phoneticPr fontId="2" type="noConversion"/>
  </si>
  <si>
    <t>황도중형</t>
    <phoneticPr fontId="2" type="noConversion"/>
  </si>
  <si>
    <t>천도중형</t>
    <phoneticPr fontId="2" type="noConversion"/>
  </si>
  <si>
    <t>납작중형</t>
    <phoneticPr fontId="2" type="noConversion"/>
  </si>
  <si>
    <t>Y</t>
    <phoneticPr fontId="2" type="noConversion"/>
  </si>
  <si>
    <t>백도대형</t>
    <phoneticPr fontId="2" type="noConversion"/>
  </si>
  <si>
    <t>황도대형</t>
    <phoneticPr fontId="2" type="noConversion"/>
  </si>
  <si>
    <t>천도대형</t>
    <phoneticPr fontId="2" type="noConversion"/>
  </si>
  <si>
    <t>납작대형</t>
    <phoneticPr fontId="2" type="noConversion"/>
  </si>
  <si>
    <t>B3L</t>
    <phoneticPr fontId="2" type="noConversion"/>
  </si>
  <si>
    <t>H2S</t>
    <phoneticPr fontId="2" type="noConversion"/>
  </si>
  <si>
    <t>N1L</t>
    <phoneticPr fontId="2" type="noConversion"/>
  </si>
  <si>
    <t>Y5L</t>
    <phoneticPr fontId="2" type="noConversion"/>
  </si>
  <si>
    <t>B2L</t>
    <phoneticPr fontId="2" type="noConversion"/>
  </si>
  <si>
    <t>Y4M</t>
    <phoneticPr fontId="2" type="noConversion"/>
  </si>
  <si>
    <t>H2L</t>
    <phoneticPr fontId="2" type="noConversion"/>
  </si>
  <si>
    <t>H6S</t>
    <phoneticPr fontId="2" type="noConversion"/>
  </si>
  <si>
    <t>B2S</t>
    <phoneticPr fontId="2" type="noConversion"/>
  </si>
  <si>
    <t>N5M</t>
    <phoneticPr fontId="2" type="noConversion"/>
  </si>
  <si>
    <t>Y1M</t>
    <phoneticPr fontId="2" type="noConversion"/>
  </si>
  <si>
    <t>A반</t>
    <phoneticPr fontId="2" type="noConversion"/>
  </si>
  <si>
    <t>B반</t>
    <phoneticPr fontId="2" type="noConversion"/>
  </si>
  <si>
    <t>C반</t>
    <phoneticPr fontId="2" type="noConversion"/>
  </si>
  <si>
    <t>평가반</t>
    <phoneticPr fontId="2" type="noConversion"/>
  </si>
  <si>
    <t>탈락</t>
    <phoneticPr fontId="2" type="noConversion"/>
  </si>
  <si>
    <t>통과</t>
    <phoneticPr fontId="2" type="noConversion"/>
  </si>
  <si>
    <t>우수성적</t>
    <phoneticPr fontId="2" type="noConversion"/>
  </si>
  <si>
    <t>최종PS지급률</t>
    <phoneticPr fontId="2" type="noConversion"/>
  </si>
  <si>
    <t>PS지급률</t>
    <phoneticPr fontId="2" type="noConversion"/>
  </si>
  <si>
    <t>순위</t>
    <phoneticPr fontId="2" type="noConversion"/>
  </si>
  <si>
    <t>관리번호</t>
  </si>
  <si>
    <t>건물번호</t>
  </si>
  <si>
    <t>주차대수</t>
    <phoneticPr fontId="2" type="noConversion"/>
  </si>
  <si>
    <t>건물번호</t>
    <phoneticPr fontId="2" type="noConversion"/>
  </si>
  <si>
    <t>법정동</t>
    <phoneticPr fontId="2" type="noConversion"/>
  </si>
  <si>
    <t>관리번호</t>
    <phoneticPr fontId="2" type="noConversion"/>
  </si>
  <si>
    <t>공기업</t>
    <phoneticPr fontId="2" type="noConversion"/>
  </si>
  <si>
    <t>사기업</t>
    <phoneticPr fontId="2" type="noConversion"/>
  </si>
  <si>
    <t>리뷰번호</t>
    <phoneticPr fontId="2" type="noConversion"/>
  </si>
  <si>
    <t>제품상태 점수분포</t>
    <phoneticPr fontId="2" type="noConversion"/>
  </si>
  <si>
    <t>리뷰수</t>
    <phoneticPr fontId="2" type="noConversion"/>
  </si>
  <si>
    <t>사진</t>
    <phoneticPr fontId="2" type="noConversion"/>
  </si>
  <si>
    <t>무</t>
  </si>
  <si>
    <t>유</t>
  </si>
  <si>
    <t>무</t>
    <phoneticPr fontId="2" type="noConversion"/>
  </si>
  <si>
    <t>사진유무</t>
    <phoneticPr fontId="2" type="noConversion"/>
  </si>
  <si>
    <t>상공</t>
    <phoneticPr fontId="2" type="noConversion"/>
  </si>
  <si>
    <t>유</t>
    <phoneticPr fontId="2" type="noConversion"/>
  </si>
  <si>
    <t>[표11]</t>
    <phoneticPr fontId="2" type="noConversion"/>
  </si>
  <si>
    <t>평가3</t>
    <phoneticPr fontId="2" type="noConversion"/>
  </si>
  <si>
    <t>최미라</t>
    <phoneticPr fontId="2" type="noConversion"/>
  </si>
  <si>
    <t>김병훈</t>
    <phoneticPr fontId="4" type="noConversion"/>
  </si>
  <si>
    <t>나태후</t>
    <phoneticPr fontId="4" type="noConversion"/>
  </si>
  <si>
    <t>이민수</t>
    <phoneticPr fontId="4" type="noConversion"/>
  </si>
  <si>
    <t>BG0-001</t>
    <phoneticPr fontId="2" type="noConversion"/>
  </si>
  <si>
    <t>BG0-002</t>
  </si>
  <si>
    <t>BG0-003</t>
  </si>
  <si>
    <t>BG0-004</t>
  </si>
  <si>
    <t>BG0-005</t>
  </si>
  <si>
    <t>BG0-006</t>
  </si>
  <si>
    <t>BG0-007</t>
  </si>
  <si>
    <t>BG0-008</t>
  </si>
  <si>
    <t>BG0-009</t>
  </si>
  <si>
    <t>BG0-010</t>
  </si>
  <si>
    <t>BG0-011</t>
  </si>
  <si>
    <t>BG0-012</t>
  </si>
  <si>
    <t>BG0-013</t>
  </si>
  <si>
    <t>BG0-014</t>
  </si>
  <si>
    <t>BG0-015</t>
  </si>
  <si>
    <t>우이동</t>
    <phoneticPr fontId="2" type="noConversion"/>
  </si>
  <si>
    <t>수유동</t>
    <phoneticPr fontId="2" type="noConversion"/>
  </si>
  <si>
    <t>번동</t>
    <phoneticPr fontId="2" type="noConversion"/>
  </si>
  <si>
    <t>미아동</t>
    <phoneticPr fontId="2" type="noConversion"/>
  </si>
  <si>
    <t>우이동</t>
    <phoneticPr fontId="4" type="noConversion"/>
  </si>
  <si>
    <t>수유동</t>
    <phoneticPr fontId="4" type="noConversion"/>
  </si>
  <si>
    <t>미아동</t>
    <phoneticPr fontId="4" type="noConversion"/>
  </si>
  <si>
    <t>번동</t>
    <phoneticPr fontId="4" type="noConversion"/>
  </si>
  <si>
    <t>강북구-01</t>
    <phoneticPr fontId="2" type="noConversion"/>
  </si>
  <si>
    <t>강북구-02</t>
  </si>
  <si>
    <t>강북구-03</t>
  </si>
  <si>
    <t>강북구-04</t>
  </si>
  <si>
    <t>강북구-05</t>
  </si>
  <si>
    <t>상위 1~3위</t>
  </si>
  <si>
    <t>주차수 평균</t>
    <phoneticPr fontId="2" type="noConversion"/>
  </si>
  <si>
    <t>2024.05.01</t>
  </si>
  <si>
    <t>2024.05.02</t>
  </si>
  <si>
    <t>2023.05.03</t>
  </si>
  <si>
    <t>2025.05.04</t>
  </si>
  <si>
    <t>2024.05.03</t>
    <phoneticPr fontId="2" type="noConversion"/>
  </si>
  <si>
    <t>응시일자</t>
    <phoneticPr fontId="2" type="noConversion"/>
  </si>
  <si>
    <t>N2L</t>
    <phoneticPr fontId="2" type="noConversion"/>
  </si>
  <si>
    <t>H4S</t>
    <phoneticPr fontId="2" type="noConversion"/>
  </si>
  <si>
    <t>Y3S</t>
    <phoneticPr fontId="2" type="noConversion"/>
  </si>
  <si>
    <t>RV-01</t>
    <phoneticPr fontId="2" type="noConversion"/>
  </si>
  <si>
    <t>RV-02</t>
  </si>
  <si>
    <t>RV-03</t>
  </si>
  <si>
    <t>RV-04</t>
  </si>
  <si>
    <t>RV-05</t>
  </si>
  <si>
    <t>RV-06</t>
  </si>
  <si>
    <t>RV-07</t>
  </si>
  <si>
    <t>RV-08</t>
  </si>
  <si>
    <t>RV-09</t>
  </si>
  <si>
    <t>RV-10</t>
  </si>
  <si>
    <t>RV-11</t>
  </si>
  <si>
    <t>RV-12</t>
  </si>
  <si>
    <t>RV-13</t>
  </si>
  <si>
    <t>RV-14</t>
  </si>
  <si>
    <t>RV-15</t>
  </si>
  <si>
    <t>하나</t>
    <phoneticPr fontId="2" type="noConversion"/>
  </si>
  <si>
    <t>하나마트 부천</t>
    <phoneticPr fontId="2" type="noConversion"/>
  </si>
  <si>
    <t>하나마트 동탄</t>
    <phoneticPr fontId="2" type="noConversion"/>
  </si>
  <si>
    <t>하나마트 분당</t>
    <phoneticPr fontId="2" type="noConversion"/>
  </si>
  <si>
    <t>상공마트 강동</t>
    <phoneticPr fontId="2" type="noConversion"/>
  </si>
  <si>
    <t>상공마트 일산</t>
    <phoneticPr fontId="2" type="noConversion"/>
  </si>
  <si>
    <t>하나마트 의왕</t>
    <phoneticPr fontId="2" type="noConversion"/>
  </si>
  <si>
    <t>상공마트 수원</t>
    <phoneticPr fontId="2" type="noConversion"/>
  </si>
  <si>
    <t>상공마트 안산</t>
    <phoneticPr fontId="2" type="noConversion"/>
  </si>
  <si>
    <t>상공마트 성남</t>
    <phoneticPr fontId="2" type="noConversion"/>
  </si>
  <si>
    <t>상공마트 강서</t>
    <phoneticPr fontId="2" type="noConversion"/>
  </si>
  <si>
    <t>하나마트 관악</t>
    <phoneticPr fontId="2" type="noConversion"/>
  </si>
  <si>
    <t>하나마트 양재</t>
    <phoneticPr fontId="2" type="noConversion"/>
  </si>
  <si>
    <t>상공마트 인천</t>
    <phoneticPr fontId="2" type="noConversion"/>
  </si>
  <si>
    <t>하나마트 대구</t>
    <phoneticPr fontId="2" type="noConversion"/>
  </si>
  <si>
    <t>하나마트 안성</t>
    <phoneticPr fontId="2" type="noConversion"/>
  </si>
  <si>
    <t>판매처</t>
    <phoneticPr fontId="2" type="noConversion"/>
  </si>
  <si>
    <t>만족도</t>
    <phoneticPr fontId="2" type="noConversion"/>
  </si>
  <si>
    <t>과일코드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</si>
</sst>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mm&quot;월&quot;\ dd&quot;일&quot;"/>
    <numFmt numFmtId="178" formatCode="0&quot;㎡&quot;"/>
    <numFmt numFmtId="179" formatCode="0&quot;㎡ 이상&quot;"/>
    <numFmt numFmtId="180" formatCode="General&quot; 이상&quot;"/>
    <numFmt numFmtId="181" formatCode="General&quot; 미만&quot;"/>
    <numFmt numFmtId="182" formatCode="General\ &quot;미만&quot;"/>
    <numFmt numFmtId="183" formatCode="0\ &quot;세&quot;"/>
    <numFmt numFmtId="184" formatCode="General&quot;개&quot;&quot;월&quot;"/>
    <numFmt numFmtId="185" formatCode="0.00_ "/>
    <numFmt numFmtId="186" formatCode="0&quot;세 미만&quot;"/>
    <numFmt numFmtId="187" formatCode="0&quot;세 이상&quot;"/>
    <numFmt numFmtId="188" formatCode="\ 0&quot;세&quot;"/>
    <numFmt numFmtId="189" formatCode="0&quot;세 ~&quot;"/>
    <numFmt numFmtId="190" formatCode="0.0_ "/>
    <numFmt numFmtId="191" formatCode="0_ "/>
    <numFmt numFmtId="192" formatCode="#,##0_);[Red]\(#,##0\)"/>
    <numFmt numFmtId="193" formatCode="0&quot;점&quot;\ &quot;이&quot;&quot;상&quot;"/>
    <numFmt numFmtId="194" formatCode="0&quot;점&quot;\ &quot;미&quot;&quot;만&quot;"/>
    <numFmt numFmtId="195" formatCode="0&quot;점&quot;&quot;이&quot;&quot;상&quot;"/>
    <numFmt numFmtId="196" formatCode="#,##0_ "/>
    <numFmt numFmtId="197" formatCode="0%&quot;이상&quot;"/>
    <numFmt numFmtId="198" formatCode="0&quot;이&quot;&quot;하&quot;"/>
    <numFmt numFmtId="199" formatCode="0&quot;초과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color rgb="FF33333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0" fontId="16" fillId="0" borderId="0">
      <alignment vertical="center"/>
    </xf>
    <xf numFmtId="41" fontId="16" fillId="0" borderId="0" applyFont="0" applyFill="0" applyBorder="0" applyAlignment="0" applyProtection="0">
      <alignment vertical="center"/>
    </xf>
  </cellStyleXfs>
  <cellXfs count="231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3" fillId="0" borderId="6" xfId="0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0" fontId="3" fillId="0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1" fontId="3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>
      <alignment vertical="center"/>
    </xf>
    <xf numFmtId="0" fontId="0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10" fillId="2" borderId="1" xfId="6" applyFont="1" applyFill="1" applyBorder="1" applyAlignment="1">
      <alignment horizontal="center" vertical="center"/>
    </xf>
    <xf numFmtId="0" fontId="10" fillId="0" borderId="1" xfId="7" applyFont="1" applyFill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9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78" fontId="3" fillId="0" borderId="1" xfId="0" applyNumberFormat="1" applyFont="1" applyBorder="1" applyAlignment="1">
      <alignment vertical="center"/>
    </xf>
    <xf numFmtId="0" fontId="10" fillId="0" borderId="1" xfId="7" applyFont="1" applyFill="1" applyBorder="1" applyAlignment="1">
      <alignment horizontal="center" vertical="center" wrapText="1"/>
    </xf>
    <xf numFmtId="0" fontId="10" fillId="0" borderId="1" xfId="7" applyFont="1" applyFill="1" applyBorder="1" applyAlignment="1">
      <alignment horizontal="right" vertical="center" wrapText="1"/>
    </xf>
    <xf numFmtId="0" fontId="10" fillId="0" borderId="1" xfId="6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>
      <alignment vertical="center"/>
    </xf>
    <xf numFmtId="9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vertical="center"/>
    </xf>
    <xf numFmtId="179" fontId="3" fillId="0" borderId="1" xfId="0" applyNumberFormat="1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10" fillId="0" borderId="0" xfId="6" applyFont="1" applyFill="1" applyBorder="1" applyAlignment="1">
      <alignment horizontal="center" vertical="center" wrapText="1"/>
    </xf>
    <xf numFmtId="0" fontId="10" fillId="0" borderId="0" xfId="6" applyFont="1" applyFill="1" applyBorder="1" applyAlignment="1">
      <alignment horizontal="right" vertical="center" wrapText="1"/>
    </xf>
    <xf numFmtId="0" fontId="3" fillId="0" borderId="1" xfId="0" quotePrefix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quotePrefix="1" applyBorder="1" applyAlignment="1">
      <alignment horizontal="center" vertical="center"/>
    </xf>
    <xf numFmtId="180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182" fontId="0" fillId="0" borderId="3" xfId="0" applyNumberForma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6" fontId="0" fillId="0" borderId="1" xfId="2" applyNumberFormat="1" applyFont="1" applyBorder="1" applyAlignment="1">
      <alignment horizontal="center" vertical="center"/>
    </xf>
    <xf numFmtId="42" fontId="0" fillId="0" borderId="1" xfId="5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2" fontId="0" fillId="0" borderId="1" xfId="5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6" fontId="0" fillId="0" borderId="1" xfId="0" applyNumberFormat="1" applyBorder="1">
      <alignment vertical="center"/>
    </xf>
    <xf numFmtId="0" fontId="0" fillId="0" borderId="0" xfId="0" applyFill="1" applyBorder="1" applyAlignment="1">
      <alignment horizontal="left" vertical="center"/>
    </xf>
    <xf numFmtId="42" fontId="3" fillId="0" borderId="1" xfId="5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183" fontId="3" fillId="0" borderId="1" xfId="0" applyNumberFormat="1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0" fontId="0" fillId="0" borderId="0" xfId="0" quotePrefix="1">
      <alignment vertical="center"/>
    </xf>
    <xf numFmtId="0" fontId="6" fillId="0" borderId="0" xfId="0" applyFont="1">
      <alignment vertical="center"/>
    </xf>
    <xf numFmtId="184" fontId="0" fillId="0" borderId="1" xfId="0" applyNumberFormat="1" applyFill="1" applyBorder="1" applyAlignment="1">
      <alignment horizontal="center" vertical="center"/>
    </xf>
    <xf numFmtId="9" fontId="0" fillId="0" borderId="0" xfId="0" applyNumberFormat="1">
      <alignment vertical="center"/>
    </xf>
    <xf numFmtId="185" fontId="3" fillId="0" borderId="1" xfId="0" applyNumberFormat="1" applyFont="1" applyFill="1" applyBorder="1" applyAlignment="1">
      <alignment vertical="center"/>
    </xf>
    <xf numFmtId="0" fontId="13" fillId="0" borderId="2" xfId="0" applyFont="1" applyFill="1" applyBorder="1" applyAlignment="1">
      <alignment horizontal="center" vertical="center" wrapText="1"/>
    </xf>
    <xf numFmtId="186" fontId="14" fillId="2" borderId="1" xfId="0" applyNumberFormat="1" applyFont="1" applyFill="1" applyBorder="1" applyAlignment="1">
      <alignment horizontal="center" vertical="center" wrapText="1"/>
    </xf>
    <xf numFmtId="187" fontId="14" fillId="2" borderId="1" xfId="0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left" vertical="center"/>
    </xf>
    <xf numFmtId="0" fontId="13" fillId="0" borderId="6" xfId="0" applyFont="1" applyFill="1" applyBorder="1" applyAlignment="1">
      <alignment horizontal="center" vertical="center" wrapText="1"/>
    </xf>
    <xf numFmtId="188" fontId="13" fillId="0" borderId="3" xfId="0" applyNumberFormat="1" applyFont="1" applyFill="1" applyBorder="1" applyAlignment="1">
      <alignment horizontal="left" vertical="center" wrapText="1"/>
    </xf>
    <xf numFmtId="189" fontId="13" fillId="0" borderId="2" xfId="0" applyNumberFormat="1" applyFont="1" applyFill="1" applyBorder="1" applyAlignment="1">
      <alignment horizontal="right" vertical="center" wrapText="1"/>
    </xf>
    <xf numFmtId="0" fontId="14" fillId="2" borderId="1" xfId="0" applyFont="1" applyFill="1" applyBorder="1" applyAlignment="1">
      <alignment horizontal="center" vertical="center" wrapText="1"/>
    </xf>
    <xf numFmtId="183" fontId="3" fillId="0" borderId="6" xfId="0" applyNumberFormat="1" applyFont="1" applyFill="1" applyBorder="1" applyAlignment="1">
      <alignment horizontal="center" vertical="center"/>
    </xf>
    <xf numFmtId="14" fontId="3" fillId="0" borderId="0" xfId="1" applyNumberFormat="1" applyFont="1" applyFill="1">
      <alignment vertical="center"/>
    </xf>
    <xf numFmtId="0" fontId="0" fillId="0" borderId="1" xfId="0" applyFill="1" applyBorder="1">
      <alignment vertical="center"/>
    </xf>
    <xf numFmtId="0" fontId="0" fillId="0" borderId="1" xfId="2" applyNumberFormat="1" applyFont="1" applyFill="1" applyBorder="1" applyAlignment="1">
      <alignment horizontal="center" vertical="center"/>
    </xf>
    <xf numFmtId="0" fontId="12" fillId="0" borderId="1" xfId="3" applyFont="1" applyBorder="1" applyAlignment="1">
      <alignment horizontal="center"/>
    </xf>
    <xf numFmtId="41" fontId="6" fillId="2" borderId="1" xfId="1" applyFont="1" applyFill="1" applyBorder="1" applyAlignment="1">
      <alignment horizontal="center" vertical="center"/>
    </xf>
    <xf numFmtId="0" fontId="3" fillId="0" borderId="6" xfId="0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90" fontId="0" fillId="0" borderId="1" xfId="0" applyNumberFormat="1" applyBorder="1" applyAlignment="1">
      <alignment horizontal="center" vertical="center"/>
    </xf>
    <xf numFmtId="190" fontId="0" fillId="0" borderId="1" xfId="1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0" fillId="0" borderId="1" xfId="0" applyFill="1" applyBorder="1" applyAlignment="1">
      <alignment horizontal="left" vertical="center"/>
    </xf>
    <xf numFmtId="9" fontId="0" fillId="0" borderId="1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9" fontId="0" fillId="0" borderId="1" xfId="0" applyNumberFormat="1" applyFill="1" applyBorder="1">
      <alignment vertical="center"/>
    </xf>
    <xf numFmtId="191" fontId="0" fillId="0" borderId="1" xfId="0" applyNumberFormat="1" applyFill="1" applyBorder="1" applyAlignment="1">
      <alignment horizontal="center" vertical="center"/>
    </xf>
    <xf numFmtId="0" fontId="1" fillId="0" borderId="1" xfId="8" applyFont="1" applyBorder="1" applyAlignment="1">
      <alignment horizontal="center" vertical="center"/>
    </xf>
    <xf numFmtId="0" fontId="1" fillId="2" borderId="1" xfId="8" applyFont="1" applyFill="1" applyBorder="1" applyAlignment="1">
      <alignment horizontal="center" vertical="center"/>
    </xf>
    <xf numFmtId="192" fontId="3" fillId="0" borderId="1" xfId="8" applyNumberFormat="1" applyFont="1" applyBorder="1">
      <alignment vertical="center"/>
    </xf>
    <xf numFmtId="0" fontId="3" fillId="0" borderId="0" xfId="8" applyFont="1">
      <alignment vertical="center"/>
    </xf>
    <xf numFmtId="0" fontId="1" fillId="0" borderId="0" xfId="8" applyFont="1">
      <alignment vertical="center"/>
    </xf>
    <xf numFmtId="0" fontId="3" fillId="0" borderId="1" xfId="8" applyFont="1" applyBorder="1" applyAlignment="1">
      <alignment horizontal="center" vertical="center"/>
    </xf>
    <xf numFmtId="41" fontId="3" fillId="0" borderId="1" xfId="9" applyFont="1" applyBorder="1" applyAlignment="1">
      <alignment horizontal="center" vertical="center"/>
    </xf>
    <xf numFmtId="0" fontId="5" fillId="0" borderId="0" xfId="3" applyFont="1" applyFill="1" applyAlignment="1">
      <alignment horizontal="left" vertical="center"/>
    </xf>
    <xf numFmtId="42" fontId="0" fillId="0" borderId="1" xfId="0" applyNumberFormat="1" applyBorder="1">
      <alignment vertical="center"/>
    </xf>
    <xf numFmtId="42" fontId="0" fillId="0" borderId="1" xfId="0" applyNumberFormat="1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0" fontId="16" fillId="0" borderId="0" xfId="8">
      <alignment vertical="center"/>
    </xf>
    <xf numFmtId="176" fontId="3" fillId="0" borderId="1" xfId="8" applyNumberFormat="1" applyFont="1" applyBorder="1">
      <alignment vertical="center"/>
    </xf>
    <xf numFmtId="197" fontId="3" fillId="0" borderId="1" xfId="8" applyNumberFormat="1" applyFont="1" applyBorder="1" applyAlignment="1">
      <alignment horizontal="center" vertical="center"/>
    </xf>
    <xf numFmtId="9" fontId="3" fillId="0" borderId="1" xfId="8" applyNumberFormat="1" applyFont="1" applyBorder="1" applyAlignment="1">
      <alignment horizontal="center" vertical="center"/>
    </xf>
    <xf numFmtId="0" fontId="16" fillId="0" borderId="0" xfId="8" applyFont="1">
      <alignment vertical="center"/>
    </xf>
    <xf numFmtId="196" fontId="3" fillId="0" borderId="1" xfId="8" applyNumberFormat="1" applyFont="1" applyBorder="1" applyAlignment="1">
      <alignment horizontal="center" vertical="center"/>
    </xf>
    <xf numFmtId="0" fontId="3" fillId="4" borderId="1" xfId="8" applyFont="1" applyFill="1" applyBorder="1" applyAlignment="1">
      <alignment horizontal="center" vertical="center"/>
    </xf>
    <xf numFmtId="196" fontId="3" fillId="0" borderId="1" xfId="8" applyNumberFormat="1" applyFont="1" applyBorder="1">
      <alignment vertical="center"/>
    </xf>
    <xf numFmtId="10" fontId="3" fillId="0" borderId="1" xfId="8" applyNumberFormat="1" applyFont="1" applyBorder="1" applyAlignment="1">
      <alignment horizontal="center" vertical="center"/>
    </xf>
    <xf numFmtId="0" fontId="3" fillId="0" borderId="0" xfId="8" applyFont="1" applyBorder="1" applyAlignment="1">
      <alignment horizontal="center" vertical="center"/>
    </xf>
    <xf numFmtId="196" fontId="3" fillId="0" borderId="0" xfId="8" applyNumberFormat="1" applyFont="1" applyBorder="1">
      <alignment vertical="center"/>
    </xf>
    <xf numFmtId="10" fontId="3" fillId="0" borderId="0" xfId="8" applyNumberFormat="1" applyFont="1" applyBorder="1" applyAlignment="1">
      <alignment horizontal="center" vertical="center"/>
    </xf>
    <xf numFmtId="0" fontId="3" fillId="0" borderId="1" xfId="8" applyFont="1" applyFill="1" applyBorder="1" applyAlignment="1">
      <alignment horizontal="center" vertical="center"/>
    </xf>
    <xf numFmtId="193" fontId="3" fillId="0" borderId="1" xfId="8" applyNumberFormat="1" applyFont="1" applyFill="1" applyBorder="1" applyAlignment="1">
      <alignment horizontal="center" vertical="center"/>
    </xf>
    <xf numFmtId="194" fontId="3" fillId="0" borderId="1" xfId="8" applyNumberFormat="1" applyFont="1" applyFill="1" applyBorder="1" applyAlignment="1">
      <alignment horizontal="center" vertical="center"/>
    </xf>
    <xf numFmtId="10" fontId="3" fillId="0" borderId="1" xfId="8" applyNumberFormat="1" applyFont="1" applyFill="1" applyBorder="1">
      <alignment vertical="center"/>
    </xf>
    <xf numFmtId="0" fontId="0" fillId="0" borderId="0" xfId="0" applyFont="1" applyFill="1" applyBorder="1" applyAlignment="1">
      <alignment horizontal="left" vertical="center"/>
    </xf>
    <xf numFmtId="195" fontId="0" fillId="0" borderId="1" xfId="0" applyNumberFormat="1" applyFill="1" applyBorder="1" applyAlignment="1">
      <alignment horizontal="center" vertical="center"/>
    </xf>
    <xf numFmtId="0" fontId="16" fillId="0" borderId="0" xfId="8" applyAlignment="1">
      <alignment vertical="center"/>
    </xf>
    <xf numFmtId="0" fontId="17" fillId="0" borderId="1" xfId="7" applyFont="1" applyFill="1" applyBorder="1" applyAlignment="1">
      <alignment horizontal="center" vertical="center"/>
    </xf>
    <xf numFmtId="41" fontId="17" fillId="0" borderId="1" xfId="9" applyFont="1" applyFill="1" applyBorder="1" applyAlignment="1">
      <alignment vertical="center" wrapText="1"/>
    </xf>
    <xf numFmtId="0" fontId="17" fillId="0" borderId="1" xfId="7" applyFont="1" applyFill="1" applyBorder="1" applyAlignment="1">
      <alignment horizontal="center" vertical="center" wrapText="1"/>
    </xf>
    <xf numFmtId="41" fontId="17" fillId="0" borderId="1" xfId="9" applyFont="1" applyFill="1" applyBorder="1" applyAlignment="1">
      <alignment horizontal="right" vertical="center" wrapText="1"/>
    </xf>
    <xf numFmtId="0" fontId="0" fillId="0" borderId="1" xfId="0" applyFill="1" applyBorder="1" applyAlignment="1">
      <alignment vertical="center"/>
    </xf>
    <xf numFmtId="0" fontId="12" fillId="0" borderId="1" xfId="3" applyFont="1" applyBorder="1" applyAlignment="1">
      <alignment horizontal="center" vertical="center"/>
    </xf>
    <xf numFmtId="0" fontId="17" fillId="0" borderId="0" xfId="7" applyFont="1" applyFill="1" applyBorder="1" applyAlignment="1">
      <alignment horizontal="center" vertical="center" wrapText="1"/>
    </xf>
    <xf numFmtId="41" fontId="17" fillId="0" borderId="0" xfId="9" applyFont="1" applyFill="1" applyBorder="1" applyAlignment="1">
      <alignment vertical="center" wrapText="1"/>
    </xf>
    <xf numFmtId="0" fontId="17" fillId="0" borderId="0" xfId="7" applyFont="1" applyBorder="1" applyAlignment="1">
      <alignment vertical="center" wrapText="1"/>
    </xf>
    <xf numFmtId="0" fontId="17" fillId="0" borderId="0" xfId="7" applyFont="1" applyBorder="1" applyAlignment="1">
      <alignment horizontal="center" vertical="center" wrapText="1"/>
    </xf>
    <xf numFmtId="41" fontId="17" fillId="0" borderId="0" xfId="9" applyFont="1" applyFill="1" applyBorder="1" applyAlignment="1">
      <alignment horizontal="right" vertical="center" wrapText="1"/>
    </xf>
    <xf numFmtId="0" fontId="16" fillId="0" borderId="1" xfId="8" applyFill="1" applyBorder="1" applyAlignment="1">
      <alignment vertical="center"/>
    </xf>
    <xf numFmtId="198" fontId="0" fillId="0" borderId="1" xfId="0" applyNumberFormat="1" applyFill="1" applyBorder="1" applyAlignment="1">
      <alignment vertical="center"/>
    </xf>
    <xf numFmtId="199" fontId="0" fillId="0" borderId="1" xfId="0" applyNumberFormat="1" applyFill="1" applyBorder="1" applyAlignment="1">
      <alignment vertical="center"/>
    </xf>
    <xf numFmtId="0" fontId="17" fillId="0" borderId="1" xfId="7" applyFont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/>
    </xf>
    <xf numFmtId="9" fontId="6" fillId="2" borderId="1" xfId="2" applyFont="1" applyFill="1" applyBorder="1" applyAlignment="1">
      <alignment horizontal="center" vertical="center"/>
    </xf>
    <xf numFmtId="0" fontId="3" fillId="0" borderId="2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0" fillId="2" borderId="2" xfId="6" applyFont="1" applyFill="1" applyBorder="1" applyAlignment="1">
      <alignment horizontal="center" vertical="center"/>
    </xf>
    <xf numFmtId="0" fontId="10" fillId="2" borderId="3" xfId="6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</cellXfs>
  <cellStyles count="10">
    <cellStyle name="백분율" xfId="2" builtinId="5"/>
    <cellStyle name="쉼표 [0]" xfId="1" builtinId="6"/>
    <cellStyle name="쉼표 [0] 2" xfId="9" xr:uid="{080A4EAA-D832-423A-A72F-0DE6CB596804}"/>
    <cellStyle name="쉼표 [0] 2 2" xfId="4" xr:uid="{00000000-0005-0000-0000-000002000000}"/>
    <cellStyle name="통화 [0]" xfId="5" builtinId="7"/>
    <cellStyle name="표준" xfId="0" builtinId="0"/>
    <cellStyle name="표준 2" xfId="8" xr:uid="{C9A7ECC6-DCC4-4903-BD42-FC3B62492D86}"/>
    <cellStyle name="표준 2 2" xfId="3" xr:uid="{00000000-0005-0000-0000-000005000000}"/>
    <cellStyle name="표준_Sheet1" xfId="6" xr:uid="{00000000-0005-0000-0000-000006000000}"/>
    <cellStyle name="표준_계산작업" xfId="7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980;&#51221;\6,000&#50896;&#49884;&#47532;&#51592;(&#50689;&#51652;)\&#49440;&#49373;&#45784;\Part2\CA%20&#48512;&#49436;%20&#51312;&#51649;_&#50756;&#4945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980;&#51221;\&#49436;&#50872;&#44368;&#50977;&#50672;&#49688;&#50896;\&#49772;&#50868;&#50641;&#49472;\&#50641;&#49472;&#51088;&#47308;\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40"/>
  <sheetViews>
    <sheetView workbookViewId="0"/>
  </sheetViews>
  <sheetFormatPr defaultRowHeight="16.5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>
      <c r="A1" s="8" t="s">
        <v>2</v>
      </c>
      <c r="B1" s="9" t="s">
        <v>3</v>
      </c>
      <c r="C1" s="8"/>
      <c r="D1" s="8"/>
      <c r="E1" s="8"/>
      <c r="F1" s="8"/>
      <c r="G1" s="8"/>
      <c r="H1" s="8"/>
      <c r="I1" s="8" t="s">
        <v>4</v>
      </c>
      <c r="J1" s="9" t="s">
        <v>5</v>
      </c>
      <c r="K1" s="8"/>
      <c r="L1" s="8"/>
      <c r="M1" s="8"/>
      <c r="N1" s="8"/>
    </row>
    <row r="2" spans="1:14">
      <c r="A2" s="23" t="s">
        <v>6</v>
      </c>
      <c r="B2" s="23" t="s">
        <v>7</v>
      </c>
      <c r="C2" s="23" t="s">
        <v>8</v>
      </c>
      <c r="D2" s="23" t="s">
        <v>9</v>
      </c>
      <c r="E2" s="23" t="s">
        <v>10</v>
      </c>
      <c r="F2" s="8"/>
      <c r="G2" s="8"/>
      <c r="H2" s="8"/>
      <c r="I2" s="23" t="s">
        <v>11</v>
      </c>
      <c r="J2" s="23" t="s">
        <v>12</v>
      </c>
      <c r="K2" s="23" t="s">
        <v>13</v>
      </c>
      <c r="L2" s="23" t="s">
        <v>14</v>
      </c>
      <c r="M2" s="8"/>
      <c r="N2" s="8"/>
    </row>
    <row r="3" spans="1:14">
      <c r="A3" s="23" t="s">
        <v>15</v>
      </c>
      <c r="B3" s="23" t="s">
        <v>16</v>
      </c>
      <c r="C3" s="23" t="s">
        <v>17</v>
      </c>
      <c r="D3" s="10">
        <v>28500</v>
      </c>
      <c r="E3" s="10">
        <v>1124</v>
      </c>
      <c r="F3" s="8"/>
      <c r="G3" s="8"/>
      <c r="H3" s="8"/>
      <c r="I3" s="23" t="s">
        <v>18</v>
      </c>
      <c r="J3" s="23" t="s">
        <v>19</v>
      </c>
      <c r="K3" s="10">
        <v>585</v>
      </c>
      <c r="L3" s="24">
        <f t="shared" ref="L3:L10" si="0">K3*12000</f>
        <v>7020000</v>
      </c>
      <c r="M3" s="8"/>
      <c r="N3" s="8"/>
    </row>
    <row r="4" spans="1:14">
      <c r="A4" s="23" t="s">
        <v>20</v>
      </c>
      <c r="B4" s="23" t="s">
        <v>21</v>
      </c>
      <c r="C4" s="23" t="s">
        <v>22</v>
      </c>
      <c r="D4" s="10">
        <v>39000</v>
      </c>
      <c r="E4" s="10">
        <v>1351</v>
      </c>
      <c r="F4" s="8"/>
      <c r="G4" s="8"/>
      <c r="H4" s="8"/>
      <c r="I4" s="23" t="s">
        <v>18</v>
      </c>
      <c r="J4" s="23" t="s">
        <v>24</v>
      </c>
      <c r="K4" s="10">
        <v>594</v>
      </c>
      <c r="L4" s="24">
        <f t="shared" si="0"/>
        <v>7128000</v>
      </c>
      <c r="M4" s="8"/>
      <c r="N4" s="8"/>
    </row>
    <row r="5" spans="1:14">
      <c r="A5" s="23" t="s">
        <v>15</v>
      </c>
      <c r="B5" s="23" t="s">
        <v>25</v>
      </c>
      <c r="C5" s="23" t="s">
        <v>26</v>
      </c>
      <c r="D5" s="10">
        <v>30000</v>
      </c>
      <c r="E5" s="10">
        <v>1122</v>
      </c>
      <c r="F5" s="8"/>
      <c r="G5" s="8"/>
      <c r="H5" s="8"/>
      <c r="I5" s="23" t="s">
        <v>18</v>
      </c>
      <c r="J5" s="23" t="s">
        <v>27</v>
      </c>
      <c r="K5" s="10">
        <v>696</v>
      </c>
      <c r="L5" s="24">
        <f t="shared" si="0"/>
        <v>8352000</v>
      </c>
      <c r="M5" s="8"/>
      <c r="N5" s="8"/>
    </row>
    <row r="6" spans="1:14">
      <c r="A6" s="23" t="s">
        <v>28</v>
      </c>
      <c r="B6" s="23" t="s">
        <v>29</v>
      </c>
      <c r="C6" s="23" t="s">
        <v>30</v>
      </c>
      <c r="D6" s="10">
        <v>40000</v>
      </c>
      <c r="E6" s="10">
        <v>1452</v>
      </c>
      <c r="F6" s="8"/>
      <c r="G6" s="8"/>
      <c r="H6" s="8"/>
      <c r="I6" s="23" t="s">
        <v>18</v>
      </c>
      <c r="J6" s="23" t="s">
        <v>31</v>
      </c>
      <c r="K6" s="10">
        <v>857</v>
      </c>
      <c r="L6" s="24">
        <f t="shared" si="0"/>
        <v>10284000</v>
      </c>
      <c r="M6" s="8"/>
      <c r="N6" s="8"/>
    </row>
    <row r="7" spans="1:14">
      <c r="A7" s="23" t="s">
        <v>20</v>
      </c>
      <c r="B7" s="23" t="s">
        <v>32</v>
      </c>
      <c r="C7" s="23" t="s">
        <v>33</v>
      </c>
      <c r="D7" s="10">
        <v>45500</v>
      </c>
      <c r="E7" s="10">
        <v>1753</v>
      </c>
      <c r="F7" s="8"/>
      <c r="G7" s="8"/>
      <c r="H7" s="8"/>
      <c r="I7" s="23" t="s">
        <v>34</v>
      </c>
      <c r="J7" s="23" t="s">
        <v>35</v>
      </c>
      <c r="K7" s="10">
        <v>584</v>
      </c>
      <c r="L7" s="24">
        <f t="shared" si="0"/>
        <v>7008000</v>
      </c>
      <c r="M7" s="8"/>
      <c r="N7" s="8"/>
    </row>
    <row r="8" spans="1:14">
      <c r="A8" s="23" t="s">
        <v>15</v>
      </c>
      <c r="B8" s="23" t="s">
        <v>36</v>
      </c>
      <c r="C8" s="23" t="s">
        <v>37</v>
      </c>
      <c r="D8" s="10">
        <v>24500</v>
      </c>
      <c r="E8" s="10">
        <v>1654</v>
      </c>
      <c r="F8" s="8"/>
      <c r="G8" s="23" t="s">
        <v>38</v>
      </c>
      <c r="H8" s="8"/>
      <c r="I8" s="23" t="s">
        <v>34</v>
      </c>
      <c r="J8" s="23" t="s">
        <v>39</v>
      </c>
      <c r="K8" s="10">
        <v>429</v>
      </c>
      <c r="L8" s="24">
        <f t="shared" si="0"/>
        <v>5148000</v>
      </c>
      <c r="M8" s="8"/>
      <c r="N8" s="8"/>
    </row>
    <row r="9" spans="1:14">
      <c r="A9" s="23" t="s">
        <v>28</v>
      </c>
      <c r="B9" s="23" t="s">
        <v>40</v>
      </c>
      <c r="C9" s="23" t="s">
        <v>41</v>
      </c>
      <c r="D9" s="10">
        <v>35800</v>
      </c>
      <c r="E9" s="10">
        <v>1324</v>
      </c>
      <c r="F9" s="8"/>
      <c r="G9" s="23"/>
      <c r="H9" s="8"/>
      <c r="I9" s="23" t="s">
        <v>34</v>
      </c>
      <c r="J9" s="23" t="s">
        <v>42</v>
      </c>
      <c r="K9" s="10">
        <v>826</v>
      </c>
      <c r="L9" s="24">
        <f t="shared" si="0"/>
        <v>9912000</v>
      </c>
      <c r="M9" s="23"/>
      <c r="N9" s="23"/>
    </row>
    <row r="10" spans="1:14">
      <c r="A10" s="23" t="s">
        <v>20</v>
      </c>
      <c r="B10" s="23" t="s">
        <v>44</v>
      </c>
      <c r="C10" s="23" t="s">
        <v>45</v>
      </c>
      <c r="D10" s="10">
        <v>50000</v>
      </c>
      <c r="E10" s="10">
        <v>1647</v>
      </c>
      <c r="F10" s="8"/>
      <c r="G10" s="23"/>
      <c r="H10" s="8"/>
      <c r="I10" s="23" t="s">
        <v>34</v>
      </c>
      <c r="J10" s="23" t="s">
        <v>46</v>
      </c>
      <c r="K10" s="10">
        <v>701</v>
      </c>
      <c r="L10" s="24">
        <f t="shared" si="0"/>
        <v>8412000</v>
      </c>
      <c r="M10" s="23"/>
      <c r="N10" s="23"/>
    </row>
    <row r="11" spans="1:14">
      <c r="A11" s="200" t="s">
        <v>47</v>
      </c>
      <c r="B11" s="201"/>
      <c r="C11" s="201"/>
      <c r="D11" s="202"/>
      <c r="E11" s="12"/>
      <c r="F11" s="8"/>
      <c r="G11" s="8"/>
      <c r="H11" s="8"/>
      <c r="I11" s="203" t="s">
        <v>48</v>
      </c>
      <c r="J11" s="203"/>
      <c r="K11" s="203"/>
      <c r="L11" s="10"/>
      <c r="M11" s="8"/>
      <c r="N11" s="8"/>
    </row>
    <row r="12" spans="1:14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</row>
    <row r="13" spans="1:14">
      <c r="A13" s="8" t="s">
        <v>49</v>
      </c>
      <c r="B13" s="9" t="s">
        <v>50</v>
      </c>
      <c r="C13" s="8"/>
      <c r="D13" s="8"/>
      <c r="E13" s="8"/>
      <c r="F13" s="8"/>
      <c r="G13" s="8"/>
      <c r="H13" s="8"/>
      <c r="I13" s="8" t="s">
        <v>51</v>
      </c>
      <c r="J13" s="9" t="s">
        <v>52</v>
      </c>
      <c r="K13" s="8"/>
      <c r="L13" s="8"/>
      <c r="M13" s="8"/>
      <c r="N13" s="8"/>
    </row>
    <row r="14" spans="1:14">
      <c r="A14" s="23" t="s">
        <v>12</v>
      </c>
      <c r="B14" s="23" t="s">
        <v>53</v>
      </c>
      <c r="C14" s="23" t="s">
        <v>54</v>
      </c>
      <c r="D14" s="23" t="s">
        <v>55</v>
      </c>
      <c r="E14" s="23" t="s">
        <v>56</v>
      </c>
      <c r="F14" s="8"/>
      <c r="G14" s="8"/>
      <c r="H14" s="8"/>
      <c r="I14" s="23" t="s">
        <v>57</v>
      </c>
      <c r="J14" s="23" t="s">
        <v>58</v>
      </c>
      <c r="K14" s="23" t="s">
        <v>59</v>
      </c>
      <c r="L14" s="23" t="s">
        <v>60</v>
      </c>
      <c r="M14" s="8"/>
      <c r="N14" s="8"/>
    </row>
    <row r="15" spans="1:14">
      <c r="A15" s="23" t="s">
        <v>61</v>
      </c>
      <c r="B15" s="23" t="s">
        <v>62</v>
      </c>
      <c r="C15" s="23" t="s">
        <v>63</v>
      </c>
      <c r="D15" s="23"/>
      <c r="E15" s="23" t="s">
        <v>63</v>
      </c>
      <c r="F15" s="8"/>
      <c r="G15" s="8"/>
      <c r="H15" s="8"/>
      <c r="I15" s="23" t="s">
        <v>65</v>
      </c>
      <c r="J15" s="23" t="s">
        <v>66</v>
      </c>
      <c r="K15" s="23" t="s">
        <v>67</v>
      </c>
      <c r="L15" s="24">
        <v>945000</v>
      </c>
      <c r="M15" s="8"/>
      <c r="N15" s="8"/>
    </row>
    <row r="16" spans="1:14">
      <c r="A16" s="23" t="s">
        <v>68</v>
      </c>
      <c r="B16" s="23" t="s">
        <v>69</v>
      </c>
      <c r="C16" s="23" t="s">
        <v>63</v>
      </c>
      <c r="D16" s="23" t="s">
        <v>63</v>
      </c>
      <c r="E16" s="23"/>
      <c r="F16" s="8"/>
      <c r="G16" s="8"/>
      <c r="H16" s="8"/>
      <c r="I16" s="23" t="s">
        <v>70</v>
      </c>
      <c r="J16" s="23" t="s">
        <v>71</v>
      </c>
      <c r="K16" s="23" t="s">
        <v>72</v>
      </c>
      <c r="L16" s="24">
        <v>895000</v>
      </c>
      <c r="M16" s="8"/>
      <c r="N16" s="8"/>
    </row>
    <row r="17" spans="1:14">
      <c r="A17" s="23" t="s">
        <v>73</v>
      </c>
      <c r="B17" s="23" t="s">
        <v>74</v>
      </c>
      <c r="C17" s="23"/>
      <c r="D17" s="23" t="s">
        <v>63</v>
      </c>
      <c r="E17" s="23" t="s">
        <v>63</v>
      </c>
      <c r="F17" s="8"/>
      <c r="G17" s="8"/>
      <c r="H17" s="8"/>
      <c r="I17" s="23" t="s">
        <v>76</v>
      </c>
      <c r="J17" s="23" t="s">
        <v>77</v>
      </c>
      <c r="K17" s="23" t="s">
        <v>67</v>
      </c>
      <c r="L17" s="24">
        <v>920000</v>
      </c>
      <c r="M17" s="8"/>
      <c r="N17" s="8"/>
    </row>
    <row r="18" spans="1:14">
      <c r="A18" s="23" t="s">
        <v>78</v>
      </c>
      <c r="B18" s="23" t="s">
        <v>74</v>
      </c>
      <c r="C18" s="23" t="s">
        <v>63</v>
      </c>
      <c r="D18" s="23"/>
      <c r="E18" s="23"/>
      <c r="F18" s="8"/>
      <c r="G18" s="8"/>
      <c r="H18" s="8"/>
      <c r="I18" s="23" t="s">
        <v>79</v>
      </c>
      <c r="J18" s="23" t="s">
        <v>71</v>
      </c>
      <c r="K18" s="23" t="s">
        <v>81</v>
      </c>
      <c r="L18" s="24">
        <v>1150000</v>
      </c>
      <c r="M18" s="8"/>
      <c r="N18" s="8"/>
    </row>
    <row r="19" spans="1:14">
      <c r="A19" s="23" t="s">
        <v>82</v>
      </c>
      <c r="B19" s="23" t="s">
        <v>62</v>
      </c>
      <c r="C19" s="23" t="s">
        <v>63</v>
      </c>
      <c r="D19" s="23" t="s">
        <v>63</v>
      </c>
      <c r="E19" s="23" t="s">
        <v>63</v>
      </c>
      <c r="F19" s="8"/>
      <c r="G19" s="8"/>
      <c r="H19" s="8"/>
      <c r="I19" s="23" t="s">
        <v>84</v>
      </c>
      <c r="J19" s="23" t="s">
        <v>66</v>
      </c>
      <c r="K19" s="23" t="s">
        <v>67</v>
      </c>
      <c r="L19" s="24">
        <v>980000</v>
      </c>
      <c r="M19" s="8"/>
      <c r="N19" s="8"/>
    </row>
    <row r="20" spans="1:14">
      <c r="A20" s="23" t="s">
        <v>86</v>
      </c>
      <c r="B20" s="23" t="s">
        <v>69</v>
      </c>
      <c r="C20" s="23"/>
      <c r="D20" s="23" t="s">
        <v>63</v>
      </c>
      <c r="E20" s="23"/>
      <c r="F20" s="8"/>
      <c r="G20" s="8"/>
      <c r="H20" s="8"/>
      <c r="I20" s="23" t="s">
        <v>88</v>
      </c>
      <c r="J20" s="23" t="s">
        <v>71</v>
      </c>
      <c r="K20" s="23" t="s">
        <v>67</v>
      </c>
      <c r="L20" s="24">
        <v>900000</v>
      </c>
      <c r="M20" s="8"/>
      <c r="N20" s="8"/>
    </row>
    <row r="21" spans="1:14">
      <c r="A21" s="23" t="s">
        <v>90</v>
      </c>
      <c r="B21" s="23" t="s">
        <v>69</v>
      </c>
      <c r="C21" s="23" t="s">
        <v>63</v>
      </c>
      <c r="D21" s="23"/>
      <c r="E21" s="23" t="s">
        <v>63</v>
      </c>
      <c r="F21" s="8"/>
      <c r="G21" s="8"/>
      <c r="H21" s="8"/>
      <c r="I21" s="23" t="s">
        <v>92</v>
      </c>
      <c r="J21" s="23" t="s">
        <v>77</v>
      </c>
      <c r="K21" s="23" t="s">
        <v>72</v>
      </c>
      <c r="L21" s="24">
        <v>885000</v>
      </c>
      <c r="M21" s="8"/>
      <c r="N21" s="8"/>
    </row>
    <row r="22" spans="1:14">
      <c r="A22" s="23" t="s">
        <v>95</v>
      </c>
      <c r="B22" s="23" t="s">
        <v>74</v>
      </c>
      <c r="C22" s="23" t="s">
        <v>63</v>
      </c>
      <c r="D22" s="23"/>
      <c r="E22" s="23"/>
      <c r="F22" s="8"/>
      <c r="G22" s="8"/>
      <c r="H22" s="8"/>
      <c r="I22" s="23" t="s">
        <v>96</v>
      </c>
      <c r="J22" s="23" t="s">
        <v>71</v>
      </c>
      <c r="K22" s="23" t="s">
        <v>67</v>
      </c>
      <c r="L22" s="24">
        <v>985000</v>
      </c>
      <c r="M22" s="8"/>
      <c r="N22" s="8"/>
    </row>
    <row r="23" spans="1:14">
      <c r="A23" s="23" t="s">
        <v>98</v>
      </c>
      <c r="B23" s="23" t="s">
        <v>69</v>
      </c>
      <c r="C23" s="23"/>
      <c r="D23" s="23" t="s">
        <v>63</v>
      </c>
      <c r="E23" s="23" t="s">
        <v>63</v>
      </c>
      <c r="F23" s="8"/>
      <c r="G23" s="8"/>
      <c r="H23" s="8"/>
      <c r="I23" s="23" t="s">
        <v>99</v>
      </c>
      <c r="J23" s="23" t="s">
        <v>66</v>
      </c>
      <c r="K23" s="23" t="s">
        <v>81</v>
      </c>
      <c r="L23" s="24">
        <v>1200000</v>
      </c>
      <c r="M23" s="8"/>
      <c r="N23" s="8"/>
    </row>
    <row r="24" spans="1:14">
      <c r="A24" s="23" t="s">
        <v>101</v>
      </c>
      <c r="B24" s="23" t="s">
        <v>62</v>
      </c>
      <c r="C24" s="23" t="s">
        <v>63</v>
      </c>
      <c r="D24" s="23"/>
      <c r="E24" s="23" t="s">
        <v>63</v>
      </c>
      <c r="F24" s="8"/>
      <c r="G24" s="23"/>
      <c r="H24" s="8"/>
      <c r="I24" s="23" t="s">
        <v>102</v>
      </c>
      <c r="J24" s="23" t="s">
        <v>77</v>
      </c>
      <c r="K24" s="23" t="s">
        <v>81</v>
      </c>
      <c r="L24" s="24">
        <v>1100000</v>
      </c>
      <c r="M24" s="203" t="s">
        <v>103</v>
      </c>
      <c r="N24" s="203"/>
    </row>
    <row r="25" spans="1:14">
      <c r="A25" s="203" t="s">
        <v>104</v>
      </c>
      <c r="B25" s="203"/>
      <c r="C25" s="203"/>
      <c r="D25" s="203"/>
      <c r="E25" s="23"/>
      <c r="F25" s="8"/>
      <c r="G25" s="23"/>
      <c r="H25" s="8"/>
      <c r="I25" s="23" t="s">
        <v>105</v>
      </c>
      <c r="J25" s="23" t="s">
        <v>66</v>
      </c>
      <c r="K25" s="23" t="s">
        <v>72</v>
      </c>
      <c r="L25" s="24">
        <v>900000</v>
      </c>
      <c r="M25" s="204"/>
      <c r="N25" s="204"/>
    </row>
    <row r="26" spans="1:14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</row>
    <row r="27" spans="1:14">
      <c r="A27" s="8" t="s">
        <v>106</v>
      </c>
      <c r="B27" s="9" t="s">
        <v>107</v>
      </c>
      <c r="C27" s="8"/>
      <c r="D27" s="8"/>
      <c r="E27" s="8"/>
      <c r="F27" s="8"/>
      <c r="G27" s="8"/>
      <c r="H27" s="8"/>
      <c r="I27" s="8" t="s">
        <v>108</v>
      </c>
      <c r="J27" s="9" t="s">
        <v>109</v>
      </c>
      <c r="K27" s="8"/>
      <c r="L27" s="8"/>
      <c r="M27" s="8"/>
      <c r="N27" s="8"/>
    </row>
    <row r="28" spans="1:14">
      <c r="A28" s="23" t="s">
        <v>110</v>
      </c>
      <c r="B28" s="23" t="s">
        <v>111</v>
      </c>
      <c r="C28" s="23" t="s">
        <v>112</v>
      </c>
      <c r="D28" s="23" t="s">
        <v>113</v>
      </c>
      <c r="E28" s="8"/>
      <c r="F28" s="8"/>
      <c r="G28" s="8"/>
      <c r="H28" s="8"/>
      <c r="I28" s="23" t="s">
        <v>114</v>
      </c>
      <c r="J28" s="23" t="s">
        <v>111</v>
      </c>
      <c r="K28" s="23" t="s">
        <v>115</v>
      </c>
      <c r="L28" s="23" t="s">
        <v>116</v>
      </c>
      <c r="M28" s="23" t="s">
        <v>117</v>
      </c>
      <c r="N28" s="23" t="s">
        <v>118</v>
      </c>
    </row>
    <row r="29" spans="1:14">
      <c r="A29" s="3" t="s">
        <v>119</v>
      </c>
      <c r="B29" s="3" t="s">
        <v>120</v>
      </c>
      <c r="C29" s="3" t="s">
        <v>121</v>
      </c>
      <c r="D29" s="23">
        <v>2018</v>
      </c>
      <c r="E29" s="8"/>
      <c r="F29" s="8"/>
      <c r="G29" s="8"/>
      <c r="H29" s="8"/>
      <c r="I29" s="23" t="s">
        <v>122</v>
      </c>
      <c r="J29" s="23" t="s">
        <v>120</v>
      </c>
      <c r="K29" s="23">
        <v>88</v>
      </c>
      <c r="L29" s="23">
        <v>89</v>
      </c>
      <c r="M29" s="23">
        <v>90</v>
      </c>
      <c r="N29" s="23">
        <f t="shared" ref="N29:N37" si="1">SUM(K29:M29)</f>
        <v>267</v>
      </c>
    </row>
    <row r="30" spans="1:14">
      <c r="A30" s="3" t="s">
        <v>124</v>
      </c>
      <c r="B30" s="3" t="s">
        <v>125</v>
      </c>
      <c r="C30" s="3" t="s">
        <v>126</v>
      </c>
      <c r="D30" s="23">
        <v>2015</v>
      </c>
      <c r="E30" s="8"/>
      <c r="F30" s="8"/>
      <c r="G30" s="8"/>
      <c r="H30" s="8"/>
      <c r="I30" s="23" t="s">
        <v>127</v>
      </c>
      <c r="J30" s="23" t="s">
        <v>125</v>
      </c>
      <c r="K30" s="23">
        <v>79</v>
      </c>
      <c r="L30" s="23">
        <v>85</v>
      </c>
      <c r="M30" s="23">
        <v>69</v>
      </c>
      <c r="N30" s="23">
        <f t="shared" si="1"/>
        <v>233</v>
      </c>
    </row>
    <row r="31" spans="1:14">
      <c r="A31" s="3" t="s">
        <v>128</v>
      </c>
      <c r="B31" s="3" t="s">
        <v>120</v>
      </c>
      <c r="C31" s="3" t="s">
        <v>126</v>
      </c>
      <c r="D31" s="23">
        <v>2015</v>
      </c>
      <c r="E31" s="8"/>
      <c r="F31" s="8"/>
      <c r="G31" s="8"/>
      <c r="H31" s="8"/>
      <c r="I31" s="23" t="s">
        <v>129</v>
      </c>
      <c r="J31" s="23" t="s">
        <v>120</v>
      </c>
      <c r="K31" s="23">
        <v>92</v>
      </c>
      <c r="L31" s="23">
        <v>90</v>
      </c>
      <c r="M31" s="23">
        <v>89</v>
      </c>
      <c r="N31" s="23">
        <f t="shared" si="1"/>
        <v>271</v>
      </c>
    </row>
    <row r="32" spans="1:14">
      <c r="A32" s="3" t="s">
        <v>130</v>
      </c>
      <c r="B32" s="3" t="s">
        <v>120</v>
      </c>
      <c r="C32" s="3" t="s">
        <v>131</v>
      </c>
      <c r="D32" s="23">
        <v>2016</v>
      </c>
      <c r="E32" s="8"/>
      <c r="F32" s="8"/>
      <c r="G32" s="8"/>
      <c r="H32" s="8"/>
      <c r="I32" s="23" t="s">
        <v>132</v>
      </c>
      <c r="J32" s="23" t="s">
        <v>125</v>
      </c>
      <c r="K32" s="23">
        <v>94</v>
      </c>
      <c r="L32" s="23">
        <v>95</v>
      </c>
      <c r="M32" s="23">
        <v>89</v>
      </c>
      <c r="N32" s="23">
        <f t="shared" si="1"/>
        <v>278</v>
      </c>
    </row>
    <row r="33" spans="1:14">
      <c r="A33" s="3" t="s">
        <v>134</v>
      </c>
      <c r="B33" s="3" t="s">
        <v>125</v>
      </c>
      <c r="C33" s="3" t="s">
        <v>121</v>
      </c>
      <c r="D33" s="23">
        <v>2015</v>
      </c>
      <c r="E33" s="8"/>
      <c r="F33" s="8"/>
      <c r="G33" s="8"/>
      <c r="H33" s="8"/>
      <c r="I33" s="23" t="s">
        <v>135</v>
      </c>
      <c r="J33" s="23" t="s">
        <v>125</v>
      </c>
      <c r="K33" s="23">
        <v>86</v>
      </c>
      <c r="L33" s="23">
        <v>92</v>
      </c>
      <c r="M33" s="23">
        <v>90</v>
      </c>
      <c r="N33" s="23">
        <f t="shared" si="1"/>
        <v>268</v>
      </c>
    </row>
    <row r="34" spans="1:14">
      <c r="A34" s="3" t="s">
        <v>136</v>
      </c>
      <c r="B34" s="3" t="s">
        <v>125</v>
      </c>
      <c r="C34" s="3" t="s">
        <v>138</v>
      </c>
      <c r="D34" s="23">
        <v>2018</v>
      </c>
      <c r="E34" s="8"/>
      <c r="F34" s="8"/>
      <c r="G34" s="8"/>
      <c r="H34" s="8"/>
      <c r="I34" s="23" t="s">
        <v>139</v>
      </c>
      <c r="J34" s="23" t="s">
        <v>120</v>
      </c>
      <c r="K34" s="23">
        <v>90</v>
      </c>
      <c r="L34" s="23">
        <v>95</v>
      </c>
      <c r="M34" s="23">
        <v>92</v>
      </c>
      <c r="N34" s="23">
        <f t="shared" si="1"/>
        <v>277</v>
      </c>
    </row>
    <row r="35" spans="1:14">
      <c r="A35" s="3" t="s">
        <v>140</v>
      </c>
      <c r="B35" s="3" t="s">
        <v>120</v>
      </c>
      <c r="C35" s="3" t="s">
        <v>141</v>
      </c>
      <c r="D35" s="23">
        <v>2015</v>
      </c>
      <c r="E35" s="8"/>
      <c r="F35" s="8"/>
      <c r="G35" s="8"/>
      <c r="H35" s="8"/>
      <c r="I35" s="23" t="s">
        <v>142</v>
      </c>
      <c r="J35" s="23" t="s">
        <v>120</v>
      </c>
      <c r="K35" s="23">
        <v>88</v>
      </c>
      <c r="L35" s="23">
        <v>84</v>
      </c>
      <c r="M35" s="23">
        <v>80</v>
      </c>
      <c r="N35" s="23">
        <f t="shared" si="1"/>
        <v>252</v>
      </c>
    </row>
    <row r="36" spans="1:14">
      <c r="A36" s="3" t="s">
        <v>143</v>
      </c>
      <c r="B36" s="3" t="s">
        <v>125</v>
      </c>
      <c r="C36" s="3" t="s">
        <v>121</v>
      </c>
      <c r="D36" s="23">
        <v>2018</v>
      </c>
      <c r="E36" s="8"/>
      <c r="F36" s="8"/>
      <c r="G36" s="8"/>
      <c r="H36" s="8"/>
      <c r="I36" s="23" t="s">
        <v>144</v>
      </c>
      <c r="J36" s="23" t="s">
        <v>125</v>
      </c>
      <c r="K36" s="23">
        <v>77</v>
      </c>
      <c r="L36" s="23">
        <v>80</v>
      </c>
      <c r="M36" s="23">
        <v>79</v>
      </c>
      <c r="N36" s="23">
        <f t="shared" si="1"/>
        <v>236</v>
      </c>
    </row>
    <row r="37" spans="1:14">
      <c r="A37" s="3" t="s">
        <v>145</v>
      </c>
      <c r="B37" s="3" t="s">
        <v>125</v>
      </c>
      <c r="C37" s="3" t="s">
        <v>138</v>
      </c>
      <c r="D37" s="23">
        <v>2017</v>
      </c>
      <c r="E37" s="8"/>
      <c r="F37" s="8"/>
      <c r="G37" s="8"/>
      <c r="H37" s="8"/>
      <c r="I37" s="23" t="s">
        <v>146</v>
      </c>
      <c r="J37" s="23" t="s">
        <v>125</v>
      </c>
      <c r="K37" s="23">
        <v>80</v>
      </c>
      <c r="L37" s="23">
        <v>85</v>
      </c>
      <c r="M37" s="23">
        <v>90</v>
      </c>
      <c r="N37" s="23">
        <f t="shared" si="1"/>
        <v>255</v>
      </c>
    </row>
    <row r="38" spans="1:14">
      <c r="A38" s="3" t="s">
        <v>147</v>
      </c>
      <c r="B38" s="3" t="s">
        <v>120</v>
      </c>
      <c r="C38" s="3" t="s">
        <v>126</v>
      </c>
      <c r="D38" s="23">
        <v>2018</v>
      </c>
      <c r="E38" s="8"/>
      <c r="F38" s="8"/>
      <c r="G38" s="8"/>
      <c r="H38" s="8"/>
      <c r="I38" s="8"/>
      <c r="J38" s="8"/>
      <c r="K38" s="8"/>
      <c r="L38" s="8"/>
      <c r="M38" s="8"/>
      <c r="N38" s="8"/>
    </row>
    <row r="39" spans="1:14">
      <c r="A39" s="200" t="s">
        <v>149</v>
      </c>
      <c r="B39" s="201"/>
      <c r="C39" s="202"/>
      <c r="D39" s="23"/>
      <c r="E39" s="8"/>
      <c r="F39" s="8"/>
      <c r="G39" s="8"/>
      <c r="H39" s="8"/>
      <c r="I39" s="8"/>
      <c r="J39" s="8"/>
      <c r="K39" s="8"/>
      <c r="L39" s="200" t="s">
        <v>150</v>
      </c>
      <c r="M39" s="201"/>
      <c r="N39" s="202"/>
    </row>
    <row r="40" spans="1:14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197"/>
      <c r="M40" s="198"/>
      <c r="N40" s="199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41"/>
  <sheetViews>
    <sheetView topLeftCell="A19" workbookViewId="0">
      <selection activeCell="M46" sqref="M46"/>
    </sheetView>
  </sheetViews>
  <sheetFormatPr defaultRowHeight="16.5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>
      <c r="A1" s="8" t="s">
        <v>2</v>
      </c>
      <c r="B1" s="9" t="s">
        <v>3</v>
      </c>
      <c r="C1" s="8"/>
      <c r="D1" s="8"/>
      <c r="E1" s="8"/>
      <c r="F1" s="8"/>
      <c r="G1" s="8"/>
      <c r="H1" s="8"/>
      <c r="I1" s="8" t="s">
        <v>4</v>
      </c>
      <c r="J1" s="9" t="s">
        <v>5</v>
      </c>
      <c r="K1" s="8"/>
      <c r="L1" s="8"/>
      <c r="M1" s="8"/>
      <c r="N1" s="8"/>
    </row>
    <row r="2" spans="1:14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8"/>
      <c r="G2" s="8"/>
      <c r="H2" s="8"/>
      <c r="I2" s="1" t="s">
        <v>11</v>
      </c>
      <c r="J2" s="1" t="s">
        <v>12</v>
      </c>
      <c r="K2" s="1" t="s">
        <v>13</v>
      </c>
      <c r="L2" s="1" t="s">
        <v>14</v>
      </c>
      <c r="M2" s="8"/>
      <c r="N2" s="8"/>
    </row>
    <row r="3" spans="1:14">
      <c r="A3" s="1" t="s">
        <v>15</v>
      </c>
      <c r="B3" s="1" t="s">
        <v>16</v>
      </c>
      <c r="C3" s="1" t="s">
        <v>17</v>
      </c>
      <c r="D3" s="10">
        <v>28500</v>
      </c>
      <c r="E3" s="10">
        <v>1124</v>
      </c>
      <c r="F3" s="8"/>
      <c r="G3" s="8"/>
      <c r="H3" s="8"/>
      <c r="I3" s="1" t="s">
        <v>18</v>
      </c>
      <c r="J3" s="1" t="s">
        <v>19</v>
      </c>
      <c r="K3" s="10">
        <v>585</v>
      </c>
      <c r="L3" s="11">
        <f t="shared" ref="L3:L10" si="0">K3*12000</f>
        <v>7020000</v>
      </c>
      <c r="M3" s="8"/>
      <c r="N3" s="8"/>
    </row>
    <row r="4" spans="1:14">
      <c r="A4" s="1" t="s">
        <v>20</v>
      </c>
      <c r="B4" s="1" t="s">
        <v>21</v>
      </c>
      <c r="C4" s="1" t="s">
        <v>22</v>
      </c>
      <c r="D4" s="10">
        <v>39000</v>
      </c>
      <c r="E4" s="10">
        <v>1351</v>
      </c>
      <c r="F4" s="8"/>
      <c r="G4" s="8"/>
      <c r="H4" s="8"/>
      <c r="I4" s="1" t="s">
        <v>23</v>
      </c>
      <c r="J4" s="1" t="s">
        <v>24</v>
      </c>
      <c r="K4" s="10">
        <v>594</v>
      </c>
      <c r="L4" s="11">
        <f t="shared" si="0"/>
        <v>7128000</v>
      </c>
      <c r="M4" s="8"/>
      <c r="N4" s="8"/>
    </row>
    <row r="5" spans="1:14">
      <c r="A5" s="1" t="s">
        <v>15</v>
      </c>
      <c r="B5" s="1" t="s">
        <v>25</v>
      </c>
      <c r="C5" s="1" t="s">
        <v>26</v>
      </c>
      <c r="D5" s="10">
        <v>30000</v>
      </c>
      <c r="E5" s="10">
        <v>1122</v>
      </c>
      <c r="F5" s="8"/>
      <c r="G5" s="8"/>
      <c r="H5" s="8"/>
      <c r="I5" s="1" t="s">
        <v>18</v>
      </c>
      <c r="J5" s="1" t="s">
        <v>27</v>
      </c>
      <c r="K5" s="10">
        <v>696</v>
      </c>
      <c r="L5" s="11">
        <f t="shared" si="0"/>
        <v>8352000</v>
      </c>
      <c r="M5" s="8"/>
      <c r="N5" s="8"/>
    </row>
    <row r="6" spans="1:14">
      <c r="A6" s="1" t="s">
        <v>28</v>
      </c>
      <c r="B6" s="1" t="s">
        <v>29</v>
      </c>
      <c r="C6" s="1" t="s">
        <v>30</v>
      </c>
      <c r="D6" s="10">
        <v>40000</v>
      </c>
      <c r="E6" s="10">
        <v>1452</v>
      </c>
      <c r="F6" s="8"/>
      <c r="G6" s="8"/>
      <c r="H6" s="8"/>
      <c r="I6" s="1" t="s">
        <v>18</v>
      </c>
      <c r="J6" s="1" t="s">
        <v>31</v>
      </c>
      <c r="K6" s="10">
        <v>857</v>
      </c>
      <c r="L6" s="11">
        <f t="shared" si="0"/>
        <v>10284000</v>
      </c>
      <c r="M6" s="8"/>
      <c r="N6" s="8"/>
    </row>
    <row r="7" spans="1:14">
      <c r="A7" s="1" t="s">
        <v>20</v>
      </c>
      <c r="B7" s="1" t="s">
        <v>32</v>
      </c>
      <c r="C7" s="1" t="s">
        <v>33</v>
      </c>
      <c r="D7" s="10">
        <v>45500</v>
      </c>
      <c r="E7" s="10">
        <v>1753</v>
      </c>
      <c r="F7" s="8"/>
      <c r="G7" s="8"/>
      <c r="H7" s="8"/>
      <c r="I7" s="1" t="s">
        <v>34</v>
      </c>
      <c r="J7" s="1" t="s">
        <v>35</v>
      </c>
      <c r="K7" s="10">
        <v>584</v>
      </c>
      <c r="L7" s="11">
        <f t="shared" si="0"/>
        <v>7008000</v>
      </c>
      <c r="M7" s="8"/>
      <c r="N7" s="8"/>
    </row>
    <row r="8" spans="1:14">
      <c r="A8" s="1" t="s">
        <v>15</v>
      </c>
      <c r="B8" s="1" t="s">
        <v>36</v>
      </c>
      <c r="C8" s="1" t="s">
        <v>37</v>
      </c>
      <c r="D8" s="10">
        <v>24500</v>
      </c>
      <c r="E8" s="10">
        <v>1654</v>
      </c>
      <c r="F8" s="8"/>
      <c r="G8" s="1" t="s">
        <v>38</v>
      </c>
      <c r="H8" s="8"/>
      <c r="I8" s="1" t="s">
        <v>34</v>
      </c>
      <c r="J8" s="1" t="s">
        <v>39</v>
      </c>
      <c r="K8" s="10">
        <v>429</v>
      </c>
      <c r="L8" s="11">
        <f t="shared" si="0"/>
        <v>5148000</v>
      </c>
      <c r="M8" s="8"/>
      <c r="N8" s="8"/>
    </row>
    <row r="9" spans="1:14">
      <c r="A9" s="1" t="s">
        <v>28</v>
      </c>
      <c r="B9" s="1" t="s">
        <v>40</v>
      </c>
      <c r="C9" s="1" t="s">
        <v>41</v>
      </c>
      <c r="D9" s="10">
        <v>35800</v>
      </c>
      <c r="E9" s="10">
        <v>1324</v>
      </c>
      <c r="F9" s="8"/>
      <c r="G9" s="23" t="s">
        <v>6</v>
      </c>
      <c r="H9" s="8"/>
      <c r="I9" s="1" t="s">
        <v>34</v>
      </c>
      <c r="J9" s="1" t="s">
        <v>42</v>
      </c>
      <c r="K9" s="10">
        <v>826</v>
      </c>
      <c r="L9" s="11">
        <f t="shared" si="0"/>
        <v>9912000</v>
      </c>
      <c r="M9" s="23" t="s">
        <v>11</v>
      </c>
      <c r="N9" s="23" t="s">
        <v>13</v>
      </c>
    </row>
    <row r="10" spans="1:14">
      <c r="A10" s="1" t="s">
        <v>43</v>
      </c>
      <c r="B10" s="1" t="s">
        <v>44</v>
      </c>
      <c r="C10" s="1" t="s">
        <v>45</v>
      </c>
      <c r="D10" s="10">
        <v>50000</v>
      </c>
      <c r="E10" s="10">
        <v>1647</v>
      </c>
      <c r="F10" s="8"/>
      <c r="G10" s="23" t="s">
        <v>20</v>
      </c>
      <c r="H10" s="8"/>
      <c r="I10" s="1" t="s">
        <v>34</v>
      </c>
      <c r="J10" s="1" t="s">
        <v>46</v>
      </c>
      <c r="K10" s="10">
        <v>701</v>
      </c>
      <c r="L10" s="11">
        <f t="shared" si="0"/>
        <v>8412000</v>
      </c>
      <c r="M10" s="23" t="s">
        <v>34</v>
      </c>
      <c r="N10" s="1" t="s">
        <v>371</v>
      </c>
    </row>
    <row r="11" spans="1:14">
      <c r="A11" s="200" t="s">
        <v>47</v>
      </c>
      <c r="B11" s="201"/>
      <c r="C11" s="201"/>
      <c r="D11" s="202"/>
      <c r="E11" s="12" t="str">
        <f>DSUM(A2:E10,E2,G9:G10)&amp;"매"</f>
        <v>4751매</v>
      </c>
      <c r="F11" s="8"/>
      <c r="G11" s="8"/>
      <c r="H11" s="8"/>
      <c r="I11" s="203" t="s">
        <v>48</v>
      </c>
      <c r="J11" s="203"/>
      <c r="K11" s="203"/>
      <c r="L11" s="10">
        <f>DAVERAGE(I2:L10,L2,M9:N10)</f>
        <v>9162000</v>
      </c>
      <c r="M11" s="8"/>
    </row>
    <row r="12" spans="1:14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</row>
    <row r="13" spans="1:14">
      <c r="A13" s="8" t="s">
        <v>49</v>
      </c>
      <c r="B13" s="9" t="s">
        <v>50</v>
      </c>
      <c r="C13" s="8"/>
      <c r="D13" s="8"/>
      <c r="E13" s="8"/>
      <c r="F13" s="8"/>
      <c r="G13" s="8"/>
      <c r="H13" s="8"/>
      <c r="I13" s="8" t="s">
        <v>51</v>
      </c>
      <c r="J13" s="9" t="s">
        <v>52</v>
      </c>
      <c r="K13" s="8"/>
      <c r="L13" s="8"/>
      <c r="M13" s="8"/>
      <c r="N13" s="8"/>
    </row>
    <row r="14" spans="1:14">
      <c r="A14" s="1" t="s">
        <v>12</v>
      </c>
      <c r="B14" s="1" t="s">
        <v>53</v>
      </c>
      <c r="C14" s="1" t="s">
        <v>54</v>
      </c>
      <c r="D14" s="1" t="s">
        <v>55</v>
      </c>
      <c r="E14" s="1" t="s">
        <v>56</v>
      </c>
      <c r="F14" s="8"/>
      <c r="G14" s="8"/>
      <c r="H14" s="8"/>
      <c r="I14" s="1" t="s">
        <v>57</v>
      </c>
      <c r="J14" s="1" t="s">
        <v>58</v>
      </c>
      <c r="K14" s="1" t="s">
        <v>59</v>
      </c>
      <c r="L14" s="1" t="s">
        <v>60</v>
      </c>
      <c r="M14" s="8"/>
      <c r="N14" s="8"/>
    </row>
    <row r="15" spans="1:14">
      <c r="A15" s="1" t="s">
        <v>61</v>
      </c>
      <c r="B15" s="1" t="s">
        <v>62</v>
      </c>
      <c r="C15" s="1" t="s">
        <v>63</v>
      </c>
      <c r="D15" s="1"/>
      <c r="E15" s="1" t="s">
        <v>64</v>
      </c>
      <c r="F15" s="8"/>
      <c r="G15" s="8"/>
      <c r="H15" s="8"/>
      <c r="I15" s="1" t="s">
        <v>65</v>
      </c>
      <c r="J15" s="1" t="s">
        <v>66</v>
      </c>
      <c r="K15" s="1" t="s">
        <v>67</v>
      </c>
      <c r="L15" s="11">
        <v>945000</v>
      </c>
      <c r="M15" s="8"/>
      <c r="N15" s="8"/>
    </row>
    <row r="16" spans="1:14">
      <c r="A16" s="1" t="s">
        <v>68</v>
      </c>
      <c r="B16" s="1" t="s">
        <v>69</v>
      </c>
      <c r="C16" s="1" t="s">
        <v>64</v>
      </c>
      <c r="D16" s="1" t="s">
        <v>64</v>
      </c>
      <c r="E16" s="1"/>
      <c r="F16" s="8"/>
      <c r="G16" s="8"/>
      <c r="H16" s="8"/>
      <c r="I16" s="1" t="s">
        <v>70</v>
      </c>
      <c r="J16" s="1" t="s">
        <v>71</v>
      </c>
      <c r="K16" s="1" t="s">
        <v>72</v>
      </c>
      <c r="L16" s="11">
        <v>895000</v>
      </c>
      <c r="M16" s="8"/>
      <c r="N16" s="8"/>
    </row>
    <row r="17" spans="1:14">
      <c r="A17" s="1" t="s">
        <v>73</v>
      </c>
      <c r="B17" s="1" t="s">
        <v>74</v>
      </c>
      <c r="C17" s="1"/>
      <c r="D17" s="1" t="s">
        <v>64</v>
      </c>
      <c r="E17" s="1" t="s">
        <v>75</v>
      </c>
      <c r="F17" s="8"/>
      <c r="G17" s="8"/>
      <c r="H17" s="8"/>
      <c r="I17" s="1" t="s">
        <v>76</v>
      </c>
      <c r="J17" s="1" t="s">
        <v>77</v>
      </c>
      <c r="K17" s="1" t="s">
        <v>67</v>
      </c>
      <c r="L17" s="11">
        <v>920000</v>
      </c>
      <c r="M17" s="8"/>
      <c r="N17" s="8"/>
    </row>
    <row r="18" spans="1:14">
      <c r="A18" s="1" t="s">
        <v>78</v>
      </c>
      <c r="B18" s="1" t="s">
        <v>74</v>
      </c>
      <c r="C18" s="1" t="s">
        <v>75</v>
      </c>
      <c r="D18" s="1"/>
      <c r="E18" s="1"/>
      <c r="F18" s="8"/>
      <c r="G18" s="8"/>
      <c r="H18" s="8"/>
      <c r="I18" s="1" t="s">
        <v>79</v>
      </c>
      <c r="J18" s="1" t="s">
        <v>80</v>
      </c>
      <c r="K18" s="1" t="s">
        <v>81</v>
      </c>
      <c r="L18" s="11">
        <v>1150000</v>
      </c>
      <c r="M18" s="8"/>
      <c r="N18" s="8"/>
    </row>
    <row r="19" spans="1:14">
      <c r="A19" s="1" t="s">
        <v>82</v>
      </c>
      <c r="B19" s="1" t="s">
        <v>83</v>
      </c>
      <c r="C19" s="1" t="s">
        <v>75</v>
      </c>
      <c r="D19" s="1" t="s">
        <v>64</v>
      </c>
      <c r="E19" s="1" t="s">
        <v>64</v>
      </c>
      <c r="F19" s="8"/>
      <c r="G19" s="8"/>
      <c r="H19" s="8"/>
      <c r="I19" s="1" t="s">
        <v>84</v>
      </c>
      <c r="J19" s="1" t="s">
        <v>85</v>
      </c>
      <c r="K19" s="1" t="s">
        <v>67</v>
      </c>
      <c r="L19" s="11">
        <v>980000</v>
      </c>
      <c r="M19" s="8"/>
      <c r="N19" s="8"/>
    </row>
    <row r="20" spans="1:14">
      <c r="A20" s="1" t="s">
        <v>86</v>
      </c>
      <c r="B20" s="1" t="s">
        <v>87</v>
      </c>
      <c r="C20" s="1"/>
      <c r="D20" s="1" t="s">
        <v>75</v>
      </c>
      <c r="E20" s="1"/>
      <c r="F20" s="8"/>
      <c r="G20" s="8"/>
      <c r="H20" s="8"/>
      <c r="I20" s="1" t="s">
        <v>88</v>
      </c>
      <c r="J20" s="1" t="s">
        <v>71</v>
      </c>
      <c r="K20" s="1" t="s">
        <v>89</v>
      </c>
      <c r="L20" s="11">
        <v>900000</v>
      </c>
      <c r="M20" s="8"/>
      <c r="N20" s="8"/>
    </row>
    <row r="21" spans="1:14">
      <c r="A21" s="1" t="s">
        <v>90</v>
      </c>
      <c r="B21" s="1" t="s">
        <v>87</v>
      </c>
      <c r="C21" s="1" t="s">
        <v>91</v>
      </c>
      <c r="D21" s="1"/>
      <c r="E21" s="1" t="s">
        <v>91</v>
      </c>
      <c r="F21" s="8"/>
      <c r="G21" s="8"/>
      <c r="H21" s="8"/>
      <c r="I21" s="1" t="s">
        <v>92</v>
      </c>
      <c r="J21" s="1" t="s">
        <v>93</v>
      </c>
      <c r="K21" s="1" t="s">
        <v>94</v>
      </c>
      <c r="L21" s="11">
        <v>885000</v>
      </c>
      <c r="M21" s="8"/>
      <c r="N21" s="8"/>
    </row>
    <row r="22" spans="1:14">
      <c r="A22" s="1" t="s">
        <v>95</v>
      </c>
      <c r="B22" s="1" t="s">
        <v>74</v>
      </c>
      <c r="C22" s="1" t="s">
        <v>64</v>
      </c>
      <c r="D22" s="1"/>
      <c r="E22" s="1"/>
      <c r="F22" s="8"/>
      <c r="G22" s="8"/>
      <c r="H22" s="8"/>
      <c r="I22" s="1" t="s">
        <v>96</v>
      </c>
      <c r="J22" s="1" t="s">
        <v>97</v>
      </c>
      <c r="K22" s="1" t="s">
        <v>89</v>
      </c>
      <c r="L22" s="11">
        <v>985000</v>
      </c>
      <c r="M22" s="8"/>
      <c r="N22" s="8"/>
    </row>
    <row r="23" spans="1:14">
      <c r="A23" s="1" t="s">
        <v>98</v>
      </c>
      <c r="B23" s="1" t="s">
        <v>87</v>
      </c>
      <c r="C23" s="1"/>
      <c r="D23" s="1" t="s">
        <v>91</v>
      </c>
      <c r="E23" s="1" t="s">
        <v>91</v>
      </c>
      <c r="F23" s="8"/>
      <c r="G23" s="8"/>
      <c r="H23" s="8"/>
      <c r="I23" s="1" t="s">
        <v>99</v>
      </c>
      <c r="J23" s="1" t="s">
        <v>66</v>
      </c>
      <c r="K23" s="1" t="s">
        <v>100</v>
      </c>
      <c r="L23" s="11">
        <v>1200000</v>
      </c>
      <c r="M23" s="8"/>
      <c r="N23" s="8"/>
    </row>
    <row r="24" spans="1:14">
      <c r="A24" s="1" t="s">
        <v>101</v>
      </c>
      <c r="B24" s="1" t="s">
        <v>83</v>
      </c>
      <c r="C24" s="1" t="s">
        <v>91</v>
      </c>
      <c r="D24" s="1"/>
      <c r="E24" s="1" t="s">
        <v>91</v>
      </c>
      <c r="F24" s="8"/>
      <c r="G24" s="23" t="s">
        <v>53</v>
      </c>
      <c r="H24" s="8"/>
      <c r="I24" s="1" t="s">
        <v>102</v>
      </c>
      <c r="J24" s="1" t="s">
        <v>93</v>
      </c>
      <c r="K24" s="1" t="s">
        <v>81</v>
      </c>
      <c r="L24" s="11">
        <v>1100000</v>
      </c>
      <c r="M24" s="203" t="s">
        <v>103</v>
      </c>
      <c r="N24" s="203"/>
    </row>
    <row r="25" spans="1:14">
      <c r="A25" s="203" t="s">
        <v>104</v>
      </c>
      <c r="B25" s="203"/>
      <c r="C25" s="203"/>
      <c r="D25" s="203"/>
      <c r="E25" s="1" t="str">
        <f>DCOUNTA(A14:E24,3,G24:G25)&amp;"명"</f>
        <v>2명</v>
      </c>
      <c r="F25" s="8"/>
      <c r="G25" s="23" t="s">
        <v>69</v>
      </c>
      <c r="H25" s="8"/>
      <c r="I25" s="1" t="s">
        <v>105</v>
      </c>
      <c r="J25" s="1" t="s">
        <v>85</v>
      </c>
      <c r="K25" s="1" t="s">
        <v>94</v>
      </c>
      <c r="L25" s="11">
        <v>900000</v>
      </c>
      <c r="M25" s="204">
        <f>DMAX(I14:L25,L14,J14:J15)-DMIN(I14:L25,L14,J14:J15)</f>
        <v>300000</v>
      </c>
      <c r="N25" s="204"/>
    </row>
    <row r="26" spans="1:14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</row>
    <row r="27" spans="1:14">
      <c r="A27" s="8" t="s">
        <v>106</v>
      </c>
      <c r="B27" s="9" t="s">
        <v>107</v>
      </c>
      <c r="C27" s="8"/>
      <c r="D27" s="8"/>
      <c r="E27" s="8"/>
      <c r="F27" s="8"/>
      <c r="G27" s="8"/>
      <c r="H27" s="8"/>
      <c r="I27" s="8" t="s">
        <v>108</v>
      </c>
      <c r="J27" s="9" t="s">
        <v>109</v>
      </c>
      <c r="K27" s="8"/>
      <c r="L27" s="8"/>
      <c r="M27" s="8"/>
      <c r="N27" s="8"/>
    </row>
    <row r="28" spans="1:14">
      <c r="A28" s="1" t="s">
        <v>110</v>
      </c>
      <c r="B28" s="1" t="s">
        <v>111</v>
      </c>
      <c r="C28" s="1" t="s">
        <v>112</v>
      </c>
      <c r="D28" s="1" t="s">
        <v>113</v>
      </c>
      <c r="E28" s="8"/>
      <c r="F28" s="8"/>
      <c r="G28" s="8"/>
      <c r="H28" s="8"/>
      <c r="I28" s="1" t="s">
        <v>114</v>
      </c>
      <c r="J28" s="1" t="s">
        <v>111</v>
      </c>
      <c r="K28" s="1" t="s">
        <v>115</v>
      </c>
      <c r="L28" s="1" t="s">
        <v>116</v>
      </c>
      <c r="M28" s="1" t="s">
        <v>117</v>
      </c>
      <c r="N28" s="1" t="s">
        <v>118</v>
      </c>
    </row>
    <row r="29" spans="1:14">
      <c r="A29" s="3" t="s">
        <v>119</v>
      </c>
      <c r="B29" s="3" t="s">
        <v>120</v>
      </c>
      <c r="C29" s="3" t="s">
        <v>121</v>
      </c>
      <c r="D29" s="1">
        <v>2018</v>
      </c>
      <c r="E29" s="8"/>
      <c r="F29" s="8"/>
      <c r="G29" s="8"/>
      <c r="H29" s="8"/>
      <c r="I29" s="1" t="s">
        <v>122</v>
      </c>
      <c r="J29" s="1" t="s">
        <v>123</v>
      </c>
      <c r="K29" s="1">
        <v>88</v>
      </c>
      <c r="L29" s="1">
        <v>89</v>
      </c>
      <c r="M29" s="1">
        <v>90</v>
      </c>
      <c r="N29" s="1">
        <f t="shared" ref="N29:N37" si="1">SUM(K29:M29)</f>
        <v>267</v>
      </c>
    </row>
    <row r="30" spans="1:14">
      <c r="A30" s="3" t="s">
        <v>124</v>
      </c>
      <c r="B30" s="3" t="s">
        <v>125</v>
      </c>
      <c r="C30" s="3" t="s">
        <v>126</v>
      </c>
      <c r="D30" s="1">
        <v>2015</v>
      </c>
      <c r="E30" s="8"/>
      <c r="F30" s="8"/>
      <c r="G30" s="8"/>
      <c r="H30" s="8"/>
      <c r="I30" s="1" t="s">
        <v>127</v>
      </c>
      <c r="J30" s="1" t="s">
        <v>125</v>
      </c>
      <c r="K30" s="1">
        <v>79</v>
      </c>
      <c r="L30" s="1">
        <v>85</v>
      </c>
      <c r="M30" s="1">
        <v>69</v>
      </c>
      <c r="N30" s="1">
        <f t="shared" si="1"/>
        <v>233</v>
      </c>
    </row>
    <row r="31" spans="1:14">
      <c r="A31" s="3" t="s">
        <v>128</v>
      </c>
      <c r="B31" s="3" t="s">
        <v>123</v>
      </c>
      <c r="C31" s="3" t="s">
        <v>126</v>
      </c>
      <c r="D31" s="1">
        <v>2015</v>
      </c>
      <c r="E31" s="8"/>
      <c r="F31" s="8"/>
      <c r="G31" s="8"/>
      <c r="H31" s="8"/>
      <c r="I31" s="1" t="s">
        <v>129</v>
      </c>
      <c r="J31" s="1" t="s">
        <v>123</v>
      </c>
      <c r="K31" s="1">
        <v>92</v>
      </c>
      <c r="L31" s="1">
        <v>90</v>
      </c>
      <c r="M31" s="1">
        <v>89</v>
      </c>
      <c r="N31" s="1">
        <f t="shared" si="1"/>
        <v>271</v>
      </c>
    </row>
    <row r="32" spans="1:14">
      <c r="A32" s="3" t="s">
        <v>130</v>
      </c>
      <c r="B32" s="3" t="s">
        <v>123</v>
      </c>
      <c r="C32" s="3" t="s">
        <v>131</v>
      </c>
      <c r="D32" s="1">
        <v>2016</v>
      </c>
      <c r="E32" s="8"/>
      <c r="F32" s="8"/>
      <c r="G32" s="8"/>
      <c r="H32" s="8"/>
      <c r="I32" s="1" t="s">
        <v>132</v>
      </c>
      <c r="J32" s="1" t="s">
        <v>133</v>
      </c>
      <c r="K32" s="1">
        <v>94</v>
      </c>
      <c r="L32" s="1">
        <v>95</v>
      </c>
      <c r="M32" s="1">
        <v>89</v>
      </c>
      <c r="N32" s="1">
        <f t="shared" si="1"/>
        <v>278</v>
      </c>
    </row>
    <row r="33" spans="1:14">
      <c r="A33" s="3" t="s">
        <v>134</v>
      </c>
      <c r="B33" s="3" t="s">
        <v>125</v>
      </c>
      <c r="C33" s="3" t="s">
        <v>121</v>
      </c>
      <c r="D33" s="1">
        <v>2015</v>
      </c>
      <c r="E33" s="8"/>
      <c r="F33" s="8"/>
      <c r="G33" s="8"/>
      <c r="H33" s="8"/>
      <c r="I33" s="1" t="s">
        <v>135</v>
      </c>
      <c r="J33" s="1" t="s">
        <v>125</v>
      </c>
      <c r="K33" s="1">
        <v>86</v>
      </c>
      <c r="L33" s="1">
        <v>92</v>
      </c>
      <c r="M33" s="1">
        <v>90</v>
      </c>
      <c r="N33" s="1">
        <f t="shared" si="1"/>
        <v>268</v>
      </c>
    </row>
    <row r="34" spans="1:14">
      <c r="A34" s="3" t="s">
        <v>136</v>
      </c>
      <c r="B34" s="3" t="s">
        <v>137</v>
      </c>
      <c r="C34" s="3" t="s">
        <v>138</v>
      </c>
      <c r="D34" s="1">
        <v>2018</v>
      </c>
      <c r="E34" s="8"/>
      <c r="F34" s="8"/>
      <c r="G34" s="8"/>
      <c r="H34" s="8"/>
      <c r="I34" s="1" t="s">
        <v>139</v>
      </c>
      <c r="J34" s="1" t="s">
        <v>123</v>
      </c>
      <c r="K34" s="1">
        <v>90</v>
      </c>
      <c r="L34" s="1">
        <v>95</v>
      </c>
      <c r="M34" s="1">
        <v>92</v>
      </c>
      <c r="N34" s="1">
        <f t="shared" si="1"/>
        <v>277</v>
      </c>
    </row>
    <row r="35" spans="1:14">
      <c r="A35" s="3" t="s">
        <v>140</v>
      </c>
      <c r="B35" s="3" t="s">
        <v>123</v>
      </c>
      <c r="C35" s="3" t="s">
        <v>141</v>
      </c>
      <c r="D35" s="1">
        <v>2015</v>
      </c>
      <c r="E35" s="8"/>
      <c r="F35" s="8"/>
      <c r="G35" s="8"/>
      <c r="H35" s="8"/>
      <c r="I35" s="1" t="s">
        <v>142</v>
      </c>
      <c r="J35" s="1" t="s">
        <v>123</v>
      </c>
      <c r="K35" s="1">
        <v>88</v>
      </c>
      <c r="L35" s="1">
        <v>84</v>
      </c>
      <c r="M35" s="1">
        <v>80</v>
      </c>
      <c r="N35" s="1">
        <f t="shared" si="1"/>
        <v>252</v>
      </c>
    </row>
    <row r="36" spans="1:14">
      <c r="A36" s="3" t="s">
        <v>143</v>
      </c>
      <c r="B36" s="3" t="s">
        <v>133</v>
      </c>
      <c r="C36" s="3" t="s">
        <v>121</v>
      </c>
      <c r="D36" s="1">
        <v>2018</v>
      </c>
      <c r="E36" s="8"/>
      <c r="F36" s="8"/>
      <c r="G36" s="8"/>
      <c r="H36" s="8"/>
      <c r="I36" s="1" t="s">
        <v>144</v>
      </c>
      <c r="J36" s="1" t="s">
        <v>133</v>
      </c>
      <c r="K36" s="1">
        <v>77</v>
      </c>
      <c r="L36" s="1">
        <v>80</v>
      </c>
      <c r="M36" s="1">
        <v>79</v>
      </c>
      <c r="N36" s="1">
        <f t="shared" si="1"/>
        <v>236</v>
      </c>
    </row>
    <row r="37" spans="1:14">
      <c r="A37" s="3" t="s">
        <v>145</v>
      </c>
      <c r="B37" s="3" t="s">
        <v>133</v>
      </c>
      <c r="C37" s="3" t="s">
        <v>138</v>
      </c>
      <c r="D37" s="1">
        <v>2017</v>
      </c>
      <c r="E37" s="8"/>
      <c r="F37" s="8"/>
      <c r="G37" s="8"/>
      <c r="H37" s="8"/>
      <c r="I37" s="1" t="s">
        <v>146</v>
      </c>
      <c r="J37" s="1" t="s">
        <v>125</v>
      </c>
      <c r="K37" s="1">
        <v>80</v>
      </c>
      <c r="L37" s="1">
        <v>85</v>
      </c>
      <c r="M37" s="1">
        <v>90</v>
      </c>
      <c r="N37" s="1">
        <f t="shared" si="1"/>
        <v>255</v>
      </c>
    </row>
    <row r="38" spans="1:14">
      <c r="A38" s="3" t="s">
        <v>147</v>
      </c>
      <c r="B38" s="3" t="s">
        <v>123</v>
      </c>
      <c r="C38" s="3" t="s">
        <v>148</v>
      </c>
      <c r="D38" s="1">
        <v>2018</v>
      </c>
      <c r="E38" s="8"/>
      <c r="F38" s="8"/>
      <c r="G38" s="8"/>
      <c r="H38" s="8"/>
      <c r="I38" s="8"/>
      <c r="J38" s="8"/>
      <c r="K38" s="8"/>
      <c r="L38" s="8"/>
      <c r="M38" s="8"/>
      <c r="N38" s="8"/>
    </row>
    <row r="39" spans="1:14">
      <c r="A39" s="200" t="s">
        <v>149</v>
      </c>
      <c r="B39" s="201"/>
      <c r="C39" s="202"/>
      <c r="D39" s="1" t="str">
        <f>DCOUNT(A28:D38,4,C28:C29)&amp;"명"</f>
        <v>3명</v>
      </c>
      <c r="E39" s="8"/>
      <c r="F39" s="8"/>
      <c r="G39" s="8"/>
      <c r="H39" s="8"/>
      <c r="I39" s="23" t="s">
        <v>111</v>
      </c>
      <c r="J39" s="23" t="s">
        <v>116</v>
      </c>
      <c r="K39" s="23" t="s">
        <v>117</v>
      </c>
      <c r="L39" s="200" t="s">
        <v>150</v>
      </c>
      <c r="M39" s="201"/>
      <c r="N39" s="202"/>
    </row>
    <row r="40" spans="1:14">
      <c r="A40" s="8"/>
      <c r="B40" s="8"/>
      <c r="C40" s="8"/>
      <c r="D40" s="8"/>
      <c r="E40" s="8"/>
      <c r="F40" s="8"/>
      <c r="G40" s="8"/>
      <c r="H40" s="8"/>
      <c r="I40" s="23" t="s">
        <v>125</v>
      </c>
      <c r="J40" s="6" t="s">
        <v>372</v>
      </c>
      <c r="K40" s="8"/>
      <c r="L40" s="197">
        <f>DAVERAGE(I28:N37,6,I39:K41)</f>
        <v>272.5</v>
      </c>
      <c r="M40" s="198"/>
      <c r="N40" s="199"/>
    </row>
    <row r="41" spans="1:14">
      <c r="I41" s="23" t="s">
        <v>120</v>
      </c>
      <c r="K41" t="s">
        <v>373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EBFF8-2AB5-451F-9AA1-5B45A05E30FF}">
  <sheetPr codeName="Sheet11"/>
  <dimension ref="A1:N25"/>
  <sheetViews>
    <sheetView zoomScaleNormal="100" workbookViewId="0"/>
  </sheetViews>
  <sheetFormatPr defaultColWidth="9" defaultRowHeight="16.5"/>
  <cols>
    <col min="1" max="3" width="9" style="14"/>
    <col min="4" max="5" width="10.875" style="14" bestFit="1" customWidth="1"/>
    <col min="6" max="6" width="1.625" style="14" customWidth="1"/>
    <col min="7" max="7" width="13.75" style="14" bestFit="1" customWidth="1"/>
    <col min="8" max="8" width="10.125" style="14" customWidth="1"/>
    <col min="9" max="9" width="12.75" style="14" customWidth="1"/>
    <col min="10" max="10" width="17.25" style="14" bestFit="1" customWidth="1"/>
    <col min="11" max="11" width="2.625" style="14" customWidth="1"/>
    <col min="12" max="16384" width="9" style="14"/>
  </cols>
  <sheetData>
    <row r="1" spans="1:14">
      <c r="A1" s="4" t="s">
        <v>2</v>
      </c>
      <c r="B1" s="13" t="s">
        <v>152</v>
      </c>
      <c r="C1" s="4"/>
      <c r="D1" s="4"/>
      <c r="E1" s="4"/>
      <c r="F1" s="4"/>
      <c r="G1" s="4" t="s">
        <v>4</v>
      </c>
      <c r="H1" s="13" t="s">
        <v>1293</v>
      </c>
      <c r="I1" s="4"/>
      <c r="J1" s="4"/>
      <c r="K1" s="4"/>
      <c r="L1" s="4"/>
      <c r="M1" s="4"/>
    </row>
    <row r="2" spans="1:14">
      <c r="A2" s="138" t="s">
        <v>12</v>
      </c>
      <c r="B2" s="138" t="s">
        <v>155</v>
      </c>
      <c r="C2" s="138" t="s">
        <v>156</v>
      </c>
      <c r="D2" s="138" t="s">
        <v>157</v>
      </c>
      <c r="E2" s="139" t="s">
        <v>158</v>
      </c>
      <c r="F2" s="4"/>
      <c r="G2" s="63" t="s">
        <v>1290</v>
      </c>
      <c r="H2" s="63" t="s">
        <v>1291</v>
      </c>
      <c r="I2" s="63" t="s">
        <v>1308</v>
      </c>
      <c r="J2" s="139" t="s">
        <v>1292</v>
      </c>
      <c r="K2"/>
      <c r="L2" s="4"/>
      <c r="M2" s="4"/>
    </row>
    <row r="3" spans="1:14">
      <c r="A3" s="138" t="s">
        <v>159</v>
      </c>
      <c r="B3" s="138" t="s">
        <v>160</v>
      </c>
      <c r="C3" s="138">
        <v>6</v>
      </c>
      <c r="D3" s="15">
        <v>2500000</v>
      </c>
      <c r="E3" s="15"/>
      <c r="F3" s="4"/>
      <c r="G3" s="142">
        <v>101</v>
      </c>
      <c r="H3" s="142">
        <v>307</v>
      </c>
      <c r="I3" s="142">
        <v>306</v>
      </c>
      <c r="J3" s="145"/>
      <c r="K3"/>
      <c r="L3" s="4"/>
      <c r="M3" s="4"/>
    </row>
    <row r="4" spans="1:14">
      <c r="A4" s="138" t="s">
        <v>161</v>
      </c>
      <c r="B4" s="138" t="s">
        <v>160</v>
      </c>
      <c r="C4" s="138">
        <v>7</v>
      </c>
      <c r="D4" s="15">
        <v>2600000</v>
      </c>
      <c r="E4" s="15"/>
      <c r="F4" s="4"/>
      <c r="G4" s="142">
        <v>102</v>
      </c>
      <c r="H4" s="142">
        <v>326</v>
      </c>
      <c r="I4" s="142">
        <v>322</v>
      </c>
      <c r="J4" s="145"/>
      <c r="K4"/>
      <c r="L4" s="4"/>
      <c r="M4" s="4"/>
    </row>
    <row r="5" spans="1:14">
      <c r="A5" s="138" t="s">
        <v>163</v>
      </c>
      <c r="B5" s="138" t="s">
        <v>160</v>
      </c>
      <c r="C5" s="138">
        <v>5</v>
      </c>
      <c r="D5" s="15">
        <v>2400000</v>
      </c>
      <c r="E5" s="15"/>
      <c r="F5" s="4"/>
      <c r="G5" s="142">
        <v>103</v>
      </c>
      <c r="H5" s="142">
        <v>622</v>
      </c>
      <c r="I5" s="142">
        <v>620</v>
      </c>
      <c r="J5" s="145"/>
      <c r="K5"/>
      <c r="L5" s="4"/>
      <c r="M5" s="4"/>
    </row>
    <row r="6" spans="1:14">
      <c r="A6" s="138" t="s">
        <v>164</v>
      </c>
      <c r="B6" s="138" t="s">
        <v>165</v>
      </c>
      <c r="C6" s="138">
        <v>2</v>
      </c>
      <c r="D6" s="15">
        <v>1800000</v>
      </c>
      <c r="E6" s="15"/>
      <c r="F6" s="4"/>
      <c r="G6" s="142">
        <v>104</v>
      </c>
      <c r="H6" s="142">
        <v>122</v>
      </c>
      <c r="I6" s="142">
        <v>127</v>
      </c>
      <c r="J6" s="145"/>
      <c r="K6"/>
      <c r="L6" s="4"/>
      <c r="M6" s="4"/>
    </row>
    <row r="7" spans="1:14">
      <c r="A7" s="138" t="s">
        <v>166</v>
      </c>
      <c r="B7" s="138" t="s">
        <v>165</v>
      </c>
      <c r="C7" s="138">
        <v>4</v>
      </c>
      <c r="D7" s="15">
        <v>2000000</v>
      </c>
      <c r="E7" s="15"/>
      <c r="F7" s="4"/>
      <c r="G7" s="142">
        <v>105</v>
      </c>
      <c r="H7" s="142">
        <v>104</v>
      </c>
      <c r="I7" s="142">
        <v>112</v>
      </c>
      <c r="J7" s="145"/>
      <c r="K7"/>
      <c r="L7" s="4"/>
      <c r="M7" s="4"/>
    </row>
    <row r="8" spans="1:14">
      <c r="A8" s="138" t="s">
        <v>167</v>
      </c>
      <c r="B8" s="138" t="s">
        <v>165</v>
      </c>
      <c r="C8" s="138">
        <v>3</v>
      </c>
      <c r="D8" s="15">
        <v>1900000</v>
      </c>
      <c r="E8" s="15"/>
      <c r="F8" s="4"/>
      <c r="G8" s="142">
        <v>201</v>
      </c>
      <c r="H8" s="142">
        <v>241</v>
      </c>
      <c r="I8" s="142">
        <v>239</v>
      </c>
      <c r="J8" s="145"/>
      <c r="K8"/>
      <c r="L8" s="4"/>
      <c r="M8" s="4"/>
    </row>
    <row r="9" spans="1:14">
      <c r="A9" s="138" t="s">
        <v>169</v>
      </c>
      <c r="B9" s="138" t="s">
        <v>170</v>
      </c>
      <c r="C9" s="138">
        <v>4</v>
      </c>
      <c r="D9" s="15">
        <v>1600000</v>
      </c>
      <c r="E9" s="15"/>
      <c r="F9" s="4"/>
      <c r="G9" s="142">
        <v>202</v>
      </c>
      <c r="H9" s="142">
        <v>168</v>
      </c>
      <c r="I9" s="142">
        <v>168</v>
      </c>
      <c r="J9" s="145"/>
      <c r="K9"/>
      <c r="L9" s="4"/>
      <c r="M9" s="4"/>
    </row>
    <row r="10" spans="1:14">
      <c r="A10" s="138" t="s">
        <v>171</v>
      </c>
      <c r="B10" s="138" t="s">
        <v>170</v>
      </c>
      <c r="C10" s="138">
        <v>2</v>
      </c>
      <c r="D10" s="15">
        <v>1400000</v>
      </c>
      <c r="E10" s="15"/>
      <c r="F10" s="4"/>
      <c r="G10" s="142">
        <v>203</v>
      </c>
      <c r="H10" s="142">
        <v>433</v>
      </c>
      <c r="I10" s="142">
        <v>427</v>
      </c>
      <c r="J10" s="145"/>
      <c r="K10"/>
      <c r="L10" s="4"/>
      <c r="M10" s="4"/>
    </row>
    <row r="11" spans="1:14">
      <c r="A11" s="138" t="s">
        <v>172</v>
      </c>
      <c r="B11" s="138" t="s">
        <v>170</v>
      </c>
      <c r="C11" s="138">
        <v>3</v>
      </c>
      <c r="D11" s="15">
        <v>1500000</v>
      </c>
      <c r="E11" s="15"/>
      <c r="F11" s="4"/>
      <c r="G11" s="142">
        <v>204</v>
      </c>
      <c r="H11" s="142">
        <v>665</v>
      </c>
      <c r="I11" s="142">
        <v>661</v>
      </c>
      <c r="J11" s="145"/>
      <c r="K11"/>
      <c r="L11" s="4"/>
      <c r="M11" s="4"/>
    </row>
    <row r="12" spans="1:14">
      <c r="A12" s="138" t="s">
        <v>174</v>
      </c>
      <c r="B12" s="138" t="s">
        <v>170</v>
      </c>
      <c r="C12" s="138">
        <v>1</v>
      </c>
      <c r="D12" s="15">
        <v>1300000</v>
      </c>
      <c r="E12" s="15"/>
      <c r="F12" s="4"/>
      <c r="G12" s="142">
        <v>205</v>
      </c>
      <c r="H12" s="142">
        <v>245</v>
      </c>
      <c r="I12" s="142">
        <v>248</v>
      </c>
      <c r="J12" s="145"/>
      <c r="K12"/>
      <c r="L12" s="4"/>
      <c r="M12" s="4"/>
    </row>
    <row r="13" spans="1:14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14">
      <c r="A14" s="4" t="s">
        <v>49</v>
      </c>
      <c r="B14" s="13" t="s">
        <v>177</v>
      </c>
      <c r="C14" s="4"/>
      <c r="D14" s="4"/>
      <c r="E14" s="4"/>
      <c r="F14" s="4"/>
      <c r="G14" t="s">
        <v>51</v>
      </c>
      <c r="H14"/>
      <c r="I14"/>
      <c r="J14"/>
      <c r="K14"/>
      <c r="L14" t="s">
        <v>106</v>
      </c>
      <c r="M14"/>
    </row>
    <row r="15" spans="1:14">
      <c r="A15" s="138" t="s">
        <v>179</v>
      </c>
      <c r="B15" s="138" t="s">
        <v>111</v>
      </c>
      <c r="C15" s="138" t="s">
        <v>181</v>
      </c>
      <c r="D15" s="138" t="s">
        <v>182</v>
      </c>
      <c r="E15" s="138" t="s">
        <v>183</v>
      </c>
      <c r="F15" s="4"/>
      <c r="G15" s="142" t="s">
        <v>1307</v>
      </c>
      <c r="H15" s="63" t="s">
        <v>1298</v>
      </c>
      <c r="I15" s="63" t="s">
        <v>6</v>
      </c>
      <c r="J15" s="138" t="s">
        <v>1286</v>
      </c>
      <c r="L15" s="63"/>
      <c r="M15" s="139">
        <v>2024</v>
      </c>
      <c r="N15" s="139">
        <v>2025</v>
      </c>
    </row>
    <row r="16" spans="1:14">
      <c r="A16" s="138" t="s">
        <v>184</v>
      </c>
      <c r="B16" s="138" t="s">
        <v>125</v>
      </c>
      <c r="C16" s="138" t="s">
        <v>186</v>
      </c>
      <c r="D16" s="15">
        <v>4</v>
      </c>
      <c r="E16" s="15">
        <v>1208000</v>
      </c>
      <c r="F16" s="4"/>
      <c r="G16" s="138" t="s">
        <v>242</v>
      </c>
      <c r="H16" s="63" t="s">
        <v>1302</v>
      </c>
      <c r="I16" s="63" t="s">
        <v>1295</v>
      </c>
      <c r="J16" s="113">
        <v>150</v>
      </c>
      <c r="L16" s="139" t="s">
        <v>1296</v>
      </c>
      <c r="M16" s="147"/>
      <c r="N16" s="147"/>
    </row>
    <row r="17" spans="1:14">
      <c r="A17" s="138" t="s">
        <v>187</v>
      </c>
      <c r="B17" s="138" t="s">
        <v>120</v>
      </c>
      <c r="C17" s="138" t="s">
        <v>189</v>
      </c>
      <c r="D17" s="15">
        <v>9</v>
      </c>
      <c r="E17" s="15">
        <v>2214000</v>
      </c>
      <c r="F17" s="4"/>
      <c r="G17" s="138" t="s">
        <v>246</v>
      </c>
      <c r="H17" s="63" t="s">
        <v>1303</v>
      </c>
      <c r="I17" s="63" t="s">
        <v>1297</v>
      </c>
      <c r="J17" s="113">
        <v>200</v>
      </c>
      <c r="L17" s="139" t="s">
        <v>1295</v>
      </c>
      <c r="M17" s="147"/>
      <c r="N17" s="147"/>
    </row>
    <row r="18" spans="1:14">
      <c r="A18" s="138" t="s">
        <v>190</v>
      </c>
      <c r="B18" s="138" t="s">
        <v>125</v>
      </c>
      <c r="C18" s="138" t="s">
        <v>186</v>
      </c>
      <c r="D18" s="15">
        <v>5</v>
      </c>
      <c r="E18" s="15">
        <v>1425000</v>
      </c>
      <c r="F18" s="4"/>
      <c r="G18" s="138" t="s">
        <v>250</v>
      </c>
      <c r="H18" s="63" t="s">
        <v>1304</v>
      </c>
      <c r="I18" s="63" t="s">
        <v>1295</v>
      </c>
      <c r="J18" s="113">
        <v>300</v>
      </c>
      <c r="L18" s="139" t="s">
        <v>1297</v>
      </c>
      <c r="M18" s="147"/>
      <c r="N18" s="147"/>
    </row>
    <row r="19" spans="1:14">
      <c r="A19" s="138" t="s">
        <v>192</v>
      </c>
      <c r="B19" s="138" t="s">
        <v>120</v>
      </c>
      <c r="C19" s="138" t="s">
        <v>186</v>
      </c>
      <c r="D19" s="15">
        <v>1</v>
      </c>
      <c r="E19" s="15">
        <v>265000</v>
      </c>
      <c r="F19" s="4"/>
      <c r="G19" s="138" t="s">
        <v>254</v>
      </c>
      <c r="H19" s="63" t="s">
        <v>1305</v>
      </c>
      <c r="I19" s="63" t="s">
        <v>1296</v>
      </c>
      <c r="J19" s="113">
        <v>500</v>
      </c>
      <c r="K19"/>
      <c r="L19"/>
      <c r="M19"/>
    </row>
    <row r="20" spans="1:14">
      <c r="A20" s="138" t="s">
        <v>194</v>
      </c>
      <c r="B20" s="138" t="s">
        <v>125</v>
      </c>
      <c r="C20" s="138" t="s">
        <v>195</v>
      </c>
      <c r="D20" s="15">
        <v>4</v>
      </c>
      <c r="E20" s="15">
        <v>1168000</v>
      </c>
      <c r="F20" s="4"/>
      <c r="G20" s="138" t="s">
        <v>257</v>
      </c>
      <c r="H20" s="63" t="s">
        <v>1303</v>
      </c>
      <c r="I20" s="63" t="s">
        <v>1296</v>
      </c>
      <c r="J20" s="113">
        <v>180</v>
      </c>
      <c r="K20"/>
      <c r="L20" s="144"/>
      <c r="M20"/>
    </row>
    <row r="21" spans="1:14">
      <c r="A21" s="138" t="s">
        <v>196</v>
      </c>
      <c r="B21" s="138" t="s">
        <v>120</v>
      </c>
      <c r="C21" s="138" t="s">
        <v>189</v>
      </c>
      <c r="D21" s="15">
        <v>5</v>
      </c>
      <c r="E21" s="15">
        <v>1500000</v>
      </c>
      <c r="F21" s="4"/>
      <c r="G21" s="138" t="s">
        <v>260</v>
      </c>
      <c r="H21" s="63" t="s">
        <v>1306</v>
      </c>
      <c r="I21" s="63" t="s">
        <v>1296</v>
      </c>
      <c r="J21" s="113">
        <v>280</v>
      </c>
      <c r="K21"/>
      <c r="L21"/>
      <c r="M21"/>
    </row>
    <row r="22" spans="1:14">
      <c r="A22" s="138" t="s">
        <v>198</v>
      </c>
      <c r="B22" s="138" t="s">
        <v>120</v>
      </c>
      <c r="C22" s="138" t="s">
        <v>189</v>
      </c>
      <c r="D22" s="15">
        <v>9</v>
      </c>
      <c r="E22" s="15">
        <v>2493000</v>
      </c>
      <c r="F22" s="4"/>
      <c r="G22" s="138" t="s">
        <v>262</v>
      </c>
      <c r="H22" s="63" t="s">
        <v>1305</v>
      </c>
      <c r="I22" s="63" t="s">
        <v>1297</v>
      </c>
      <c r="J22" s="113">
        <v>390</v>
      </c>
      <c r="K22"/>
      <c r="L22"/>
      <c r="M22"/>
    </row>
    <row r="23" spans="1:14">
      <c r="A23" s="138" t="s">
        <v>199</v>
      </c>
      <c r="B23" s="138" t="s">
        <v>125</v>
      </c>
      <c r="C23" s="138" t="s">
        <v>189</v>
      </c>
      <c r="D23" s="15">
        <v>4</v>
      </c>
      <c r="E23" s="15">
        <v>1020000</v>
      </c>
      <c r="F23" s="4"/>
      <c r="G23" s="138" t="s">
        <v>264</v>
      </c>
      <c r="H23" s="63" t="s">
        <v>1303</v>
      </c>
      <c r="I23" s="63" t="s">
        <v>1297</v>
      </c>
      <c r="J23" s="113">
        <v>450</v>
      </c>
      <c r="K23"/>
      <c r="L23"/>
      <c r="M23"/>
    </row>
    <row r="24" spans="1:14">
      <c r="A24" s="138" t="s">
        <v>200</v>
      </c>
      <c r="B24" s="138" t="s">
        <v>120</v>
      </c>
      <c r="C24" s="138" t="s">
        <v>195</v>
      </c>
      <c r="D24" s="15">
        <v>7</v>
      </c>
      <c r="E24" s="15">
        <v>1967000</v>
      </c>
      <c r="F24" s="4"/>
      <c r="G24" s="48" t="s">
        <v>435</v>
      </c>
      <c r="H24" s="63" t="s">
        <v>1304</v>
      </c>
      <c r="I24" s="63" t="s">
        <v>1296</v>
      </c>
      <c r="J24" s="113">
        <v>260</v>
      </c>
      <c r="K24"/>
      <c r="L24"/>
      <c r="M24"/>
    </row>
    <row r="25" spans="1:14">
      <c r="A25" s="200" t="s">
        <v>201</v>
      </c>
      <c r="B25" s="201"/>
      <c r="C25" s="201"/>
      <c r="D25" s="202"/>
      <c r="E25" s="15"/>
      <c r="F25" s="4"/>
      <c r="G25" s="48" t="s">
        <v>438</v>
      </c>
      <c r="H25" s="63" t="s">
        <v>1305</v>
      </c>
      <c r="I25" s="63" t="s">
        <v>1295</v>
      </c>
      <c r="J25" s="113">
        <v>370</v>
      </c>
      <c r="K25"/>
      <c r="L25"/>
      <c r="M25"/>
    </row>
  </sheetData>
  <mergeCells count="1">
    <mergeCell ref="A25:D25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N25"/>
  <sheetViews>
    <sheetView zoomScaleNormal="100" workbookViewId="0">
      <selection activeCell="M16" sqref="M16:N18"/>
    </sheetView>
  </sheetViews>
  <sheetFormatPr defaultColWidth="9" defaultRowHeight="16.5"/>
  <cols>
    <col min="1" max="3" width="9" style="14"/>
    <col min="4" max="5" width="10.875" style="14" bestFit="1" customWidth="1"/>
    <col min="6" max="6" width="1.625" style="14" customWidth="1"/>
    <col min="7" max="7" width="13.75" style="14" bestFit="1" customWidth="1"/>
    <col min="8" max="8" width="10.125" style="14" customWidth="1"/>
    <col min="9" max="9" width="12.75" style="14" customWidth="1"/>
    <col min="10" max="10" width="17.25" style="14" bestFit="1" customWidth="1"/>
    <col min="11" max="11" width="2.625" style="14" customWidth="1"/>
    <col min="12" max="16384" width="9" style="14"/>
  </cols>
  <sheetData>
    <row r="1" spans="1:14">
      <c r="A1" s="4" t="s">
        <v>151</v>
      </c>
      <c r="B1" s="13" t="s">
        <v>152</v>
      </c>
      <c r="C1" s="4"/>
      <c r="D1" s="4"/>
      <c r="E1" s="4"/>
      <c r="F1" s="4"/>
      <c r="G1" s="4" t="s">
        <v>153</v>
      </c>
      <c r="H1" s="13" t="s">
        <v>1293</v>
      </c>
      <c r="I1" s="4"/>
      <c r="J1" s="4"/>
      <c r="K1" s="4"/>
      <c r="L1" s="4"/>
      <c r="M1" s="4"/>
    </row>
    <row r="2" spans="1:14">
      <c r="A2" s="1" t="s">
        <v>154</v>
      </c>
      <c r="B2" s="1" t="s">
        <v>155</v>
      </c>
      <c r="C2" s="1" t="s">
        <v>156</v>
      </c>
      <c r="D2" s="1" t="s">
        <v>157</v>
      </c>
      <c r="E2" s="26" t="s">
        <v>158</v>
      </c>
      <c r="F2" s="4"/>
      <c r="G2" s="63" t="s">
        <v>1290</v>
      </c>
      <c r="H2" s="63" t="s">
        <v>1291</v>
      </c>
      <c r="I2" s="63" t="s">
        <v>1308</v>
      </c>
      <c r="J2" s="139" t="s">
        <v>1292</v>
      </c>
      <c r="K2"/>
      <c r="L2" s="4"/>
      <c r="M2" s="4"/>
    </row>
    <row r="3" spans="1:14">
      <c r="A3" s="1" t="s">
        <v>159</v>
      </c>
      <c r="B3" s="1" t="s">
        <v>160</v>
      </c>
      <c r="C3" s="1">
        <v>6</v>
      </c>
      <c r="D3" s="15">
        <v>2500000</v>
      </c>
      <c r="E3" s="15">
        <f>TRUNC(SQRT(C3)*D3)</f>
        <v>6123724</v>
      </c>
      <c r="F3" s="4"/>
      <c r="G3" s="142">
        <v>101</v>
      </c>
      <c r="H3" s="142">
        <v>307</v>
      </c>
      <c r="I3" s="142">
        <v>306</v>
      </c>
      <c r="J3" s="145" t="str">
        <f t="shared" ref="J3:J12" si="0">IFERROR(REPT("▶", H3-I3), REPT("▷", ABS(H3-I3)))</f>
        <v>▶</v>
      </c>
      <c r="K3"/>
      <c r="L3" s="4"/>
      <c r="M3" s="4"/>
    </row>
    <row r="4" spans="1:14">
      <c r="A4" s="1" t="s">
        <v>161</v>
      </c>
      <c r="B4" s="1" t="s">
        <v>162</v>
      </c>
      <c r="C4" s="1">
        <v>7</v>
      </c>
      <c r="D4" s="15">
        <v>2600000</v>
      </c>
      <c r="E4" s="15">
        <f t="shared" ref="E4:E12" si="1">TRUNC(SQRT(C4)*D4)</f>
        <v>6878953</v>
      </c>
      <c r="F4" s="4"/>
      <c r="G4" s="142">
        <v>102</v>
      </c>
      <c r="H4" s="142">
        <v>326</v>
      </c>
      <c r="I4" s="142">
        <v>322</v>
      </c>
      <c r="J4" s="145" t="str">
        <f t="shared" si="0"/>
        <v>▶▶▶▶</v>
      </c>
      <c r="K4"/>
      <c r="L4" s="4"/>
      <c r="M4" s="4"/>
    </row>
    <row r="5" spans="1:14">
      <c r="A5" s="1" t="s">
        <v>163</v>
      </c>
      <c r="B5" s="1" t="s">
        <v>162</v>
      </c>
      <c r="C5" s="1">
        <v>5</v>
      </c>
      <c r="D5" s="15">
        <v>2400000</v>
      </c>
      <c r="E5" s="15">
        <f t="shared" si="1"/>
        <v>5366563</v>
      </c>
      <c r="F5" s="4"/>
      <c r="G5" s="142">
        <v>103</v>
      </c>
      <c r="H5" s="142">
        <v>622</v>
      </c>
      <c r="I5" s="142">
        <v>620</v>
      </c>
      <c r="J5" s="145" t="str">
        <f t="shared" si="0"/>
        <v>▶▶</v>
      </c>
      <c r="K5"/>
      <c r="L5" s="4"/>
      <c r="M5" s="4"/>
    </row>
    <row r="6" spans="1:14">
      <c r="A6" s="1" t="s">
        <v>164</v>
      </c>
      <c r="B6" s="1" t="s">
        <v>165</v>
      </c>
      <c r="C6" s="1">
        <v>2</v>
      </c>
      <c r="D6" s="15">
        <v>1800000</v>
      </c>
      <c r="E6" s="15">
        <f t="shared" si="1"/>
        <v>2545584</v>
      </c>
      <c r="F6" s="4"/>
      <c r="G6" s="142">
        <v>104</v>
      </c>
      <c r="H6" s="142">
        <v>122</v>
      </c>
      <c r="I6" s="142">
        <v>127</v>
      </c>
      <c r="J6" s="145" t="str">
        <f t="shared" si="0"/>
        <v>▷▷▷▷▷</v>
      </c>
      <c r="K6"/>
      <c r="L6" s="4"/>
      <c r="M6" s="4"/>
    </row>
    <row r="7" spans="1:14">
      <c r="A7" s="1" t="s">
        <v>166</v>
      </c>
      <c r="B7" s="1" t="s">
        <v>165</v>
      </c>
      <c r="C7" s="1">
        <v>4</v>
      </c>
      <c r="D7" s="15">
        <v>2000000</v>
      </c>
      <c r="E7" s="15">
        <f t="shared" si="1"/>
        <v>4000000</v>
      </c>
      <c r="F7" s="4"/>
      <c r="G7" s="142">
        <v>105</v>
      </c>
      <c r="H7" s="142">
        <v>104</v>
      </c>
      <c r="I7" s="142">
        <v>112</v>
      </c>
      <c r="J7" s="145" t="str">
        <f t="shared" si="0"/>
        <v>▷▷▷▷▷▷▷▷</v>
      </c>
      <c r="K7"/>
      <c r="L7" s="4"/>
      <c r="M7" s="4"/>
    </row>
    <row r="8" spans="1:14">
      <c r="A8" s="1" t="s">
        <v>167</v>
      </c>
      <c r="B8" s="1" t="s">
        <v>168</v>
      </c>
      <c r="C8" s="1">
        <v>3</v>
      </c>
      <c r="D8" s="15">
        <v>1900000</v>
      </c>
      <c r="E8" s="15">
        <f t="shared" si="1"/>
        <v>3290896</v>
      </c>
      <c r="F8" s="4"/>
      <c r="G8" s="142">
        <v>201</v>
      </c>
      <c r="H8" s="142">
        <v>241</v>
      </c>
      <c r="I8" s="142">
        <v>239</v>
      </c>
      <c r="J8" s="145" t="str">
        <f t="shared" si="0"/>
        <v>▶▶</v>
      </c>
      <c r="K8"/>
      <c r="L8" s="4"/>
      <c r="M8" s="4"/>
    </row>
    <row r="9" spans="1:14">
      <c r="A9" s="1" t="s">
        <v>169</v>
      </c>
      <c r="B9" s="1" t="s">
        <v>170</v>
      </c>
      <c r="C9" s="1">
        <v>4</v>
      </c>
      <c r="D9" s="15">
        <v>1600000</v>
      </c>
      <c r="E9" s="15">
        <f t="shared" si="1"/>
        <v>3200000</v>
      </c>
      <c r="F9" s="4"/>
      <c r="G9" s="142">
        <v>202</v>
      </c>
      <c r="H9" s="142">
        <v>168</v>
      </c>
      <c r="I9" s="142">
        <v>168</v>
      </c>
      <c r="J9" s="145" t="str">
        <f t="shared" si="0"/>
        <v/>
      </c>
      <c r="K9"/>
      <c r="L9" s="4"/>
      <c r="M9" s="4"/>
    </row>
    <row r="10" spans="1:14">
      <c r="A10" s="1" t="s">
        <v>171</v>
      </c>
      <c r="B10" s="1" t="s">
        <v>170</v>
      </c>
      <c r="C10" s="1">
        <v>2</v>
      </c>
      <c r="D10" s="15">
        <v>1400000</v>
      </c>
      <c r="E10" s="15">
        <f t="shared" si="1"/>
        <v>1979898</v>
      </c>
      <c r="F10" s="4"/>
      <c r="G10" s="142">
        <v>203</v>
      </c>
      <c r="H10" s="142">
        <v>433</v>
      </c>
      <c r="I10" s="142">
        <v>427</v>
      </c>
      <c r="J10" s="145" t="str">
        <f t="shared" si="0"/>
        <v>▶▶▶▶▶▶</v>
      </c>
      <c r="K10"/>
      <c r="L10" s="4"/>
      <c r="M10" s="4"/>
    </row>
    <row r="11" spans="1:14">
      <c r="A11" s="1" t="s">
        <v>172</v>
      </c>
      <c r="B11" s="1" t="s">
        <v>173</v>
      </c>
      <c r="C11" s="1">
        <v>3</v>
      </c>
      <c r="D11" s="15">
        <v>1500000</v>
      </c>
      <c r="E11" s="15">
        <f t="shared" si="1"/>
        <v>2598076</v>
      </c>
      <c r="F11" s="4"/>
      <c r="G11" s="142">
        <v>204</v>
      </c>
      <c r="H11" s="142">
        <v>665</v>
      </c>
      <c r="I11" s="142">
        <v>661</v>
      </c>
      <c r="J11" s="145" t="str">
        <f t="shared" si="0"/>
        <v>▶▶▶▶</v>
      </c>
      <c r="K11"/>
      <c r="L11" s="4"/>
      <c r="M11" s="4"/>
    </row>
    <row r="12" spans="1:14">
      <c r="A12" s="1" t="s">
        <v>174</v>
      </c>
      <c r="B12" s="1" t="s">
        <v>175</v>
      </c>
      <c r="C12" s="1">
        <v>1</v>
      </c>
      <c r="D12" s="15">
        <v>1300000</v>
      </c>
      <c r="E12" s="15">
        <f t="shared" si="1"/>
        <v>1300000</v>
      </c>
      <c r="F12" s="4"/>
      <c r="G12" s="142">
        <v>205</v>
      </c>
      <c r="H12" s="142">
        <v>245</v>
      </c>
      <c r="I12" s="142">
        <v>248</v>
      </c>
      <c r="J12" s="145" t="str">
        <f t="shared" si="0"/>
        <v>▷▷▷</v>
      </c>
      <c r="K12"/>
      <c r="L12" s="4"/>
      <c r="M12" s="4"/>
    </row>
    <row r="13" spans="1:14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14">
      <c r="A14" s="4" t="s">
        <v>176</v>
      </c>
      <c r="B14" s="13" t="s">
        <v>177</v>
      </c>
      <c r="C14" s="4"/>
      <c r="D14" s="4"/>
      <c r="E14" s="4"/>
      <c r="F14" s="4"/>
      <c r="G14" t="s">
        <v>51</v>
      </c>
      <c r="H14"/>
      <c r="I14"/>
      <c r="J14"/>
      <c r="K14"/>
      <c r="L14" t="s">
        <v>106</v>
      </c>
      <c r="M14"/>
    </row>
    <row r="15" spans="1:14">
      <c r="A15" s="1" t="s">
        <v>179</v>
      </c>
      <c r="B15" s="1" t="s">
        <v>180</v>
      </c>
      <c r="C15" s="1" t="s">
        <v>181</v>
      </c>
      <c r="D15" s="1" t="s">
        <v>182</v>
      </c>
      <c r="E15" s="1" t="s">
        <v>183</v>
      </c>
      <c r="F15" s="4"/>
      <c r="G15" s="142" t="s">
        <v>1307</v>
      </c>
      <c r="H15" s="63" t="s">
        <v>1298</v>
      </c>
      <c r="I15" s="63" t="s">
        <v>6</v>
      </c>
      <c r="J15" s="138" t="s">
        <v>1286</v>
      </c>
      <c r="L15" s="63"/>
      <c r="M15" s="139">
        <v>2024</v>
      </c>
      <c r="N15" s="139">
        <v>2025</v>
      </c>
    </row>
    <row r="16" spans="1:14">
      <c r="A16" s="1" t="s">
        <v>184</v>
      </c>
      <c r="B16" s="1" t="s">
        <v>185</v>
      </c>
      <c r="C16" s="1" t="s">
        <v>186</v>
      </c>
      <c r="D16" s="15">
        <v>4</v>
      </c>
      <c r="E16" s="15">
        <v>1208000</v>
      </c>
      <c r="F16" s="4"/>
      <c r="G16" s="138" t="s">
        <v>242</v>
      </c>
      <c r="H16" s="63" t="s">
        <v>1302</v>
      </c>
      <c r="I16" s="63" t="s">
        <v>1295</v>
      </c>
      <c r="J16" s="113">
        <v>150</v>
      </c>
      <c r="L16" s="139" t="s">
        <v>1296</v>
      </c>
      <c r="M16" s="147" t="str">
        <f t="shared" ref="M16:N18" si="2">TEXT(SUMIFS($J$16:$J$25,$I$16:$I$25,$L16,$H$16:$H$25,M$15&amp;"*")/SUMIFS($J$16:$J$25,$H$16:$H$25,M$15&amp;"*"),"0.0%")</f>
        <v>50.6%</v>
      </c>
      <c r="N16" s="147" t="str">
        <f t="shared" si="2"/>
        <v>28.6%</v>
      </c>
    </row>
    <row r="17" spans="1:14">
      <c r="A17" s="1" t="s">
        <v>187</v>
      </c>
      <c r="B17" s="1" t="s">
        <v>188</v>
      </c>
      <c r="C17" s="1" t="s">
        <v>189</v>
      </c>
      <c r="D17" s="15">
        <v>9</v>
      </c>
      <c r="E17" s="15">
        <v>2214000</v>
      </c>
      <c r="F17" s="4"/>
      <c r="G17" s="138" t="s">
        <v>246</v>
      </c>
      <c r="H17" s="63" t="s">
        <v>1303</v>
      </c>
      <c r="I17" s="63" t="s">
        <v>1297</v>
      </c>
      <c r="J17" s="113">
        <v>200</v>
      </c>
      <c r="L17" s="139" t="s">
        <v>1295</v>
      </c>
      <c r="M17" s="147" t="str">
        <f t="shared" si="2"/>
        <v>24.0%</v>
      </c>
      <c r="N17" s="147" t="str">
        <f t="shared" si="2"/>
        <v>29.2%</v>
      </c>
    </row>
    <row r="18" spans="1:14">
      <c r="A18" s="1" t="s">
        <v>190</v>
      </c>
      <c r="B18" s="1" t="s">
        <v>185</v>
      </c>
      <c r="C18" s="1" t="s">
        <v>191</v>
      </c>
      <c r="D18" s="15">
        <v>5</v>
      </c>
      <c r="E18" s="15">
        <v>1425000</v>
      </c>
      <c r="F18" s="4"/>
      <c r="G18" s="138" t="s">
        <v>250</v>
      </c>
      <c r="H18" s="63" t="s">
        <v>1304</v>
      </c>
      <c r="I18" s="63" t="s">
        <v>1295</v>
      </c>
      <c r="J18" s="113">
        <v>300</v>
      </c>
      <c r="L18" s="139" t="s">
        <v>1297</v>
      </c>
      <c r="M18" s="147" t="str">
        <f t="shared" si="2"/>
        <v>25.3%</v>
      </c>
      <c r="N18" s="147" t="str">
        <f t="shared" si="2"/>
        <v>42.2%</v>
      </c>
    </row>
    <row r="19" spans="1:14">
      <c r="A19" s="1" t="s">
        <v>192</v>
      </c>
      <c r="B19" s="1" t="s">
        <v>123</v>
      </c>
      <c r="C19" s="1" t="s">
        <v>193</v>
      </c>
      <c r="D19" s="15">
        <v>1</v>
      </c>
      <c r="E19" s="15">
        <v>265000</v>
      </c>
      <c r="F19" s="4"/>
      <c r="G19" s="138" t="s">
        <v>254</v>
      </c>
      <c r="H19" s="63" t="s">
        <v>1305</v>
      </c>
      <c r="I19" s="63" t="s">
        <v>1296</v>
      </c>
      <c r="J19" s="113">
        <v>500</v>
      </c>
      <c r="K19"/>
      <c r="L19"/>
      <c r="M19"/>
    </row>
    <row r="20" spans="1:14">
      <c r="A20" s="1" t="s">
        <v>194</v>
      </c>
      <c r="B20" s="1" t="s">
        <v>185</v>
      </c>
      <c r="C20" s="1" t="s">
        <v>195</v>
      </c>
      <c r="D20" s="15">
        <v>4</v>
      </c>
      <c r="E20" s="15">
        <v>1168000</v>
      </c>
      <c r="F20" s="4"/>
      <c r="G20" s="138" t="s">
        <v>257</v>
      </c>
      <c r="H20" s="63" t="s">
        <v>1303</v>
      </c>
      <c r="I20" s="63" t="s">
        <v>1296</v>
      </c>
      <c r="J20" s="113">
        <v>180</v>
      </c>
      <c r="K20"/>
      <c r="L20" s="144"/>
      <c r="M20"/>
    </row>
    <row r="21" spans="1:14">
      <c r="A21" s="1" t="s">
        <v>196</v>
      </c>
      <c r="B21" s="1" t="s">
        <v>188</v>
      </c>
      <c r="C21" s="1" t="s">
        <v>197</v>
      </c>
      <c r="D21" s="15">
        <v>5</v>
      </c>
      <c r="E21" s="15">
        <v>1500000</v>
      </c>
      <c r="F21" s="4"/>
      <c r="G21" s="138" t="s">
        <v>260</v>
      </c>
      <c r="H21" s="63" t="s">
        <v>1306</v>
      </c>
      <c r="I21" s="63" t="s">
        <v>1296</v>
      </c>
      <c r="J21" s="113">
        <v>280</v>
      </c>
      <c r="K21"/>
      <c r="L21"/>
      <c r="M21"/>
    </row>
    <row r="22" spans="1:14">
      <c r="A22" s="1" t="s">
        <v>198</v>
      </c>
      <c r="B22" s="1" t="s">
        <v>188</v>
      </c>
      <c r="C22" s="1" t="s">
        <v>189</v>
      </c>
      <c r="D22" s="15">
        <v>9</v>
      </c>
      <c r="E22" s="15">
        <v>2493000</v>
      </c>
      <c r="F22" s="4"/>
      <c r="G22" s="138" t="s">
        <v>262</v>
      </c>
      <c r="H22" s="63" t="s">
        <v>1305</v>
      </c>
      <c r="I22" s="63" t="s">
        <v>1297</v>
      </c>
      <c r="J22" s="113">
        <v>390</v>
      </c>
      <c r="K22"/>
      <c r="L22"/>
      <c r="M22"/>
    </row>
    <row r="23" spans="1:14">
      <c r="A23" s="1" t="s">
        <v>199</v>
      </c>
      <c r="B23" s="1" t="s">
        <v>185</v>
      </c>
      <c r="C23" s="1" t="s">
        <v>189</v>
      </c>
      <c r="D23" s="15">
        <v>4</v>
      </c>
      <c r="E23" s="15">
        <v>1020000</v>
      </c>
      <c r="F23" s="4"/>
      <c r="G23" s="138" t="s">
        <v>264</v>
      </c>
      <c r="H23" s="63" t="s">
        <v>1303</v>
      </c>
      <c r="I23" s="63" t="s">
        <v>1297</v>
      </c>
      <c r="J23" s="113">
        <v>450</v>
      </c>
      <c r="K23"/>
      <c r="L23"/>
      <c r="M23"/>
    </row>
    <row r="24" spans="1:14">
      <c r="A24" s="1" t="s">
        <v>200</v>
      </c>
      <c r="B24" s="1" t="s">
        <v>188</v>
      </c>
      <c r="C24" s="1" t="s">
        <v>195</v>
      </c>
      <c r="D24" s="15">
        <v>7</v>
      </c>
      <c r="E24" s="15">
        <v>1967000</v>
      </c>
      <c r="F24" s="4"/>
      <c r="G24" s="48" t="s">
        <v>435</v>
      </c>
      <c r="H24" s="63" t="s">
        <v>1304</v>
      </c>
      <c r="I24" s="63" t="s">
        <v>1296</v>
      </c>
      <c r="J24" s="113">
        <v>260</v>
      </c>
      <c r="K24"/>
      <c r="L24"/>
      <c r="M24"/>
    </row>
    <row r="25" spans="1:14">
      <c r="A25" s="200" t="s">
        <v>201</v>
      </c>
      <c r="B25" s="201"/>
      <c r="C25" s="201"/>
      <c r="D25" s="202"/>
      <c r="E25" s="15">
        <f>SUMIF(D16:D24,_xlfn.MODE.SNGL(D16:D24),E16:E24)</f>
        <v>3396000</v>
      </c>
      <c r="F25" s="4"/>
      <c r="G25" s="48" t="s">
        <v>438</v>
      </c>
      <c r="H25" s="63" t="s">
        <v>1305</v>
      </c>
      <c r="I25" s="63" t="s">
        <v>1295</v>
      </c>
      <c r="J25" s="113">
        <v>370</v>
      </c>
      <c r="K25"/>
      <c r="L25"/>
      <c r="M25"/>
    </row>
  </sheetData>
  <mergeCells count="1">
    <mergeCell ref="A25:D2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L38"/>
  <sheetViews>
    <sheetView workbookViewId="0"/>
  </sheetViews>
  <sheetFormatPr defaultRowHeight="16.5"/>
  <cols>
    <col min="4" max="5" width="10.875" bestFit="1" customWidth="1"/>
    <col min="8" max="8" width="16.75" bestFit="1" customWidth="1"/>
    <col min="10" max="10" width="11.5" customWidth="1"/>
    <col min="11" max="11" width="10.625" customWidth="1"/>
    <col min="12" max="12" width="13" bestFit="1" customWidth="1"/>
  </cols>
  <sheetData>
    <row r="1" spans="1:11">
      <c r="A1" s="8" t="s">
        <v>2</v>
      </c>
      <c r="B1" s="9" t="s">
        <v>202</v>
      </c>
      <c r="C1" s="8"/>
      <c r="D1" s="8"/>
      <c r="E1" s="8"/>
      <c r="F1" s="8"/>
      <c r="G1" s="8" t="s">
        <v>4</v>
      </c>
      <c r="H1" s="9" t="s">
        <v>1312</v>
      </c>
      <c r="I1" s="16"/>
      <c r="J1" s="157" t="s">
        <v>375</v>
      </c>
      <c r="K1" s="8"/>
    </row>
    <row r="2" spans="1:11">
      <c r="A2" s="138" t="s">
        <v>114</v>
      </c>
      <c r="B2" s="138" t="s">
        <v>53</v>
      </c>
      <c r="C2" s="138" t="s">
        <v>155</v>
      </c>
      <c r="D2" s="8"/>
      <c r="E2" s="8"/>
      <c r="F2" s="8"/>
      <c r="G2" s="63" t="s">
        <v>1294</v>
      </c>
      <c r="H2" s="63" t="s">
        <v>1309</v>
      </c>
      <c r="J2" s="63" t="s">
        <v>1310</v>
      </c>
      <c r="K2" s="28" t="s">
        <v>1311</v>
      </c>
    </row>
    <row r="3" spans="1:11">
      <c r="A3" s="138" t="s">
        <v>207</v>
      </c>
      <c r="B3" s="138" t="s">
        <v>208</v>
      </c>
      <c r="C3" s="138" t="s">
        <v>209</v>
      </c>
      <c r="D3" s="8"/>
      <c r="E3" s="8"/>
      <c r="F3" s="8"/>
      <c r="G3" s="63">
        <v>2505001</v>
      </c>
      <c r="H3" s="149">
        <v>338</v>
      </c>
      <c r="J3" s="146">
        <v>0.5</v>
      </c>
      <c r="K3" s="63"/>
    </row>
    <row r="4" spans="1:11">
      <c r="A4" s="138" t="s">
        <v>210</v>
      </c>
      <c r="B4" s="138" t="s">
        <v>208</v>
      </c>
      <c r="C4" s="138" t="s">
        <v>165</v>
      </c>
      <c r="D4" s="8"/>
      <c r="E4" s="8"/>
      <c r="F4" s="8"/>
      <c r="G4" s="63">
        <v>2505002</v>
      </c>
      <c r="H4" s="149">
        <v>399</v>
      </c>
      <c r="J4" s="146">
        <v>0.7</v>
      </c>
      <c r="K4" s="63"/>
    </row>
    <row r="5" spans="1:11">
      <c r="A5" s="138" t="s">
        <v>213</v>
      </c>
      <c r="B5" s="138" t="s">
        <v>208</v>
      </c>
      <c r="C5" s="138" t="s">
        <v>170</v>
      </c>
      <c r="D5" s="8"/>
      <c r="E5" s="8"/>
      <c r="F5" s="8"/>
      <c r="G5" s="63">
        <v>2505003</v>
      </c>
      <c r="H5" s="149">
        <v>391</v>
      </c>
      <c r="J5" s="146">
        <v>0.9</v>
      </c>
      <c r="K5" s="63"/>
    </row>
    <row r="6" spans="1:11">
      <c r="A6" s="138" t="s">
        <v>214</v>
      </c>
      <c r="B6" s="138" t="s">
        <v>215</v>
      </c>
      <c r="C6" s="138" t="s">
        <v>209</v>
      </c>
      <c r="D6" s="8"/>
      <c r="E6" s="8"/>
      <c r="F6" s="8"/>
      <c r="G6" s="63">
        <v>2505004</v>
      </c>
      <c r="H6" s="149">
        <v>500</v>
      </c>
      <c r="K6" s="8"/>
    </row>
    <row r="7" spans="1:11">
      <c r="A7" s="138" t="s">
        <v>216</v>
      </c>
      <c r="B7" s="138" t="s">
        <v>215</v>
      </c>
      <c r="C7" s="138" t="s">
        <v>165</v>
      </c>
      <c r="D7" s="8"/>
      <c r="E7" s="8"/>
      <c r="F7" s="8"/>
      <c r="G7" s="63">
        <v>2505005</v>
      </c>
      <c r="H7" s="149">
        <v>352</v>
      </c>
      <c r="K7" s="8"/>
    </row>
    <row r="8" spans="1:11">
      <c r="A8" s="138" t="s">
        <v>219</v>
      </c>
      <c r="B8" s="138" t="s">
        <v>215</v>
      </c>
      <c r="C8" s="138" t="s">
        <v>170</v>
      </c>
      <c r="D8" s="8"/>
      <c r="E8" s="8"/>
      <c r="F8" s="8"/>
      <c r="G8" s="63">
        <v>2505006</v>
      </c>
      <c r="H8" s="149">
        <v>368</v>
      </c>
      <c r="K8" s="8"/>
    </row>
    <row r="9" spans="1:11">
      <c r="A9" s="138" t="s">
        <v>221</v>
      </c>
      <c r="B9" s="138" t="s">
        <v>222</v>
      </c>
      <c r="C9" s="138" t="s">
        <v>160</v>
      </c>
      <c r="D9" s="8"/>
      <c r="E9" s="8"/>
      <c r="F9" s="8"/>
      <c r="G9" s="63">
        <v>2505007</v>
      </c>
      <c r="H9" s="149">
        <v>496</v>
      </c>
      <c r="K9" s="8"/>
    </row>
    <row r="10" spans="1:11">
      <c r="A10" s="138" t="s">
        <v>224</v>
      </c>
      <c r="B10" s="138" t="s">
        <v>222</v>
      </c>
      <c r="C10" s="138" t="s">
        <v>165</v>
      </c>
      <c r="D10" s="203" t="s">
        <v>226</v>
      </c>
      <c r="E10" s="203"/>
      <c r="F10" s="8"/>
      <c r="G10" s="63">
        <v>2505008</v>
      </c>
      <c r="H10" s="149">
        <v>387</v>
      </c>
      <c r="K10" s="8"/>
    </row>
    <row r="11" spans="1:11">
      <c r="A11" s="138" t="s">
        <v>227</v>
      </c>
      <c r="B11" s="138" t="s">
        <v>222</v>
      </c>
      <c r="C11" s="138" t="s">
        <v>170</v>
      </c>
      <c r="D11" s="207"/>
      <c r="E11" s="207"/>
      <c r="F11" s="8"/>
      <c r="G11" s="63">
        <v>2505009</v>
      </c>
      <c r="H11" s="149">
        <v>395</v>
      </c>
      <c r="K11" s="8"/>
    </row>
    <row r="12" spans="1:11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1:11">
      <c r="A13" s="8" t="s">
        <v>49</v>
      </c>
      <c r="B13" s="9" t="s">
        <v>230</v>
      </c>
      <c r="C13" s="19"/>
      <c r="D13" s="19"/>
      <c r="E13" s="19"/>
      <c r="F13" s="8"/>
      <c r="G13" s="8" t="s">
        <v>51</v>
      </c>
      <c r="H13" s="9" t="s">
        <v>231</v>
      </c>
      <c r="I13" s="8"/>
      <c r="J13" s="8"/>
      <c r="K13" s="8"/>
    </row>
    <row r="14" spans="1:11">
      <c r="A14" s="138" t="s">
        <v>232</v>
      </c>
      <c r="B14" s="138" t="s">
        <v>233</v>
      </c>
      <c r="C14" s="138" t="s">
        <v>234</v>
      </c>
      <c r="D14" s="138" t="s">
        <v>157</v>
      </c>
      <c r="E14" s="20" t="s">
        <v>236</v>
      </c>
      <c r="F14" s="8"/>
      <c r="G14" s="138" t="s">
        <v>237</v>
      </c>
      <c r="H14" s="138" t="s">
        <v>238</v>
      </c>
      <c r="I14" s="138" t="s">
        <v>239</v>
      </c>
      <c r="J14" s="138" t="s">
        <v>240</v>
      </c>
      <c r="K14" s="138" t="s">
        <v>241</v>
      </c>
    </row>
    <row r="15" spans="1:11">
      <c r="A15" s="138" t="s">
        <v>242</v>
      </c>
      <c r="B15" s="138" t="s">
        <v>243</v>
      </c>
      <c r="C15" s="138" t="s">
        <v>244</v>
      </c>
      <c r="D15" s="140">
        <v>3560000</v>
      </c>
      <c r="E15" s="10">
        <v>2812000</v>
      </c>
      <c r="F15" s="8"/>
      <c r="G15" s="138" t="s">
        <v>245</v>
      </c>
      <c r="H15" s="138">
        <v>165</v>
      </c>
      <c r="I15" s="138">
        <v>45</v>
      </c>
      <c r="J15" s="138">
        <v>9</v>
      </c>
      <c r="K15" s="138">
        <v>120</v>
      </c>
    </row>
    <row r="16" spans="1:11">
      <c r="A16" s="138" t="s">
        <v>246</v>
      </c>
      <c r="B16" s="138" t="s">
        <v>247</v>
      </c>
      <c r="C16" s="138" t="s">
        <v>248</v>
      </c>
      <c r="D16" s="140">
        <v>3256000</v>
      </c>
      <c r="E16" s="10">
        <v>2126000</v>
      </c>
      <c r="F16" s="8"/>
      <c r="G16" s="138" t="s">
        <v>249</v>
      </c>
      <c r="H16" s="138">
        <v>148</v>
      </c>
      <c r="I16" s="138">
        <v>12</v>
      </c>
      <c r="J16" s="138">
        <v>35</v>
      </c>
      <c r="K16" s="138">
        <v>94</v>
      </c>
    </row>
    <row r="17" spans="1:12">
      <c r="A17" s="138" t="s">
        <v>250</v>
      </c>
      <c r="B17" s="138" t="s">
        <v>251</v>
      </c>
      <c r="C17" s="138" t="s">
        <v>252</v>
      </c>
      <c r="D17" s="140">
        <v>2560000</v>
      </c>
      <c r="E17" s="10">
        <v>1582000</v>
      </c>
      <c r="F17" s="8"/>
      <c r="G17" s="138" t="s">
        <v>253</v>
      </c>
      <c r="H17" s="138">
        <v>117</v>
      </c>
      <c r="I17" s="138">
        <v>48</v>
      </c>
      <c r="J17" s="138">
        <v>12</v>
      </c>
      <c r="K17" s="138">
        <v>106</v>
      </c>
    </row>
    <row r="18" spans="1:12">
      <c r="A18" s="138" t="s">
        <v>254</v>
      </c>
      <c r="B18" s="138" t="s">
        <v>247</v>
      </c>
      <c r="C18" s="138" t="s">
        <v>255</v>
      </c>
      <c r="D18" s="140">
        <v>3075000</v>
      </c>
      <c r="E18" s="10">
        <v>1868000</v>
      </c>
      <c r="F18" s="8"/>
      <c r="G18" s="138" t="s">
        <v>256</v>
      </c>
      <c r="H18" s="138">
        <v>135</v>
      </c>
      <c r="I18" s="138">
        <v>19</v>
      </c>
      <c r="J18" s="138">
        <v>42</v>
      </c>
      <c r="K18" s="138">
        <v>97</v>
      </c>
    </row>
    <row r="19" spans="1:12">
      <c r="A19" s="138" t="s">
        <v>257</v>
      </c>
      <c r="B19" s="138" t="s">
        <v>247</v>
      </c>
      <c r="C19" s="138" t="s">
        <v>258</v>
      </c>
      <c r="D19" s="140">
        <v>2856000</v>
      </c>
      <c r="E19" s="10">
        <v>1540000</v>
      </c>
      <c r="F19" s="8"/>
      <c r="G19" s="138" t="s">
        <v>259</v>
      </c>
      <c r="H19" s="138">
        <v>142</v>
      </c>
      <c r="I19" s="138">
        <v>51</v>
      </c>
      <c r="J19" s="138">
        <v>11</v>
      </c>
      <c r="K19" s="138">
        <v>114</v>
      </c>
    </row>
    <row r="20" spans="1:12">
      <c r="A20" s="138" t="s">
        <v>260</v>
      </c>
      <c r="B20" s="138" t="s">
        <v>243</v>
      </c>
      <c r="C20" s="138" t="s">
        <v>252</v>
      </c>
      <c r="D20" s="140">
        <v>2473000</v>
      </c>
      <c r="E20" s="10">
        <v>1495000</v>
      </c>
      <c r="F20" s="8"/>
      <c r="G20" s="138" t="s">
        <v>261</v>
      </c>
      <c r="H20" s="138">
        <v>135</v>
      </c>
      <c r="I20" s="138">
        <v>49</v>
      </c>
      <c r="J20" s="138">
        <v>16</v>
      </c>
      <c r="K20" s="138">
        <v>108</v>
      </c>
    </row>
    <row r="21" spans="1:12">
      <c r="A21" s="138" t="s">
        <v>262</v>
      </c>
      <c r="B21" s="138" t="s">
        <v>251</v>
      </c>
      <c r="C21" s="138" t="s">
        <v>252</v>
      </c>
      <c r="D21" s="140">
        <v>2372000</v>
      </c>
      <c r="E21" s="10">
        <v>1453000</v>
      </c>
      <c r="F21" s="8"/>
      <c r="G21" s="138" t="s">
        <v>263</v>
      </c>
      <c r="H21" s="138">
        <v>145</v>
      </c>
      <c r="I21" s="138">
        <v>29</v>
      </c>
      <c r="J21" s="138">
        <v>21</v>
      </c>
      <c r="K21" s="138">
        <v>84</v>
      </c>
    </row>
    <row r="22" spans="1:12">
      <c r="A22" s="138" t="s">
        <v>264</v>
      </c>
      <c r="B22" s="138" t="s">
        <v>243</v>
      </c>
      <c r="C22" s="138" t="s">
        <v>258</v>
      </c>
      <c r="D22" s="140">
        <v>2903000</v>
      </c>
      <c r="E22" s="10">
        <v>1500000</v>
      </c>
      <c r="F22" s="8"/>
      <c r="G22" s="138" t="s">
        <v>265</v>
      </c>
      <c r="H22" s="138">
        <v>135</v>
      </c>
      <c r="I22" s="138">
        <v>22</v>
      </c>
      <c r="J22" s="138">
        <v>10</v>
      </c>
      <c r="K22" s="138">
        <v>106</v>
      </c>
    </row>
    <row r="23" spans="1:12">
      <c r="A23" s="19"/>
      <c r="B23" s="19"/>
      <c r="C23" s="19"/>
      <c r="D23" s="19"/>
      <c r="E23" s="19"/>
      <c r="F23" s="8"/>
      <c r="G23" s="138" t="s">
        <v>266</v>
      </c>
      <c r="H23" s="138">
        <v>185</v>
      </c>
      <c r="I23" s="138">
        <v>16</v>
      </c>
      <c r="J23" s="138">
        <v>24</v>
      </c>
      <c r="K23" s="138">
        <v>113</v>
      </c>
    </row>
    <row r="24" spans="1:12" ht="16.5" customHeight="1">
      <c r="A24" s="208" t="s">
        <v>267</v>
      </c>
      <c r="B24" s="209"/>
      <c r="C24" s="209"/>
      <c r="D24" s="210"/>
      <c r="E24" s="214"/>
      <c r="F24" s="8"/>
      <c r="G24" s="200" t="s">
        <v>268</v>
      </c>
      <c r="H24" s="201"/>
      <c r="I24" s="201"/>
      <c r="J24" s="202"/>
      <c r="K24" s="141">
        <f>AVERAGEIF(I15:I23,"&gt;=40",K15:K23)</f>
        <v>112</v>
      </c>
    </row>
    <row r="25" spans="1:12">
      <c r="A25" s="211"/>
      <c r="B25" s="212"/>
      <c r="C25" s="212"/>
      <c r="D25" s="213"/>
      <c r="E25" s="214"/>
      <c r="F25" s="8"/>
      <c r="G25" s="8"/>
      <c r="H25" s="8"/>
      <c r="I25" s="8"/>
      <c r="J25" s="8"/>
      <c r="K25" s="8"/>
    </row>
    <row r="26" spans="1:1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2">
      <c r="A27" s="8" t="s">
        <v>106</v>
      </c>
      <c r="B27" s="9" t="s">
        <v>270</v>
      </c>
      <c r="C27" s="8"/>
      <c r="D27" s="8"/>
      <c r="E27" s="8"/>
      <c r="F27" s="8"/>
      <c r="G27" s="21" t="s">
        <v>108</v>
      </c>
      <c r="H27" s="22" t="s">
        <v>1319</v>
      </c>
      <c r="I27" s="22"/>
      <c r="J27" s="21"/>
      <c r="K27" s="153" t="s">
        <v>483</v>
      </c>
      <c r="L27" s="154"/>
    </row>
    <row r="28" spans="1:12" ht="16.5" customHeight="1">
      <c r="A28" s="138" t="s">
        <v>272</v>
      </c>
      <c r="B28" s="138" t="s">
        <v>273</v>
      </c>
      <c r="C28" s="138" t="s">
        <v>274</v>
      </c>
      <c r="D28" s="138" t="s">
        <v>275</v>
      </c>
      <c r="E28" s="205" t="s">
        <v>276</v>
      </c>
      <c r="F28" s="8"/>
      <c r="G28" s="150" t="s">
        <v>11</v>
      </c>
      <c r="H28" s="150" t="s">
        <v>1314</v>
      </c>
      <c r="I28" s="151" t="s">
        <v>1315</v>
      </c>
      <c r="K28" s="155" t="s">
        <v>1317</v>
      </c>
      <c r="L28" s="155" t="s">
        <v>1318</v>
      </c>
    </row>
    <row r="29" spans="1:12">
      <c r="A29" s="138" t="s">
        <v>278</v>
      </c>
      <c r="B29" s="138">
        <v>5535</v>
      </c>
      <c r="C29" s="138">
        <v>6021</v>
      </c>
      <c r="D29" s="138">
        <v>4831</v>
      </c>
      <c r="E29" s="206"/>
      <c r="F29" s="8"/>
      <c r="G29" s="150" t="s">
        <v>1320</v>
      </c>
      <c r="H29" s="152">
        <v>1650000</v>
      </c>
      <c r="I29" s="152"/>
      <c r="K29" s="155">
        <v>2</v>
      </c>
      <c r="L29" s="156">
        <v>450000</v>
      </c>
    </row>
    <row r="30" spans="1:12">
      <c r="A30" s="138" t="s">
        <v>279</v>
      </c>
      <c r="B30" s="138">
        <v>5468</v>
      </c>
      <c r="C30" s="138">
        <v>6871</v>
      </c>
      <c r="D30" s="138">
        <v>5001</v>
      </c>
      <c r="E30" s="30"/>
      <c r="F30" s="8"/>
      <c r="G30" s="150" t="s">
        <v>1321</v>
      </c>
      <c r="H30" s="152">
        <v>3750000</v>
      </c>
      <c r="I30" s="152"/>
      <c r="K30" s="155">
        <v>1</v>
      </c>
      <c r="L30" s="156">
        <v>390000</v>
      </c>
    </row>
    <row r="31" spans="1:12">
      <c r="A31" s="138" t="s">
        <v>280</v>
      </c>
      <c r="B31" s="138">
        <v>5724</v>
      </c>
      <c r="C31" s="138">
        <v>6278</v>
      </c>
      <c r="D31" s="138">
        <v>4835</v>
      </c>
      <c r="E31" s="8"/>
      <c r="F31" s="8"/>
      <c r="G31" s="150" t="s">
        <v>1322</v>
      </c>
      <c r="H31" s="152">
        <v>850000</v>
      </c>
      <c r="I31" s="152"/>
      <c r="K31" s="8"/>
    </row>
    <row r="32" spans="1:12">
      <c r="A32" s="138" t="s">
        <v>281</v>
      </c>
      <c r="B32" s="138">
        <v>5689</v>
      </c>
      <c r="C32" s="138">
        <v>6389</v>
      </c>
      <c r="D32" s="138">
        <v>4297</v>
      </c>
      <c r="E32" s="8"/>
      <c r="F32" s="8"/>
      <c r="G32" s="150" t="s">
        <v>1323</v>
      </c>
      <c r="H32" s="152">
        <v>2050000</v>
      </c>
      <c r="I32" s="152"/>
      <c r="K32" s="8"/>
    </row>
    <row r="33" spans="1:11">
      <c r="A33" s="138" t="s">
        <v>282</v>
      </c>
      <c r="B33" s="138">
        <v>5179</v>
      </c>
      <c r="C33" s="138">
        <v>6172</v>
      </c>
      <c r="D33" s="138">
        <v>5017</v>
      </c>
      <c r="E33" s="8"/>
      <c r="F33" s="8"/>
      <c r="G33" s="150" t="s">
        <v>1316</v>
      </c>
      <c r="H33" s="152">
        <v>3360000</v>
      </c>
      <c r="I33" s="152"/>
      <c r="K33" s="8"/>
    </row>
    <row r="34" spans="1:11">
      <c r="A34" s="138" t="s">
        <v>283</v>
      </c>
      <c r="B34" s="138">
        <v>5348</v>
      </c>
      <c r="C34" s="138">
        <v>6008</v>
      </c>
      <c r="D34" s="138">
        <v>4983</v>
      </c>
      <c r="E34" s="8"/>
      <c r="F34" s="8"/>
      <c r="G34" s="150" t="s">
        <v>1324</v>
      </c>
      <c r="H34" s="152">
        <v>850000</v>
      </c>
      <c r="I34" s="152"/>
      <c r="K34" s="8"/>
    </row>
    <row r="35" spans="1:11">
      <c r="A35" s="138" t="s">
        <v>284</v>
      </c>
      <c r="B35" s="138">
        <v>5493</v>
      </c>
      <c r="C35" s="138">
        <v>6217</v>
      </c>
      <c r="D35" s="138">
        <v>4998</v>
      </c>
      <c r="E35" s="8"/>
      <c r="F35" s="8"/>
      <c r="G35" s="150" t="s">
        <v>1325</v>
      </c>
      <c r="H35" s="152">
        <v>2150000</v>
      </c>
      <c r="I35" s="152"/>
      <c r="K35" s="8"/>
    </row>
    <row r="36" spans="1:11">
      <c r="A36" s="138" t="s">
        <v>285</v>
      </c>
      <c r="B36" s="138">
        <v>5157</v>
      </c>
      <c r="C36" s="138">
        <v>6397</v>
      </c>
      <c r="D36" s="138">
        <v>4328</v>
      </c>
      <c r="E36" s="8"/>
      <c r="F36" s="8"/>
      <c r="G36" s="150" t="s">
        <v>1326</v>
      </c>
      <c r="H36" s="152">
        <v>2150000</v>
      </c>
      <c r="I36" s="152"/>
      <c r="K36" s="8"/>
    </row>
    <row r="37" spans="1:11">
      <c r="A37" s="138" t="s">
        <v>286</v>
      </c>
      <c r="B37" s="138">
        <v>5537</v>
      </c>
      <c r="C37" s="138">
        <v>6284</v>
      </c>
      <c r="D37" s="138">
        <v>4682</v>
      </c>
      <c r="E37" s="8"/>
      <c r="F37" s="8"/>
      <c r="G37" s="150" t="s">
        <v>1327</v>
      </c>
      <c r="H37" s="152">
        <v>1450000</v>
      </c>
      <c r="I37" s="152"/>
      <c r="K37" s="8"/>
    </row>
    <row r="38" spans="1:11">
      <c r="A38" s="138" t="s">
        <v>287</v>
      </c>
      <c r="B38" s="138">
        <v>5399</v>
      </c>
      <c r="C38" s="138">
        <v>6316</v>
      </c>
      <c r="D38" s="138">
        <v>4179</v>
      </c>
      <c r="E38" s="8"/>
      <c r="F38" s="8"/>
      <c r="G38" s="150" t="s">
        <v>1328</v>
      </c>
      <c r="H38" s="152">
        <v>650000</v>
      </c>
      <c r="I38" s="152"/>
      <c r="K38" s="8"/>
    </row>
  </sheetData>
  <mergeCells count="6">
    <mergeCell ref="G24:J24"/>
    <mergeCell ref="E28:E29"/>
    <mergeCell ref="D10:E10"/>
    <mergeCell ref="D11:E11"/>
    <mergeCell ref="A24:D25"/>
    <mergeCell ref="E24:E2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L38"/>
  <sheetViews>
    <sheetView topLeftCell="A10" workbookViewId="0">
      <selection activeCell="I29" sqref="I29:I38"/>
    </sheetView>
  </sheetViews>
  <sheetFormatPr defaultRowHeight="16.5"/>
  <cols>
    <col min="4" max="5" width="10.875" bestFit="1" customWidth="1"/>
    <col min="8" max="8" width="16.75" bestFit="1" customWidth="1"/>
    <col min="10" max="10" width="11.5" customWidth="1"/>
    <col min="11" max="11" width="10.625" customWidth="1"/>
    <col min="12" max="12" width="13" bestFit="1" customWidth="1"/>
  </cols>
  <sheetData>
    <row r="1" spans="1:11">
      <c r="A1" s="8" t="s">
        <v>151</v>
      </c>
      <c r="B1" s="9" t="s">
        <v>202</v>
      </c>
      <c r="C1" s="8"/>
      <c r="D1" s="8"/>
      <c r="E1" s="8"/>
      <c r="F1" s="8"/>
      <c r="G1" s="8" t="s">
        <v>4</v>
      </c>
      <c r="H1" s="9" t="s">
        <v>1312</v>
      </c>
      <c r="I1" s="16"/>
      <c r="J1" s="157" t="s">
        <v>375</v>
      </c>
      <c r="K1" s="8"/>
    </row>
    <row r="2" spans="1:11">
      <c r="A2" s="1" t="s">
        <v>203</v>
      </c>
      <c r="B2" s="1" t="s">
        <v>204</v>
      </c>
      <c r="C2" s="1" t="s">
        <v>205</v>
      </c>
      <c r="D2" s="8"/>
      <c r="E2" s="8"/>
      <c r="F2" s="8"/>
      <c r="G2" s="63" t="s">
        <v>1294</v>
      </c>
      <c r="H2" s="63" t="s">
        <v>1309</v>
      </c>
      <c r="J2" s="63" t="s">
        <v>1310</v>
      </c>
      <c r="K2" s="28" t="s">
        <v>1311</v>
      </c>
    </row>
    <row r="3" spans="1:11">
      <c r="A3" s="1" t="s">
        <v>207</v>
      </c>
      <c r="B3" s="1" t="s">
        <v>208</v>
      </c>
      <c r="C3" s="1" t="s">
        <v>209</v>
      </c>
      <c r="D3" s="8"/>
      <c r="E3" s="8"/>
      <c r="F3" s="8"/>
      <c r="G3" s="63">
        <v>2505001</v>
      </c>
      <c r="H3" s="149">
        <v>338</v>
      </c>
      <c r="J3" s="146">
        <v>0.5</v>
      </c>
      <c r="K3" s="63" t="str">
        <f>TEXT(_xlfn.PERCENTILE.INC($H$3:$H$11,J3),"0.0점")</f>
        <v>391.0점</v>
      </c>
    </row>
    <row r="4" spans="1:11">
      <c r="A4" s="1" t="s">
        <v>210</v>
      </c>
      <c r="B4" s="1" t="s">
        <v>211</v>
      </c>
      <c r="C4" s="1" t="s">
        <v>212</v>
      </c>
      <c r="D4" s="8"/>
      <c r="E4" s="8"/>
      <c r="F4" s="8"/>
      <c r="G4" s="63">
        <v>2505002</v>
      </c>
      <c r="H4" s="149">
        <v>399</v>
      </c>
      <c r="J4" s="146">
        <v>0.7</v>
      </c>
      <c r="K4" s="63" t="str">
        <f t="shared" ref="K4:K5" si="0">TEXT(_xlfn.PERCENTILE.INC($H$3:$H$11,J4),"0.0점")</f>
        <v>397.4점</v>
      </c>
    </row>
    <row r="5" spans="1:11">
      <c r="A5" s="1" t="s">
        <v>213</v>
      </c>
      <c r="B5" s="1" t="s">
        <v>211</v>
      </c>
      <c r="C5" s="1" t="s">
        <v>175</v>
      </c>
      <c r="D5" s="8"/>
      <c r="E5" s="8"/>
      <c r="F5" s="8"/>
      <c r="G5" s="63">
        <v>2505003</v>
      </c>
      <c r="H5" s="149">
        <v>391</v>
      </c>
      <c r="J5" s="146">
        <v>0.9</v>
      </c>
      <c r="K5" s="63" t="str">
        <f t="shared" si="0"/>
        <v>496.8점</v>
      </c>
    </row>
    <row r="6" spans="1:11">
      <c r="A6" s="1" t="s">
        <v>214</v>
      </c>
      <c r="B6" s="1" t="s">
        <v>215</v>
      </c>
      <c r="C6" s="1" t="s">
        <v>209</v>
      </c>
      <c r="D6" s="8"/>
      <c r="E6" s="8"/>
      <c r="F6" s="8"/>
      <c r="G6" s="63">
        <v>2505004</v>
      </c>
      <c r="H6" s="149">
        <v>500</v>
      </c>
      <c r="K6" s="8"/>
    </row>
    <row r="7" spans="1:11">
      <c r="A7" s="1" t="s">
        <v>216</v>
      </c>
      <c r="B7" s="1" t="s">
        <v>217</v>
      </c>
      <c r="C7" s="1" t="s">
        <v>218</v>
      </c>
      <c r="D7" s="8"/>
      <c r="E7" s="8"/>
      <c r="F7" s="8"/>
      <c r="G7" s="63">
        <v>2505005</v>
      </c>
      <c r="H7" s="149">
        <v>352</v>
      </c>
      <c r="K7" s="8"/>
    </row>
    <row r="8" spans="1:11">
      <c r="A8" s="1" t="s">
        <v>219</v>
      </c>
      <c r="B8" s="1" t="s">
        <v>220</v>
      </c>
      <c r="C8" s="1" t="s">
        <v>175</v>
      </c>
      <c r="D8" s="8"/>
      <c r="E8" s="8"/>
      <c r="F8" s="8"/>
      <c r="G8" s="63">
        <v>2505006</v>
      </c>
      <c r="H8" s="149">
        <v>368</v>
      </c>
      <c r="K8" s="8"/>
    </row>
    <row r="9" spans="1:11">
      <c r="A9" s="1" t="s">
        <v>221</v>
      </c>
      <c r="B9" s="1" t="s">
        <v>222</v>
      </c>
      <c r="C9" s="1" t="s">
        <v>223</v>
      </c>
      <c r="D9" s="8"/>
      <c r="E9" s="8"/>
      <c r="F9" s="8"/>
      <c r="G9" s="63">
        <v>2505007</v>
      </c>
      <c r="H9" s="149">
        <v>496</v>
      </c>
      <c r="K9" s="8"/>
    </row>
    <row r="10" spans="1:11">
      <c r="A10" s="1" t="s">
        <v>224</v>
      </c>
      <c r="B10" s="1" t="s">
        <v>225</v>
      </c>
      <c r="C10" s="1" t="s">
        <v>168</v>
      </c>
      <c r="D10" s="203" t="s">
        <v>226</v>
      </c>
      <c r="E10" s="203"/>
      <c r="F10" s="8"/>
      <c r="G10" s="63">
        <v>2505008</v>
      </c>
      <c r="H10" s="149">
        <v>387</v>
      </c>
      <c r="K10" s="8"/>
    </row>
    <row r="11" spans="1:11">
      <c r="A11" s="1" t="s">
        <v>227</v>
      </c>
      <c r="B11" s="1" t="s">
        <v>228</v>
      </c>
      <c r="C11" s="1" t="s">
        <v>229</v>
      </c>
      <c r="D11" s="207" t="str">
        <f>COUNTIF(C3:C11,"&lt;&gt;대리")&amp;"명"</f>
        <v>6명</v>
      </c>
      <c r="E11" s="207"/>
      <c r="F11" s="8"/>
      <c r="G11" s="63">
        <v>2505009</v>
      </c>
      <c r="H11" s="149">
        <v>395</v>
      </c>
      <c r="K11" s="8"/>
    </row>
    <row r="12" spans="1:11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1:11">
      <c r="A13" s="8" t="s">
        <v>49</v>
      </c>
      <c r="B13" s="9" t="s">
        <v>230</v>
      </c>
      <c r="C13" s="19"/>
      <c r="D13" s="19"/>
      <c r="E13" s="19"/>
      <c r="F13" s="8"/>
      <c r="G13" s="8" t="s">
        <v>178</v>
      </c>
      <c r="H13" s="9" t="s">
        <v>231</v>
      </c>
      <c r="I13" s="8"/>
      <c r="J13" s="8"/>
      <c r="K13" s="8"/>
    </row>
    <row r="14" spans="1:11">
      <c r="A14" s="1" t="s">
        <v>232</v>
      </c>
      <c r="B14" s="1" t="s">
        <v>233</v>
      </c>
      <c r="C14" s="1" t="s">
        <v>234</v>
      </c>
      <c r="D14" s="1" t="s">
        <v>235</v>
      </c>
      <c r="E14" s="20" t="s">
        <v>236</v>
      </c>
      <c r="F14" s="8"/>
      <c r="G14" s="1" t="s">
        <v>237</v>
      </c>
      <c r="H14" s="1" t="s">
        <v>238</v>
      </c>
      <c r="I14" s="1" t="s">
        <v>239</v>
      </c>
      <c r="J14" s="1" t="s">
        <v>240</v>
      </c>
      <c r="K14" s="1" t="s">
        <v>241</v>
      </c>
    </row>
    <row r="15" spans="1:11">
      <c r="A15" s="1" t="s">
        <v>242</v>
      </c>
      <c r="B15" s="1" t="s">
        <v>243</v>
      </c>
      <c r="C15" s="1" t="s">
        <v>244</v>
      </c>
      <c r="D15" s="11">
        <v>3560000</v>
      </c>
      <c r="E15" s="10">
        <v>2812000</v>
      </c>
      <c r="F15" s="8"/>
      <c r="G15" s="1" t="s">
        <v>245</v>
      </c>
      <c r="H15" s="1">
        <v>165</v>
      </c>
      <c r="I15" s="1">
        <v>45</v>
      </c>
      <c r="J15" s="1">
        <v>9</v>
      </c>
      <c r="K15" s="1">
        <v>120</v>
      </c>
    </row>
    <row r="16" spans="1:11">
      <c r="A16" s="1" t="s">
        <v>246</v>
      </c>
      <c r="B16" s="1" t="s">
        <v>247</v>
      </c>
      <c r="C16" s="1" t="s">
        <v>248</v>
      </c>
      <c r="D16" s="11">
        <v>3256000</v>
      </c>
      <c r="E16" s="10">
        <v>2126000</v>
      </c>
      <c r="F16" s="8"/>
      <c r="G16" s="1" t="s">
        <v>249</v>
      </c>
      <c r="H16" s="1">
        <v>148</v>
      </c>
      <c r="I16" s="1">
        <v>12</v>
      </c>
      <c r="J16" s="1">
        <v>35</v>
      </c>
      <c r="K16" s="1">
        <v>94</v>
      </c>
    </row>
    <row r="17" spans="1:12">
      <c r="A17" s="1" t="s">
        <v>250</v>
      </c>
      <c r="B17" s="1" t="s">
        <v>251</v>
      </c>
      <c r="C17" s="1" t="s">
        <v>252</v>
      </c>
      <c r="D17" s="11">
        <v>2560000</v>
      </c>
      <c r="E17" s="10">
        <v>1582000</v>
      </c>
      <c r="F17" s="8"/>
      <c r="G17" s="1" t="s">
        <v>253</v>
      </c>
      <c r="H17" s="1">
        <v>117</v>
      </c>
      <c r="I17" s="1">
        <v>48</v>
      </c>
      <c r="J17" s="1">
        <v>12</v>
      </c>
      <c r="K17" s="1">
        <v>106</v>
      </c>
    </row>
    <row r="18" spans="1:12">
      <c r="A18" s="1" t="s">
        <v>254</v>
      </c>
      <c r="B18" s="1" t="s">
        <v>247</v>
      </c>
      <c r="C18" s="1" t="s">
        <v>255</v>
      </c>
      <c r="D18" s="11">
        <v>3075000</v>
      </c>
      <c r="E18" s="10">
        <v>1868000</v>
      </c>
      <c r="F18" s="8"/>
      <c r="G18" s="1" t="s">
        <v>256</v>
      </c>
      <c r="H18" s="1">
        <v>135</v>
      </c>
      <c r="I18" s="1">
        <v>19</v>
      </c>
      <c r="J18" s="1">
        <v>42</v>
      </c>
      <c r="K18" s="1">
        <v>97</v>
      </c>
    </row>
    <row r="19" spans="1:12">
      <c r="A19" s="1" t="s">
        <v>257</v>
      </c>
      <c r="B19" s="1" t="s">
        <v>247</v>
      </c>
      <c r="C19" s="1" t="s">
        <v>258</v>
      </c>
      <c r="D19" s="11">
        <v>2856000</v>
      </c>
      <c r="E19" s="10">
        <v>1540000</v>
      </c>
      <c r="F19" s="8"/>
      <c r="G19" s="1" t="s">
        <v>259</v>
      </c>
      <c r="H19" s="1">
        <v>142</v>
      </c>
      <c r="I19" s="1">
        <v>51</v>
      </c>
      <c r="J19" s="1">
        <v>11</v>
      </c>
      <c r="K19" s="1">
        <v>114</v>
      </c>
    </row>
    <row r="20" spans="1:12">
      <c r="A20" s="1" t="s">
        <v>260</v>
      </c>
      <c r="B20" s="1" t="s">
        <v>243</v>
      </c>
      <c r="C20" s="1" t="s">
        <v>252</v>
      </c>
      <c r="D20" s="11">
        <v>2473000</v>
      </c>
      <c r="E20" s="10">
        <v>1495000</v>
      </c>
      <c r="F20" s="8"/>
      <c r="G20" s="1" t="s">
        <v>261</v>
      </c>
      <c r="H20" s="1">
        <v>135</v>
      </c>
      <c r="I20" s="1">
        <v>49</v>
      </c>
      <c r="J20" s="1">
        <v>16</v>
      </c>
      <c r="K20" s="1">
        <v>108</v>
      </c>
    </row>
    <row r="21" spans="1:12">
      <c r="A21" s="1" t="s">
        <v>262</v>
      </c>
      <c r="B21" s="1" t="s">
        <v>251</v>
      </c>
      <c r="C21" s="1" t="s">
        <v>252</v>
      </c>
      <c r="D21" s="11">
        <v>2372000</v>
      </c>
      <c r="E21" s="10">
        <v>1453000</v>
      </c>
      <c r="F21" s="8"/>
      <c r="G21" s="1" t="s">
        <v>263</v>
      </c>
      <c r="H21" s="1">
        <v>145</v>
      </c>
      <c r="I21" s="1">
        <v>29</v>
      </c>
      <c r="J21" s="1">
        <v>21</v>
      </c>
      <c r="K21" s="1">
        <v>84</v>
      </c>
    </row>
    <row r="22" spans="1:12">
      <c r="A22" s="1" t="s">
        <v>264</v>
      </c>
      <c r="B22" s="1" t="s">
        <v>243</v>
      </c>
      <c r="C22" s="1" t="s">
        <v>258</v>
      </c>
      <c r="D22" s="11">
        <v>2903000</v>
      </c>
      <c r="E22" s="10">
        <v>1500000</v>
      </c>
      <c r="F22" s="8"/>
      <c r="G22" s="1" t="s">
        <v>265</v>
      </c>
      <c r="H22" s="1">
        <v>135</v>
      </c>
      <c r="I22" s="1">
        <v>22</v>
      </c>
      <c r="J22" s="1">
        <v>10</v>
      </c>
      <c r="K22" s="1">
        <v>106</v>
      </c>
    </row>
    <row r="23" spans="1:12">
      <c r="A23" s="19"/>
      <c r="B23" s="19"/>
      <c r="C23" s="19"/>
      <c r="D23" s="19"/>
      <c r="E23" s="19"/>
      <c r="F23" s="8"/>
      <c r="G23" s="1" t="s">
        <v>266</v>
      </c>
      <c r="H23" s="1">
        <v>185</v>
      </c>
      <c r="I23" s="1">
        <v>16</v>
      </c>
      <c r="J23" s="1">
        <v>24</v>
      </c>
      <c r="K23" s="1">
        <v>113</v>
      </c>
    </row>
    <row r="24" spans="1:12">
      <c r="A24" s="208" t="s">
        <v>267</v>
      </c>
      <c r="B24" s="209"/>
      <c r="C24" s="209"/>
      <c r="D24" s="210"/>
      <c r="E24" s="214" t="str">
        <f>COUNTIFS(E15:E22,"&gt;1500000",D15:D22,"&gt;="&amp;AVERAGE(D15:D22))&amp;"명"</f>
        <v>3명</v>
      </c>
      <c r="F24" s="8"/>
      <c r="G24" s="200" t="s">
        <v>268</v>
      </c>
      <c r="H24" s="201"/>
      <c r="I24" s="201"/>
      <c r="J24" s="202"/>
      <c r="K24" s="29">
        <f>AVERAGEIF(I15:I23,"&gt;=40",K15:K23)</f>
        <v>112</v>
      </c>
    </row>
    <row r="25" spans="1:12">
      <c r="A25" s="211"/>
      <c r="B25" s="212"/>
      <c r="C25" s="212"/>
      <c r="D25" s="213"/>
      <c r="E25" s="214"/>
      <c r="F25" s="8"/>
      <c r="G25" s="8"/>
      <c r="H25" s="8"/>
      <c r="I25" s="8"/>
      <c r="J25" s="8"/>
      <c r="K25" s="8"/>
    </row>
    <row r="26" spans="1:1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2">
      <c r="A27" s="8" t="s">
        <v>269</v>
      </c>
      <c r="B27" s="9" t="s">
        <v>270</v>
      </c>
      <c r="C27" s="8"/>
      <c r="D27" s="8"/>
      <c r="E27" s="8"/>
      <c r="F27" s="8"/>
      <c r="G27" s="21" t="s">
        <v>271</v>
      </c>
      <c r="H27" s="22" t="s">
        <v>1319</v>
      </c>
      <c r="I27" s="22"/>
      <c r="J27" s="21"/>
      <c r="K27" s="153" t="s">
        <v>483</v>
      </c>
      <c r="L27" s="154"/>
    </row>
    <row r="28" spans="1:12">
      <c r="A28" s="1" t="s">
        <v>272</v>
      </c>
      <c r="B28" s="1" t="s">
        <v>273</v>
      </c>
      <c r="C28" s="1" t="s">
        <v>274</v>
      </c>
      <c r="D28" s="1" t="s">
        <v>275</v>
      </c>
      <c r="E28" s="205" t="s">
        <v>276</v>
      </c>
      <c r="F28" s="8"/>
      <c r="G28" s="150" t="s">
        <v>11</v>
      </c>
      <c r="H28" s="150" t="s">
        <v>1314</v>
      </c>
      <c r="I28" s="151" t="s">
        <v>1315</v>
      </c>
      <c r="K28" s="155" t="s">
        <v>1317</v>
      </c>
      <c r="L28" s="155" t="s">
        <v>1318</v>
      </c>
    </row>
    <row r="29" spans="1:12">
      <c r="A29" s="1" t="s">
        <v>278</v>
      </c>
      <c r="B29" s="1">
        <v>5535</v>
      </c>
      <c r="C29" s="1">
        <v>6021</v>
      </c>
      <c r="D29" s="1">
        <v>4831</v>
      </c>
      <c r="E29" s="206"/>
      <c r="F29" s="8"/>
      <c r="G29" s="150" t="s">
        <v>1320</v>
      </c>
      <c r="H29" s="152">
        <v>1650000</v>
      </c>
      <c r="I29" s="152">
        <f>VLOOKUP(VALUE(MID(G29,3,1)),$K$29:$L$30,2,0)+AVERAGE($H$29:$H$38)*20%</f>
        <v>768200</v>
      </c>
      <c r="K29" s="155">
        <v>2</v>
      </c>
      <c r="L29" s="156">
        <v>450000</v>
      </c>
    </row>
    <row r="30" spans="1:12">
      <c r="A30" s="1" t="s">
        <v>279</v>
      </c>
      <c r="B30" s="1">
        <v>5468</v>
      </c>
      <c r="C30" s="1">
        <v>6871</v>
      </c>
      <c r="D30" s="1">
        <v>5001</v>
      </c>
      <c r="E30" s="30">
        <f>ROUNDDOWN(_xlfn.STDEV.S(D29:D38),1)</f>
        <v>327.5</v>
      </c>
      <c r="F30" s="8"/>
      <c r="G30" s="150" t="s">
        <v>1321</v>
      </c>
      <c r="H30" s="152">
        <v>3750000</v>
      </c>
      <c r="I30" s="152">
        <f t="shared" ref="I30:I38" si="1">VLOOKUP(VALUE(MID(G30,3,1)),$K$29:$L$30,2,0)+AVERAGE($H$29:$H$38)*20%</f>
        <v>828200</v>
      </c>
      <c r="K30" s="155">
        <v>1</v>
      </c>
      <c r="L30" s="156">
        <v>390000</v>
      </c>
    </row>
    <row r="31" spans="1:12">
      <c r="A31" s="1" t="s">
        <v>280</v>
      </c>
      <c r="B31" s="1">
        <v>5724</v>
      </c>
      <c r="C31" s="1">
        <v>6278</v>
      </c>
      <c r="D31" s="1">
        <v>4835</v>
      </c>
      <c r="E31" s="8"/>
      <c r="F31" s="8"/>
      <c r="G31" s="150" t="s">
        <v>1322</v>
      </c>
      <c r="H31" s="152">
        <v>850000</v>
      </c>
      <c r="I31" s="152">
        <f t="shared" si="1"/>
        <v>768200</v>
      </c>
      <c r="K31" s="8"/>
    </row>
    <row r="32" spans="1:12">
      <c r="A32" s="1" t="s">
        <v>281</v>
      </c>
      <c r="B32" s="1">
        <v>5689</v>
      </c>
      <c r="C32" s="1">
        <v>6389</v>
      </c>
      <c r="D32" s="1">
        <v>4297</v>
      </c>
      <c r="E32" s="8"/>
      <c r="F32" s="8"/>
      <c r="G32" s="150" t="s">
        <v>1323</v>
      </c>
      <c r="H32" s="152">
        <v>2050000</v>
      </c>
      <c r="I32" s="152">
        <f t="shared" si="1"/>
        <v>828200</v>
      </c>
      <c r="K32" s="8"/>
    </row>
    <row r="33" spans="1:11">
      <c r="A33" s="1" t="s">
        <v>282</v>
      </c>
      <c r="B33" s="1">
        <v>5179</v>
      </c>
      <c r="C33" s="1">
        <v>6172</v>
      </c>
      <c r="D33" s="1">
        <v>5017</v>
      </c>
      <c r="E33" s="8"/>
      <c r="F33" s="8"/>
      <c r="G33" s="150" t="s">
        <v>1316</v>
      </c>
      <c r="H33" s="152">
        <v>3360000</v>
      </c>
      <c r="I33" s="152">
        <f t="shared" si="1"/>
        <v>768200</v>
      </c>
      <c r="K33" s="8"/>
    </row>
    <row r="34" spans="1:11">
      <c r="A34" s="1" t="s">
        <v>283</v>
      </c>
      <c r="B34" s="1">
        <v>5348</v>
      </c>
      <c r="C34" s="1">
        <v>6008</v>
      </c>
      <c r="D34" s="1">
        <v>4983</v>
      </c>
      <c r="E34" s="8"/>
      <c r="F34" s="8"/>
      <c r="G34" s="150" t="s">
        <v>1324</v>
      </c>
      <c r="H34" s="152">
        <v>850000</v>
      </c>
      <c r="I34" s="152">
        <f t="shared" si="1"/>
        <v>828200</v>
      </c>
      <c r="K34" s="8"/>
    </row>
    <row r="35" spans="1:11">
      <c r="A35" s="1" t="s">
        <v>284</v>
      </c>
      <c r="B35" s="1">
        <v>5493</v>
      </c>
      <c r="C35" s="1">
        <v>6217</v>
      </c>
      <c r="D35" s="1">
        <v>4998</v>
      </c>
      <c r="E35" s="8"/>
      <c r="F35" s="8"/>
      <c r="G35" s="150" t="s">
        <v>1325</v>
      </c>
      <c r="H35" s="152">
        <v>2150000</v>
      </c>
      <c r="I35" s="152">
        <f t="shared" si="1"/>
        <v>768200</v>
      </c>
      <c r="K35" s="8"/>
    </row>
    <row r="36" spans="1:11">
      <c r="A36" s="1" t="s">
        <v>285</v>
      </c>
      <c r="B36" s="1">
        <v>5157</v>
      </c>
      <c r="C36" s="1">
        <v>6397</v>
      </c>
      <c r="D36" s="1">
        <v>4328</v>
      </c>
      <c r="E36" s="8"/>
      <c r="F36" s="8"/>
      <c r="G36" s="150" t="s">
        <v>1326</v>
      </c>
      <c r="H36" s="152">
        <v>2150000</v>
      </c>
      <c r="I36" s="152">
        <f t="shared" si="1"/>
        <v>828200</v>
      </c>
      <c r="K36" s="8"/>
    </row>
    <row r="37" spans="1:11">
      <c r="A37" s="1" t="s">
        <v>286</v>
      </c>
      <c r="B37" s="1">
        <v>5537</v>
      </c>
      <c r="C37" s="1">
        <v>6284</v>
      </c>
      <c r="D37" s="1">
        <v>4682</v>
      </c>
      <c r="E37" s="8"/>
      <c r="F37" s="8"/>
      <c r="G37" s="150" t="s">
        <v>1327</v>
      </c>
      <c r="H37" s="152">
        <v>1450000</v>
      </c>
      <c r="I37" s="152">
        <f t="shared" si="1"/>
        <v>768200</v>
      </c>
      <c r="K37" s="8"/>
    </row>
    <row r="38" spans="1:11">
      <c r="A38" s="1" t="s">
        <v>287</v>
      </c>
      <c r="B38" s="1">
        <v>5399</v>
      </c>
      <c r="C38" s="1">
        <v>6316</v>
      </c>
      <c r="D38" s="1">
        <v>4179</v>
      </c>
      <c r="E38" s="8"/>
      <c r="F38" s="8"/>
      <c r="G38" s="150" t="s">
        <v>1328</v>
      </c>
      <c r="H38" s="152">
        <v>650000</v>
      </c>
      <c r="I38" s="152">
        <f t="shared" si="1"/>
        <v>828200</v>
      </c>
      <c r="K38" s="8"/>
    </row>
  </sheetData>
  <mergeCells count="6">
    <mergeCell ref="G24:J24"/>
    <mergeCell ref="E28:E29"/>
    <mergeCell ref="D10:E10"/>
    <mergeCell ref="D11:E11"/>
    <mergeCell ref="A24:D25"/>
    <mergeCell ref="E24:E2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T29"/>
  <sheetViews>
    <sheetView workbookViewId="0"/>
  </sheetViews>
  <sheetFormatPr defaultRowHeight="16.5"/>
  <cols>
    <col min="1" max="1" width="11.125" customWidth="1"/>
    <col min="2" max="2" width="10.625" bestFit="1" customWidth="1"/>
    <col min="3" max="3" width="9.375" bestFit="1" customWidth="1"/>
    <col min="4" max="4" width="10.375" bestFit="1" customWidth="1"/>
    <col min="5" max="5" width="17.75" bestFit="1" customWidth="1"/>
    <col min="6" max="6" width="10.375" bestFit="1" customWidth="1"/>
    <col min="7" max="7" width="1.625" customWidth="1"/>
    <col min="8" max="8" width="10.375" bestFit="1" customWidth="1"/>
    <col min="10" max="10" width="10.375" bestFit="1" customWidth="1"/>
    <col min="11" max="11" width="1.625" customWidth="1"/>
    <col min="18" max="18" width="1.625" customWidth="1"/>
    <col min="20" max="20" width="11.625" customWidth="1"/>
  </cols>
  <sheetData>
    <row r="1" spans="1:20">
      <c r="A1" s="40" t="s">
        <v>2</v>
      </c>
      <c r="B1" s="40"/>
      <c r="C1" s="40"/>
      <c r="D1" s="40"/>
      <c r="E1" s="40"/>
      <c r="F1" s="40"/>
      <c r="G1" s="40"/>
      <c r="H1" s="34" t="s">
        <v>374</v>
      </c>
      <c r="I1" s="34"/>
      <c r="J1" s="34"/>
      <c r="K1" s="34"/>
      <c r="L1" s="34" t="s">
        <v>375</v>
      </c>
      <c r="M1" s="34"/>
      <c r="N1" s="34"/>
      <c r="O1" s="34"/>
      <c r="P1" s="34"/>
      <c r="Q1" s="34"/>
      <c r="R1" s="34"/>
      <c r="S1" s="34" t="s">
        <v>376</v>
      </c>
      <c r="T1" s="40"/>
    </row>
    <row r="2" spans="1:20">
      <c r="A2" s="41" t="s">
        <v>378</v>
      </c>
      <c r="B2" s="41" t="s">
        <v>379</v>
      </c>
      <c r="C2" s="41" t="s">
        <v>380</v>
      </c>
      <c r="D2" s="41" t="s">
        <v>381</v>
      </c>
      <c r="E2" s="41" t="s">
        <v>382</v>
      </c>
      <c r="F2" s="42" t="s">
        <v>384</v>
      </c>
      <c r="G2" s="40"/>
      <c r="H2" s="29" t="s">
        <v>385</v>
      </c>
      <c r="I2" s="29" t="s">
        <v>386</v>
      </c>
      <c r="J2" s="42" t="s">
        <v>388</v>
      </c>
      <c r="K2" s="34"/>
      <c r="L2" s="43" t="s">
        <v>300</v>
      </c>
      <c r="M2" s="43" t="s">
        <v>389</v>
      </c>
      <c r="N2" s="43" t="s">
        <v>390</v>
      </c>
      <c r="O2" s="43" t="s">
        <v>391</v>
      </c>
      <c r="P2" s="43" t="s">
        <v>392</v>
      </c>
      <c r="Q2" s="42" t="s">
        <v>393</v>
      </c>
      <c r="R2" s="40"/>
      <c r="S2" s="36" t="s">
        <v>394</v>
      </c>
      <c r="T2" s="42" t="s">
        <v>395</v>
      </c>
    </row>
    <row r="3" spans="1:20">
      <c r="A3" s="29" t="s">
        <v>396</v>
      </c>
      <c r="B3" s="44">
        <v>1650000</v>
      </c>
      <c r="C3" s="29" t="s">
        <v>397</v>
      </c>
      <c r="D3" s="45">
        <v>0.02</v>
      </c>
      <c r="E3" s="46">
        <v>6</v>
      </c>
      <c r="F3" s="31"/>
      <c r="G3" s="40"/>
      <c r="H3" s="29" t="s">
        <v>398</v>
      </c>
      <c r="I3" s="47">
        <v>85</v>
      </c>
      <c r="J3" s="46"/>
      <c r="K3" s="34"/>
      <c r="L3" s="48" t="s">
        <v>399</v>
      </c>
      <c r="M3" s="48" t="s">
        <v>400</v>
      </c>
      <c r="N3" s="49">
        <v>61</v>
      </c>
      <c r="O3" s="49">
        <v>98</v>
      </c>
      <c r="P3" s="49">
        <v>68</v>
      </c>
      <c r="Q3" s="50"/>
      <c r="R3" s="40"/>
      <c r="S3" s="36" t="s">
        <v>401</v>
      </c>
      <c r="T3" s="36"/>
    </row>
    <row r="4" spans="1:20">
      <c r="A4" s="29" t="s">
        <v>402</v>
      </c>
      <c r="B4" s="44">
        <v>1560000</v>
      </c>
      <c r="C4" s="29" t="s">
        <v>404</v>
      </c>
      <c r="D4" s="45">
        <v>0.01</v>
      </c>
      <c r="E4" s="46">
        <v>12</v>
      </c>
      <c r="F4" s="31"/>
      <c r="G4" s="40"/>
      <c r="H4" s="29" t="s">
        <v>405</v>
      </c>
      <c r="I4" s="47">
        <v>108</v>
      </c>
      <c r="J4" s="46"/>
      <c r="K4" s="34"/>
      <c r="L4" s="48" t="s">
        <v>406</v>
      </c>
      <c r="M4" s="48" t="s">
        <v>407</v>
      </c>
      <c r="N4" s="49">
        <v>86</v>
      </c>
      <c r="O4" s="49">
        <v>66</v>
      </c>
      <c r="P4" s="49">
        <v>87</v>
      </c>
      <c r="Q4" s="50"/>
      <c r="R4" s="40"/>
      <c r="S4" s="36" t="s">
        <v>408</v>
      </c>
      <c r="T4" s="36"/>
    </row>
    <row r="5" spans="1:20">
      <c r="A5" s="29" t="s">
        <v>409</v>
      </c>
      <c r="B5" s="44">
        <v>1280000</v>
      </c>
      <c r="C5" s="29" t="s">
        <v>403</v>
      </c>
      <c r="D5" s="45">
        <v>0.03</v>
      </c>
      <c r="E5" s="46">
        <v>3</v>
      </c>
      <c r="F5" s="31"/>
      <c r="G5" s="40"/>
      <c r="H5" s="29" t="s">
        <v>410</v>
      </c>
      <c r="I5" s="47">
        <v>59</v>
      </c>
      <c r="J5" s="46"/>
      <c r="K5" s="34"/>
      <c r="L5" s="48" t="s">
        <v>411</v>
      </c>
      <c r="M5" s="48" t="s">
        <v>412</v>
      </c>
      <c r="N5" s="49">
        <v>84</v>
      </c>
      <c r="O5" s="49">
        <v>70</v>
      </c>
      <c r="P5" s="49">
        <v>59</v>
      </c>
      <c r="Q5" s="50"/>
      <c r="R5" s="40"/>
      <c r="S5" s="36" t="s">
        <v>413</v>
      </c>
      <c r="T5" s="36"/>
    </row>
    <row r="6" spans="1:20">
      <c r="A6" s="29" t="s">
        <v>414</v>
      </c>
      <c r="B6" s="44">
        <v>2540000</v>
      </c>
      <c r="C6" s="29" t="s">
        <v>416</v>
      </c>
      <c r="D6" s="45">
        <v>0.02</v>
      </c>
      <c r="E6" s="46">
        <v>12</v>
      </c>
      <c r="F6" s="31"/>
      <c r="G6" s="40"/>
      <c r="H6" s="29" t="s">
        <v>417</v>
      </c>
      <c r="I6" s="47">
        <v>108</v>
      </c>
      <c r="J6" s="46"/>
      <c r="K6" s="34"/>
      <c r="L6" s="48" t="s">
        <v>418</v>
      </c>
      <c r="M6" s="48" t="s">
        <v>412</v>
      </c>
      <c r="N6" s="49">
        <v>64</v>
      </c>
      <c r="O6" s="49">
        <v>59</v>
      </c>
      <c r="P6" s="49">
        <v>53</v>
      </c>
      <c r="Q6" s="50"/>
      <c r="R6" s="40"/>
      <c r="S6" s="36" t="s">
        <v>419</v>
      </c>
      <c r="T6" s="36"/>
    </row>
    <row r="7" spans="1:20">
      <c r="A7" s="29" t="s">
        <v>420</v>
      </c>
      <c r="B7" s="44">
        <v>3210000</v>
      </c>
      <c r="C7" s="29" t="s">
        <v>397</v>
      </c>
      <c r="D7" s="45">
        <v>0.02</v>
      </c>
      <c r="E7" s="46">
        <v>6</v>
      </c>
      <c r="F7" s="31"/>
      <c r="G7" s="40"/>
      <c r="H7" s="29" t="s">
        <v>398</v>
      </c>
      <c r="I7" s="47">
        <v>98</v>
      </c>
      <c r="J7" s="46"/>
      <c r="K7" s="34"/>
      <c r="L7" s="48" t="s">
        <v>421</v>
      </c>
      <c r="M7" s="48" t="s">
        <v>422</v>
      </c>
      <c r="N7" s="49">
        <v>92</v>
      </c>
      <c r="O7" s="49">
        <v>87</v>
      </c>
      <c r="P7" s="49">
        <v>90</v>
      </c>
      <c r="Q7" s="50"/>
      <c r="R7" s="40"/>
      <c r="S7" s="36" t="s">
        <v>423</v>
      </c>
      <c r="T7" s="36"/>
    </row>
    <row r="8" spans="1:20">
      <c r="A8" s="29" t="s">
        <v>424</v>
      </c>
      <c r="B8" s="44">
        <v>6210000</v>
      </c>
      <c r="C8" s="29" t="s">
        <v>403</v>
      </c>
      <c r="D8" s="45">
        <v>0.03</v>
      </c>
      <c r="E8" s="46">
        <v>3</v>
      </c>
      <c r="F8" s="31"/>
      <c r="G8" s="40"/>
      <c r="H8" s="29" t="s">
        <v>405</v>
      </c>
      <c r="I8" s="47">
        <v>98</v>
      </c>
      <c r="J8" s="46"/>
      <c r="K8" s="34"/>
      <c r="L8" s="48" t="s">
        <v>425</v>
      </c>
      <c r="M8" s="48" t="s">
        <v>407</v>
      </c>
      <c r="N8" s="49">
        <v>89</v>
      </c>
      <c r="O8" s="49">
        <v>90</v>
      </c>
      <c r="P8" s="49">
        <v>92</v>
      </c>
      <c r="Q8" s="50"/>
      <c r="R8" s="40"/>
      <c r="S8" s="36" t="s">
        <v>426</v>
      </c>
      <c r="T8" s="36"/>
    </row>
    <row r="9" spans="1:20">
      <c r="A9" s="29" t="s">
        <v>427</v>
      </c>
      <c r="B9" s="44">
        <v>2840000</v>
      </c>
      <c r="C9" s="29" t="s">
        <v>397</v>
      </c>
      <c r="D9" s="45">
        <v>0.01</v>
      </c>
      <c r="E9" s="46">
        <v>12</v>
      </c>
      <c r="F9" s="31"/>
      <c r="G9" s="40"/>
      <c r="H9" s="29" t="s">
        <v>428</v>
      </c>
      <c r="I9" s="47">
        <v>50</v>
      </c>
      <c r="J9" s="46"/>
      <c r="K9" s="34"/>
      <c r="L9" s="48" t="s">
        <v>429</v>
      </c>
      <c r="M9" s="48" t="s">
        <v>400</v>
      </c>
      <c r="N9" s="49">
        <v>92</v>
      </c>
      <c r="O9" s="49">
        <v>64</v>
      </c>
      <c r="P9" s="49">
        <v>76</v>
      </c>
      <c r="Q9" s="50"/>
      <c r="R9" s="40"/>
      <c r="S9" s="36" t="s">
        <v>430</v>
      </c>
      <c r="T9" s="36"/>
    </row>
    <row r="10" spans="1:20">
      <c r="A10" s="29" t="s">
        <v>431</v>
      </c>
      <c r="B10" s="44">
        <v>5130000</v>
      </c>
      <c r="C10" s="29" t="s">
        <v>397</v>
      </c>
      <c r="D10" s="45">
        <v>0.03</v>
      </c>
      <c r="E10" s="46">
        <v>12</v>
      </c>
      <c r="F10" s="31"/>
      <c r="G10" s="40"/>
      <c r="H10" s="29" t="s">
        <v>410</v>
      </c>
      <c r="I10" s="47">
        <v>98</v>
      </c>
      <c r="J10" s="46"/>
      <c r="K10" s="34"/>
      <c r="L10" s="48" t="s">
        <v>432</v>
      </c>
      <c r="M10" s="48" t="s">
        <v>412</v>
      </c>
      <c r="N10" s="49">
        <v>79</v>
      </c>
      <c r="O10" s="49">
        <v>94</v>
      </c>
      <c r="P10" s="49">
        <v>69</v>
      </c>
      <c r="Q10" s="50"/>
      <c r="R10" s="40"/>
      <c r="S10" s="36" t="s">
        <v>433</v>
      </c>
      <c r="T10" s="36"/>
    </row>
    <row r="11" spans="1:20">
      <c r="A11" s="29" t="s">
        <v>414</v>
      </c>
      <c r="B11" s="44">
        <v>857000</v>
      </c>
      <c r="C11" s="29" t="s">
        <v>416</v>
      </c>
      <c r="D11" s="45">
        <v>0.02</v>
      </c>
      <c r="E11" s="46">
        <v>3</v>
      </c>
      <c r="F11" s="31"/>
      <c r="G11" s="40"/>
      <c r="H11" s="29" t="s">
        <v>434</v>
      </c>
      <c r="I11" s="47">
        <v>69</v>
      </c>
      <c r="J11" s="46"/>
      <c r="K11" s="34"/>
      <c r="L11" s="48" t="s">
        <v>435</v>
      </c>
      <c r="M11" s="48" t="s">
        <v>436</v>
      </c>
      <c r="N11" s="49">
        <v>65</v>
      </c>
      <c r="O11" s="49">
        <v>73</v>
      </c>
      <c r="P11" s="49">
        <v>82</v>
      </c>
      <c r="Q11" s="50"/>
      <c r="R11" s="40"/>
      <c r="S11" s="36" t="s">
        <v>437</v>
      </c>
      <c r="T11" s="36"/>
    </row>
    <row r="12" spans="1:20">
      <c r="A12" s="29" t="s">
        <v>409</v>
      </c>
      <c r="B12" s="44">
        <v>5840000</v>
      </c>
      <c r="C12" s="29" t="s">
        <v>404</v>
      </c>
      <c r="D12" s="45">
        <v>0.03</v>
      </c>
      <c r="E12" s="46">
        <v>12</v>
      </c>
      <c r="F12" s="31"/>
      <c r="G12" s="40"/>
      <c r="H12" s="29" t="s">
        <v>405</v>
      </c>
      <c r="I12" s="47">
        <v>59</v>
      </c>
      <c r="J12" s="46"/>
      <c r="K12" s="34"/>
      <c r="L12" s="48" t="s">
        <v>438</v>
      </c>
      <c r="M12" s="48" t="s">
        <v>400</v>
      </c>
      <c r="N12" s="49">
        <v>74</v>
      </c>
      <c r="O12" s="49">
        <v>92</v>
      </c>
      <c r="P12" s="49">
        <v>73</v>
      </c>
      <c r="Q12" s="50"/>
      <c r="R12" s="40"/>
      <c r="S12" s="36" t="s">
        <v>439</v>
      </c>
      <c r="T12" s="36"/>
    </row>
    <row r="13" spans="1:20">
      <c r="A13" s="29" t="s">
        <v>440</v>
      </c>
      <c r="B13" s="44">
        <v>3540000</v>
      </c>
      <c r="C13" s="29" t="s">
        <v>416</v>
      </c>
      <c r="D13" s="45">
        <v>0.01</v>
      </c>
      <c r="E13" s="46">
        <v>6</v>
      </c>
      <c r="F13" s="31"/>
      <c r="G13" s="40"/>
      <c r="H13" s="29" t="s">
        <v>410</v>
      </c>
      <c r="I13" s="47">
        <v>84</v>
      </c>
      <c r="J13" s="46"/>
      <c r="K13" s="34"/>
      <c r="L13" s="48" t="s">
        <v>441</v>
      </c>
      <c r="M13" s="48" t="s">
        <v>412</v>
      </c>
      <c r="N13" s="49">
        <v>87</v>
      </c>
      <c r="O13" s="49">
        <v>84</v>
      </c>
      <c r="P13" s="49">
        <v>63</v>
      </c>
      <c r="Q13" s="50"/>
      <c r="R13" s="40"/>
      <c r="S13" s="36" t="s">
        <v>442</v>
      </c>
      <c r="T13" s="36"/>
    </row>
    <row r="14" spans="1:20">
      <c r="A14" s="40"/>
      <c r="B14" s="40"/>
      <c r="C14" s="40"/>
      <c r="D14" s="51"/>
      <c r="E14" s="52"/>
      <c r="F14" s="40"/>
      <c r="G14" s="40"/>
      <c r="H14" s="29" t="s">
        <v>398</v>
      </c>
      <c r="I14" s="47">
        <v>151</v>
      </c>
      <c r="J14" s="46"/>
      <c r="K14" s="34"/>
      <c r="L14" s="48" t="s">
        <v>443</v>
      </c>
      <c r="M14" s="48" t="s">
        <v>436</v>
      </c>
      <c r="N14" s="49">
        <v>50</v>
      </c>
      <c r="O14" s="49">
        <v>84</v>
      </c>
      <c r="P14" s="49">
        <v>79</v>
      </c>
      <c r="Q14" s="50"/>
      <c r="R14" s="40"/>
      <c r="S14" s="36" t="s">
        <v>444</v>
      </c>
      <c r="T14" s="36"/>
    </row>
    <row r="15" spans="1:20">
      <c r="A15" s="34" t="s">
        <v>445</v>
      </c>
      <c r="B15" s="40"/>
      <c r="C15" s="40"/>
      <c r="D15" s="40"/>
      <c r="E15" s="52"/>
      <c r="F15" s="40"/>
      <c r="G15" s="40"/>
      <c r="H15" s="29" t="s">
        <v>428</v>
      </c>
      <c r="I15" s="47">
        <v>104</v>
      </c>
      <c r="J15" s="46"/>
      <c r="K15" s="34"/>
      <c r="L15" s="48" t="s">
        <v>446</v>
      </c>
      <c r="M15" s="48" t="s">
        <v>400</v>
      </c>
      <c r="N15" s="49">
        <v>76</v>
      </c>
      <c r="O15" s="49">
        <v>80</v>
      </c>
      <c r="P15" s="49">
        <v>89</v>
      </c>
      <c r="Q15" s="50"/>
      <c r="R15" s="40"/>
      <c r="S15" s="36" t="s">
        <v>447</v>
      </c>
      <c r="T15" s="36"/>
    </row>
    <row r="16" spans="1:20">
      <c r="A16" s="215" t="s">
        <v>448</v>
      </c>
      <c r="B16" s="29">
        <v>0</v>
      </c>
      <c r="C16" s="29">
        <v>3</v>
      </c>
      <c r="D16" s="29">
        <v>6</v>
      </c>
      <c r="E16" s="29">
        <v>12</v>
      </c>
      <c r="F16" s="40"/>
      <c r="G16" s="40"/>
      <c r="H16" s="29" t="s">
        <v>417</v>
      </c>
      <c r="I16" s="47">
        <v>105</v>
      </c>
      <c r="J16" s="46"/>
      <c r="K16" s="34"/>
      <c r="L16" s="48" t="s">
        <v>449</v>
      </c>
      <c r="M16" s="48" t="s">
        <v>400</v>
      </c>
      <c r="N16" s="49">
        <v>52</v>
      </c>
      <c r="O16" s="49">
        <v>56</v>
      </c>
      <c r="P16" s="49">
        <v>92</v>
      </c>
      <c r="Q16" s="50"/>
      <c r="R16" s="40"/>
      <c r="S16" s="36" t="s">
        <v>450</v>
      </c>
      <c r="T16" s="36"/>
    </row>
    <row r="17" spans="1:20">
      <c r="A17" s="215"/>
      <c r="B17" s="29">
        <v>2</v>
      </c>
      <c r="C17" s="29">
        <v>5</v>
      </c>
      <c r="D17" s="29">
        <v>11</v>
      </c>
      <c r="E17" s="29"/>
      <c r="F17" s="40"/>
      <c r="G17" s="40"/>
      <c r="H17" s="29" t="s">
        <v>410</v>
      </c>
      <c r="I17" s="47">
        <v>98</v>
      </c>
      <c r="J17" s="46"/>
      <c r="K17" s="34"/>
      <c r="L17" s="48" t="s">
        <v>451</v>
      </c>
      <c r="M17" s="48" t="s">
        <v>452</v>
      </c>
      <c r="N17" s="49">
        <v>56</v>
      </c>
      <c r="O17" s="49">
        <v>99</v>
      </c>
      <c r="P17" s="49">
        <v>75</v>
      </c>
      <c r="Q17" s="50"/>
      <c r="R17" s="40"/>
      <c r="S17" s="36" t="s">
        <v>453</v>
      </c>
      <c r="T17" s="36"/>
    </row>
    <row r="18" spans="1:20">
      <c r="A18" s="29" t="s">
        <v>404</v>
      </c>
      <c r="B18" s="53">
        <v>0</v>
      </c>
      <c r="C18" s="53">
        <v>0.03</v>
      </c>
      <c r="D18" s="53">
        <v>0.05</v>
      </c>
      <c r="E18" s="53">
        <v>7.0000000000000007E-2</v>
      </c>
      <c r="F18" s="40"/>
      <c r="G18" s="40"/>
      <c r="H18" s="29" t="s">
        <v>398</v>
      </c>
      <c r="I18" s="47">
        <v>69</v>
      </c>
      <c r="J18" s="46"/>
      <c r="K18" s="34"/>
      <c r="L18" s="48" t="s">
        <v>454</v>
      </c>
      <c r="M18" s="48" t="s">
        <v>422</v>
      </c>
      <c r="N18" s="49">
        <v>97</v>
      </c>
      <c r="O18" s="49">
        <v>98</v>
      </c>
      <c r="P18" s="49">
        <v>85</v>
      </c>
      <c r="Q18" s="50"/>
      <c r="R18" s="40"/>
      <c r="S18" s="36" t="s">
        <v>455</v>
      </c>
      <c r="T18" s="36"/>
    </row>
    <row r="19" spans="1:20">
      <c r="A19" s="29" t="s">
        <v>456</v>
      </c>
      <c r="B19" s="53">
        <v>0</v>
      </c>
      <c r="C19" s="53">
        <v>0.02</v>
      </c>
      <c r="D19" s="53">
        <v>0.04</v>
      </c>
      <c r="E19" s="53">
        <v>0.06</v>
      </c>
      <c r="F19" s="40"/>
      <c r="G19" s="40"/>
      <c r="H19" s="29" t="s">
        <v>417</v>
      </c>
      <c r="I19" s="47">
        <v>105</v>
      </c>
      <c r="J19" s="46"/>
      <c r="K19" s="34"/>
      <c r="L19" s="48" t="s">
        <v>457</v>
      </c>
      <c r="M19" s="48" t="s">
        <v>400</v>
      </c>
      <c r="N19" s="49">
        <v>68</v>
      </c>
      <c r="O19" s="49">
        <v>50</v>
      </c>
      <c r="P19" s="49">
        <v>89</v>
      </c>
      <c r="Q19" s="50"/>
      <c r="R19" s="40"/>
      <c r="S19" s="36" t="s">
        <v>458</v>
      </c>
      <c r="T19" s="36"/>
    </row>
    <row r="20" spans="1:20">
      <c r="A20" s="40"/>
      <c r="B20" s="40"/>
      <c r="C20" s="40"/>
      <c r="D20" s="40"/>
      <c r="E20" s="40"/>
      <c r="F20" s="40"/>
      <c r="G20" s="40"/>
      <c r="H20" s="29" t="s">
        <v>410</v>
      </c>
      <c r="I20" s="47">
        <v>113</v>
      </c>
      <c r="J20" s="46"/>
      <c r="K20" s="34"/>
      <c r="L20" s="48" t="s">
        <v>459</v>
      </c>
      <c r="M20" s="48" t="s">
        <v>407</v>
      </c>
      <c r="N20" s="49">
        <v>77</v>
      </c>
      <c r="O20" s="49">
        <v>89</v>
      </c>
      <c r="P20" s="49">
        <v>92</v>
      </c>
      <c r="Q20" s="50"/>
      <c r="R20" s="40"/>
      <c r="S20" s="36" t="s">
        <v>460</v>
      </c>
      <c r="T20" s="36"/>
    </row>
    <row r="21" spans="1:20">
      <c r="A21" s="34" t="s">
        <v>461</v>
      </c>
      <c r="B21" s="34"/>
      <c r="C21" s="34"/>
      <c r="D21" s="34"/>
      <c r="E21" s="34"/>
      <c r="F21" s="40"/>
      <c r="G21" s="40"/>
      <c r="H21" s="40"/>
      <c r="I21" s="40"/>
      <c r="J21" s="40"/>
      <c r="K21" s="34"/>
      <c r="L21" s="48" t="s">
        <v>462</v>
      </c>
      <c r="M21" s="48" t="s">
        <v>452</v>
      </c>
      <c r="N21" s="49">
        <v>55</v>
      </c>
      <c r="O21" s="49">
        <v>68</v>
      </c>
      <c r="P21" s="49">
        <v>66</v>
      </c>
      <c r="Q21" s="50"/>
      <c r="R21" s="40"/>
    </row>
    <row r="22" spans="1:20">
      <c r="A22" s="29" t="s">
        <v>112</v>
      </c>
      <c r="B22" s="54">
        <v>50</v>
      </c>
      <c r="C22" s="54">
        <v>86</v>
      </c>
      <c r="D22" s="54">
        <v>103</v>
      </c>
      <c r="E22" s="55">
        <v>136</v>
      </c>
      <c r="F22" s="40"/>
      <c r="G22" s="40"/>
      <c r="H22" s="40"/>
      <c r="I22" s="40"/>
      <c r="J22" s="40"/>
      <c r="K22" s="34"/>
      <c r="L22" s="48" t="s">
        <v>463</v>
      </c>
      <c r="M22" s="48" t="s">
        <v>436</v>
      </c>
      <c r="N22" s="49">
        <v>52</v>
      </c>
      <c r="O22" s="49">
        <v>78</v>
      </c>
      <c r="P22" s="49">
        <v>60</v>
      </c>
      <c r="Q22" s="50"/>
      <c r="R22" s="40"/>
    </row>
    <row r="23" spans="1:20">
      <c r="A23" s="46" t="s">
        <v>398</v>
      </c>
      <c r="B23" s="46">
        <v>300</v>
      </c>
      <c r="C23" s="46">
        <v>600</v>
      </c>
      <c r="D23" s="46">
        <v>1000</v>
      </c>
      <c r="E23" s="7">
        <v>1500</v>
      </c>
      <c r="F23" s="40"/>
      <c r="G23" s="40"/>
      <c r="H23" s="40" t="s">
        <v>464</v>
      </c>
      <c r="I23" s="40"/>
      <c r="J23" s="40"/>
      <c r="K23" s="34"/>
      <c r="L23" s="48" t="s">
        <v>465</v>
      </c>
      <c r="M23" s="48" t="s">
        <v>407</v>
      </c>
      <c r="N23" s="49">
        <v>76</v>
      </c>
      <c r="O23" s="49">
        <v>65</v>
      </c>
      <c r="P23" s="49">
        <v>88</v>
      </c>
      <c r="Q23" s="50"/>
      <c r="R23" s="40"/>
      <c r="S23" s="56" t="s">
        <v>467</v>
      </c>
    </row>
    <row r="24" spans="1:20">
      <c r="A24" s="46" t="s">
        <v>428</v>
      </c>
      <c r="B24" s="46">
        <v>250</v>
      </c>
      <c r="C24" s="46">
        <v>400</v>
      </c>
      <c r="D24" s="46">
        <v>700</v>
      </c>
      <c r="E24" s="7">
        <v>1000</v>
      </c>
      <c r="F24" s="40"/>
      <c r="G24" s="40"/>
      <c r="H24" s="29" t="s">
        <v>469</v>
      </c>
      <c r="I24" s="216" t="s">
        <v>471</v>
      </c>
      <c r="J24" s="217"/>
      <c r="K24" s="34"/>
      <c r="L24" s="48" t="s">
        <v>472</v>
      </c>
      <c r="M24" s="48" t="s">
        <v>436</v>
      </c>
      <c r="N24" s="49">
        <v>85</v>
      </c>
      <c r="O24" s="49">
        <v>97</v>
      </c>
      <c r="P24" s="49">
        <v>89</v>
      </c>
      <c r="Q24" s="50"/>
      <c r="R24" s="40"/>
      <c r="S24" s="36" t="s">
        <v>473</v>
      </c>
      <c r="T24" s="36" t="s">
        <v>474</v>
      </c>
    </row>
    <row r="25" spans="1:20">
      <c r="A25" s="46" t="s">
        <v>434</v>
      </c>
      <c r="B25" s="46">
        <v>200</v>
      </c>
      <c r="C25" s="46">
        <v>300</v>
      </c>
      <c r="D25" s="46">
        <v>400</v>
      </c>
      <c r="E25" s="7">
        <v>500</v>
      </c>
      <c r="F25" s="40"/>
      <c r="G25" s="40"/>
      <c r="H25" s="29" t="s">
        <v>475</v>
      </c>
      <c r="I25" s="215"/>
      <c r="J25" s="215"/>
      <c r="K25" s="34"/>
      <c r="L25" s="48" t="s">
        <v>301</v>
      </c>
      <c r="M25" s="48" t="s">
        <v>452</v>
      </c>
      <c r="N25" s="49">
        <v>71</v>
      </c>
      <c r="O25" s="49">
        <v>97</v>
      </c>
      <c r="P25" s="49">
        <v>68</v>
      </c>
      <c r="Q25" s="50"/>
      <c r="R25" s="40"/>
      <c r="S25" s="36" t="s">
        <v>476</v>
      </c>
      <c r="T25" s="36" t="s">
        <v>477</v>
      </c>
    </row>
    <row r="26" spans="1:20">
      <c r="A26" s="40"/>
      <c r="B26" s="40"/>
      <c r="C26" s="40"/>
      <c r="D26" s="40"/>
      <c r="E26" s="40"/>
      <c r="F26" s="40"/>
      <c r="G26" s="40"/>
      <c r="H26" s="29" t="s">
        <v>478</v>
      </c>
      <c r="I26" s="215"/>
      <c r="J26" s="215"/>
      <c r="K26" s="34"/>
      <c r="L26" s="51"/>
      <c r="M26" s="57"/>
      <c r="N26" s="57"/>
      <c r="O26" s="57"/>
      <c r="P26" s="58"/>
      <c r="Q26" s="58"/>
      <c r="R26" s="40"/>
      <c r="S26" s="36" t="s">
        <v>479</v>
      </c>
      <c r="T26" s="36" t="s">
        <v>480</v>
      </c>
    </row>
    <row r="27" spans="1:20">
      <c r="A27" s="40" t="s">
        <v>481</v>
      </c>
      <c r="B27" s="40"/>
      <c r="C27" s="40"/>
      <c r="D27" s="40"/>
      <c r="E27" s="40"/>
      <c r="F27" s="40"/>
      <c r="G27" s="40"/>
      <c r="H27" s="29" t="s">
        <v>482</v>
      </c>
      <c r="I27" s="215"/>
      <c r="J27" s="215"/>
      <c r="K27" s="34"/>
      <c r="L27" s="2" t="s">
        <v>484</v>
      </c>
      <c r="M27" s="34"/>
      <c r="N27" s="34"/>
      <c r="O27" s="34"/>
      <c r="P27" s="34"/>
      <c r="Q27" s="34"/>
      <c r="R27" s="40"/>
      <c r="S27" s="36" t="s">
        <v>485</v>
      </c>
      <c r="T27" s="36" t="s">
        <v>486</v>
      </c>
    </row>
    <row r="28" spans="1:20">
      <c r="A28" s="29" t="s">
        <v>487</v>
      </c>
      <c r="B28" s="29" t="s">
        <v>488</v>
      </c>
      <c r="C28" s="29" t="s">
        <v>489</v>
      </c>
      <c r="D28" s="29" t="s">
        <v>490</v>
      </c>
      <c r="E28" s="29" t="s">
        <v>491</v>
      </c>
      <c r="F28" s="40"/>
      <c r="G28" s="40"/>
      <c r="H28" s="29" t="s">
        <v>493</v>
      </c>
      <c r="I28" s="215"/>
      <c r="J28" s="215"/>
      <c r="K28" s="34"/>
      <c r="L28" s="29" t="s">
        <v>494</v>
      </c>
      <c r="M28" s="50">
        <v>0</v>
      </c>
      <c r="N28" s="50">
        <v>60</v>
      </c>
      <c r="O28" s="29">
        <v>70</v>
      </c>
      <c r="P28" s="29">
        <v>80</v>
      </c>
      <c r="Q28" s="29">
        <v>90</v>
      </c>
      <c r="R28" s="58"/>
      <c r="S28" s="36" t="s">
        <v>495</v>
      </c>
      <c r="T28" s="36" t="s">
        <v>496</v>
      </c>
    </row>
    <row r="29" spans="1:20">
      <c r="A29" s="59">
        <v>11</v>
      </c>
      <c r="B29" s="59">
        <v>22</v>
      </c>
      <c r="C29" s="59">
        <v>33</v>
      </c>
      <c r="D29" s="59">
        <v>44</v>
      </c>
      <c r="E29" s="29">
        <v>55</v>
      </c>
      <c r="F29" s="40"/>
      <c r="G29" s="40"/>
      <c r="H29" s="29" t="s">
        <v>498</v>
      </c>
      <c r="I29" s="215"/>
      <c r="J29" s="215"/>
      <c r="K29" s="34"/>
      <c r="L29" s="29" t="s">
        <v>393</v>
      </c>
      <c r="M29" s="29" t="s">
        <v>499</v>
      </c>
      <c r="N29" s="29" t="s">
        <v>500</v>
      </c>
      <c r="O29" s="29" t="s">
        <v>295</v>
      </c>
      <c r="P29" s="29" t="s">
        <v>292</v>
      </c>
      <c r="Q29" s="29" t="s">
        <v>296</v>
      </c>
      <c r="R29" s="34"/>
      <c r="S29" s="36" t="s">
        <v>501</v>
      </c>
      <c r="T29" s="36" t="s">
        <v>502</v>
      </c>
    </row>
  </sheetData>
  <mergeCells count="7">
    <mergeCell ref="I29:J29"/>
    <mergeCell ref="A16:A17"/>
    <mergeCell ref="I24:J24"/>
    <mergeCell ref="I25:J25"/>
    <mergeCell ref="I26:J26"/>
    <mergeCell ref="I27:J27"/>
    <mergeCell ref="I28:J28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/>
  <dimension ref="A1:T29"/>
  <sheetViews>
    <sheetView topLeftCell="I1" workbookViewId="0">
      <selection activeCell="T3" sqref="T3:T20"/>
    </sheetView>
  </sheetViews>
  <sheetFormatPr defaultRowHeight="16.5"/>
  <cols>
    <col min="1" max="1" width="11.125" customWidth="1"/>
    <col min="2" max="2" width="10.625" bestFit="1" customWidth="1"/>
    <col min="3" max="3" width="9.375" bestFit="1" customWidth="1"/>
    <col min="4" max="4" width="10.375" bestFit="1" customWidth="1"/>
    <col min="5" max="5" width="17.75" bestFit="1" customWidth="1"/>
    <col min="6" max="6" width="10.375" bestFit="1" customWidth="1"/>
    <col min="7" max="7" width="1.625" customWidth="1"/>
    <col min="8" max="8" width="10.375" bestFit="1" customWidth="1"/>
    <col min="10" max="10" width="10.375" bestFit="1" customWidth="1"/>
    <col min="11" max="11" width="1.625" customWidth="1"/>
    <col min="18" max="18" width="1.625" customWidth="1"/>
    <col min="20" max="20" width="11.625" bestFit="1" customWidth="1"/>
  </cols>
  <sheetData>
    <row r="1" spans="1:20">
      <c r="A1" s="40" t="s">
        <v>2</v>
      </c>
      <c r="B1" s="40"/>
      <c r="C1" s="40"/>
      <c r="D1" s="40"/>
      <c r="E1" s="40"/>
      <c r="F1" s="40"/>
      <c r="G1" s="40"/>
      <c r="H1" s="34" t="s">
        <v>374</v>
      </c>
      <c r="I1" s="34"/>
      <c r="J1" s="34"/>
      <c r="K1" s="34"/>
      <c r="L1" s="34" t="s">
        <v>375</v>
      </c>
      <c r="M1" s="34"/>
      <c r="N1" s="34"/>
      <c r="O1" s="34"/>
      <c r="P1" s="34"/>
      <c r="Q1" s="34"/>
      <c r="R1" s="34"/>
      <c r="S1" s="34" t="s">
        <v>376</v>
      </c>
      <c r="T1" s="40"/>
    </row>
    <row r="2" spans="1:20">
      <c r="A2" s="41" t="s">
        <v>378</v>
      </c>
      <c r="B2" s="41" t="s">
        <v>379</v>
      </c>
      <c r="C2" s="41" t="s">
        <v>380</v>
      </c>
      <c r="D2" s="41" t="s">
        <v>381</v>
      </c>
      <c r="E2" s="41" t="s">
        <v>382</v>
      </c>
      <c r="F2" s="42" t="s">
        <v>383</v>
      </c>
      <c r="G2" s="40"/>
      <c r="H2" s="29" t="s">
        <v>503</v>
      </c>
      <c r="I2" s="29" t="s">
        <v>386</v>
      </c>
      <c r="J2" s="42" t="s">
        <v>387</v>
      </c>
      <c r="K2" s="34"/>
      <c r="L2" s="43" t="s">
        <v>300</v>
      </c>
      <c r="M2" s="43" t="s">
        <v>389</v>
      </c>
      <c r="N2" s="43" t="s">
        <v>390</v>
      </c>
      <c r="O2" s="43" t="s">
        <v>391</v>
      </c>
      <c r="P2" s="43" t="s">
        <v>392</v>
      </c>
      <c r="Q2" s="42" t="s">
        <v>504</v>
      </c>
      <c r="R2" s="40"/>
      <c r="S2" s="36" t="s">
        <v>394</v>
      </c>
      <c r="T2" s="42" t="s">
        <v>395</v>
      </c>
    </row>
    <row r="3" spans="1:20">
      <c r="A3" s="29" t="s">
        <v>396</v>
      </c>
      <c r="B3" s="44">
        <v>1650000</v>
      </c>
      <c r="C3" s="29" t="s">
        <v>397</v>
      </c>
      <c r="D3" s="45">
        <v>0.02</v>
      </c>
      <c r="E3" s="46">
        <v>6</v>
      </c>
      <c r="F3" s="31">
        <f>B3*HLOOKUP(E3,$B$16:$E$19,MATCH(C3,{"한국카드","대한카드"},-1)+2)</f>
        <v>66000</v>
      </c>
      <c r="G3" s="40"/>
      <c r="H3" s="29" t="s">
        <v>398</v>
      </c>
      <c r="I3" s="47">
        <v>85</v>
      </c>
      <c r="J3" s="46" cm="1">
        <f t="array" ref="J3">INDEX($B$23:$E$25,_xlfn.XMATCH(H3,$A$23:$A$25,0),_xlfn.XMATCH(I3,$B$22:$E$22,-1))</f>
        <v>300</v>
      </c>
      <c r="K3" s="34"/>
      <c r="L3" s="48" t="s">
        <v>399</v>
      </c>
      <c r="M3" s="48" t="s">
        <v>400</v>
      </c>
      <c r="N3" s="49">
        <v>61</v>
      </c>
      <c r="O3" s="49">
        <v>98</v>
      </c>
      <c r="P3" s="49">
        <v>68</v>
      </c>
      <c r="Q3" s="50" t="str">
        <f>_xlfn.XLOOKUP(SUMPRODUCT(N3:P3,{0.3,0.2,0.5}),$M$28:$Q$28,$M$29:$Q$29,,-1)</f>
        <v>C</v>
      </c>
      <c r="R3" s="40"/>
      <c r="S3" s="36" t="s">
        <v>401</v>
      </c>
      <c r="T3" s="36" t="str">
        <f>VLOOKUP(LEFT(S3,2),$S$25:$T$29,2,FALSE)&amp;"("&amp;CHOOSE(MOD(RIGHT(S3,3),4)+1,"동부","서부","남부","북부")&amp;")"</f>
        <v>자영업(동부)</v>
      </c>
    </row>
    <row r="4" spans="1:20">
      <c r="A4" s="29" t="s">
        <v>402</v>
      </c>
      <c r="B4" s="44">
        <v>1560000</v>
      </c>
      <c r="C4" s="29" t="s">
        <v>404</v>
      </c>
      <c r="D4" s="45">
        <v>0.01</v>
      </c>
      <c r="E4" s="46">
        <v>12</v>
      </c>
      <c r="F4" s="31">
        <f>B4*HLOOKUP(E4,$B$16:$E$19,MATCH(C4,{"한국카드","대한카드"},-1)+2)</f>
        <v>109200.00000000001</v>
      </c>
      <c r="G4" s="40"/>
      <c r="H4" s="29" t="s">
        <v>405</v>
      </c>
      <c r="I4" s="47">
        <v>108</v>
      </c>
      <c r="J4" s="46" cm="1">
        <f t="array" ref="J4">INDEX($B$23:$E$25,_xlfn.XMATCH(H4,$A$23:$A$25,0),_xlfn.XMATCH(I4,$B$22:$E$22,-1))</f>
        <v>700</v>
      </c>
      <c r="K4" s="34"/>
      <c r="L4" s="48" t="s">
        <v>406</v>
      </c>
      <c r="M4" s="48" t="s">
        <v>407</v>
      </c>
      <c r="N4" s="49">
        <v>86</v>
      </c>
      <c r="O4" s="49">
        <v>66</v>
      </c>
      <c r="P4" s="49">
        <v>87</v>
      </c>
      <c r="Q4" s="50" t="str">
        <f>_xlfn.XLOOKUP(SUMPRODUCT(N4:P4,{0.3,0.2,0.5}),$M$28:$Q$28,$M$29:$Q$29,,-1)</f>
        <v>B</v>
      </c>
      <c r="R4" s="40"/>
      <c r="S4" s="36" t="s">
        <v>408</v>
      </c>
      <c r="T4" s="36" t="str">
        <f t="shared" ref="T4:T20" si="0">VLOOKUP(LEFT(S4,2),$S$25:$T$29,2,FALSE)&amp;"("&amp;CHOOSE(MOD(RIGHT(S4,3),4)+1,"동부","서부","남부","북부")&amp;")"</f>
        <v>회사원(북부)</v>
      </c>
    </row>
    <row r="5" spans="1:20">
      <c r="A5" s="29" t="s">
        <v>409</v>
      </c>
      <c r="B5" s="44">
        <v>1280000</v>
      </c>
      <c r="C5" s="29" t="s">
        <v>403</v>
      </c>
      <c r="D5" s="45">
        <v>0.03</v>
      </c>
      <c r="E5" s="46">
        <v>3</v>
      </c>
      <c r="F5" s="31">
        <f>B5*HLOOKUP(E5,$B$16:$E$19,MATCH(C5,{"한국카드","대한카드"},-1)+2)</f>
        <v>38400</v>
      </c>
      <c r="G5" s="40"/>
      <c r="H5" s="29" t="s">
        <v>505</v>
      </c>
      <c r="I5" s="47">
        <v>59</v>
      </c>
      <c r="J5" s="46" cm="1">
        <f t="array" ref="J5">INDEX($B$23:$E$25,_xlfn.XMATCH(H5,$A$23:$A$25,0),_xlfn.XMATCH(I5,$B$22:$E$22,-1))</f>
        <v>200</v>
      </c>
      <c r="K5" s="34"/>
      <c r="L5" s="48" t="s">
        <v>411</v>
      </c>
      <c r="M5" s="48" t="s">
        <v>412</v>
      </c>
      <c r="N5" s="49">
        <v>84</v>
      </c>
      <c r="O5" s="49">
        <v>70</v>
      </c>
      <c r="P5" s="49">
        <v>59</v>
      </c>
      <c r="Q5" s="50" t="str">
        <f>_xlfn.XLOOKUP(SUMPRODUCT(N5:P5,{0.3,0.2,0.5}),$M$28:$Q$28,$M$29:$Q$29,,-1)</f>
        <v>D</v>
      </c>
      <c r="R5" s="40"/>
      <c r="S5" s="36" t="s">
        <v>413</v>
      </c>
      <c r="T5" s="36" t="str">
        <f t="shared" si="0"/>
        <v>공무원(북부)</v>
      </c>
    </row>
    <row r="6" spans="1:20">
      <c r="A6" s="29" t="s">
        <v>414</v>
      </c>
      <c r="B6" s="44">
        <v>2540000</v>
      </c>
      <c r="C6" s="29" t="s">
        <v>416</v>
      </c>
      <c r="D6" s="45">
        <v>0.02</v>
      </c>
      <c r="E6" s="46">
        <v>12</v>
      </c>
      <c r="F6" s="31">
        <f>B6*HLOOKUP(E6,$B$16:$E$19,MATCH(C6,{"한국카드","대한카드"},-1)+2)</f>
        <v>152400</v>
      </c>
      <c r="G6" s="40"/>
      <c r="H6" s="29" t="s">
        <v>506</v>
      </c>
      <c r="I6" s="47">
        <v>108</v>
      </c>
      <c r="J6" s="46" cm="1">
        <f t="array" ref="J6">INDEX($B$23:$E$25,_xlfn.XMATCH(H6,$A$23:$A$25,0),_xlfn.XMATCH(I6,$B$22:$E$22,-1))</f>
        <v>1000</v>
      </c>
      <c r="K6" s="34"/>
      <c r="L6" s="48" t="s">
        <v>418</v>
      </c>
      <c r="M6" s="48" t="s">
        <v>412</v>
      </c>
      <c r="N6" s="49">
        <v>64</v>
      </c>
      <c r="O6" s="49">
        <v>59</v>
      </c>
      <c r="P6" s="49">
        <v>53</v>
      </c>
      <c r="Q6" s="50" t="str">
        <f>_xlfn.XLOOKUP(SUMPRODUCT(N6:P6,{0.3,0.2,0.5}),$M$28:$Q$28,$M$29:$Q$29,,-1)</f>
        <v>F</v>
      </c>
      <c r="R6" s="40"/>
      <c r="S6" s="36" t="s">
        <v>419</v>
      </c>
      <c r="T6" s="36" t="str">
        <f t="shared" si="0"/>
        <v>의사(동부)</v>
      </c>
    </row>
    <row r="7" spans="1:20">
      <c r="A7" s="29" t="s">
        <v>420</v>
      </c>
      <c r="B7" s="44">
        <v>3210000</v>
      </c>
      <c r="C7" s="29" t="s">
        <v>397</v>
      </c>
      <c r="D7" s="45">
        <v>0.02</v>
      </c>
      <c r="E7" s="46">
        <v>6</v>
      </c>
      <c r="F7" s="31">
        <f>B7*HLOOKUP(E7,$B$16:$E$19,MATCH(C7,{"한국카드","대한카드"},-1)+2)</f>
        <v>128400</v>
      </c>
      <c r="G7" s="40"/>
      <c r="H7" s="29" t="s">
        <v>507</v>
      </c>
      <c r="I7" s="47">
        <v>98</v>
      </c>
      <c r="J7" s="46" cm="1">
        <f t="array" ref="J7">INDEX($B$23:$E$25,_xlfn.XMATCH(H7,$A$23:$A$25,0),_xlfn.XMATCH(I7,$B$22:$E$22,-1))</f>
        <v>600</v>
      </c>
      <c r="K7" s="34"/>
      <c r="L7" s="48" t="s">
        <v>421</v>
      </c>
      <c r="M7" s="48" t="s">
        <v>422</v>
      </c>
      <c r="N7" s="49">
        <v>92</v>
      </c>
      <c r="O7" s="49">
        <v>87</v>
      </c>
      <c r="P7" s="49">
        <v>90</v>
      </c>
      <c r="Q7" s="50" t="str">
        <f>_xlfn.XLOOKUP(SUMPRODUCT(N7:P7,{0.3,0.2,0.5}),$M$28:$Q$28,$M$29:$Q$29,,-1)</f>
        <v>A</v>
      </c>
      <c r="R7" s="40"/>
      <c r="S7" s="36" t="s">
        <v>423</v>
      </c>
      <c r="T7" s="36" t="str">
        <f t="shared" si="0"/>
        <v>자영업(동부)</v>
      </c>
    </row>
    <row r="8" spans="1:20">
      <c r="A8" s="29" t="s">
        <v>424</v>
      </c>
      <c r="B8" s="44">
        <v>6210000</v>
      </c>
      <c r="C8" s="29" t="s">
        <v>403</v>
      </c>
      <c r="D8" s="45">
        <v>0.03</v>
      </c>
      <c r="E8" s="46">
        <v>3</v>
      </c>
      <c r="F8" s="31">
        <f>B8*HLOOKUP(E8,$B$16:$E$19,MATCH(C8,{"한국카드","대한카드"},-1)+2)</f>
        <v>186300</v>
      </c>
      <c r="G8" s="40"/>
      <c r="H8" s="29" t="s">
        <v>508</v>
      </c>
      <c r="I8" s="47">
        <v>98</v>
      </c>
      <c r="J8" s="46" cm="1">
        <f t="array" ref="J8">INDEX($B$23:$E$25,_xlfn.XMATCH(H8,$A$23:$A$25,0),_xlfn.XMATCH(I8,$B$22:$E$22,-1))</f>
        <v>400</v>
      </c>
      <c r="K8" s="34"/>
      <c r="L8" s="48" t="s">
        <v>425</v>
      </c>
      <c r="M8" s="48" t="s">
        <v>407</v>
      </c>
      <c r="N8" s="49">
        <v>89</v>
      </c>
      <c r="O8" s="49">
        <v>90</v>
      </c>
      <c r="P8" s="49">
        <v>92</v>
      </c>
      <c r="Q8" s="50" t="str">
        <f>_xlfn.XLOOKUP(SUMPRODUCT(N8:P8,{0.3,0.2,0.5}),$M$28:$Q$28,$M$29:$Q$29,,-1)</f>
        <v>A</v>
      </c>
      <c r="R8" s="40"/>
      <c r="S8" s="36" t="s">
        <v>426</v>
      </c>
      <c r="T8" s="36" t="str">
        <f t="shared" si="0"/>
        <v>의사(동부)</v>
      </c>
    </row>
    <row r="9" spans="1:20">
      <c r="A9" s="29" t="s">
        <v>427</v>
      </c>
      <c r="B9" s="44">
        <v>2840000</v>
      </c>
      <c r="C9" s="29" t="s">
        <v>397</v>
      </c>
      <c r="D9" s="45">
        <v>0.01</v>
      </c>
      <c r="E9" s="46">
        <v>12</v>
      </c>
      <c r="F9" s="31">
        <f>B9*HLOOKUP(E9,$B$16:$E$19,MATCH(C9,{"한국카드","대한카드"},-1)+2)</f>
        <v>170400</v>
      </c>
      <c r="G9" s="40"/>
      <c r="H9" s="29" t="s">
        <v>405</v>
      </c>
      <c r="I9" s="47">
        <v>50</v>
      </c>
      <c r="J9" s="46" cm="1">
        <f t="array" ref="J9">INDEX($B$23:$E$25,_xlfn.XMATCH(H9,$A$23:$A$25,0),_xlfn.XMATCH(I9,$B$22:$E$22,-1))</f>
        <v>250</v>
      </c>
      <c r="K9" s="34"/>
      <c r="L9" s="48" t="s">
        <v>429</v>
      </c>
      <c r="M9" s="48" t="s">
        <v>400</v>
      </c>
      <c r="N9" s="49">
        <v>92</v>
      </c>
      <c r="O9" s="49">
        <v>64</v>
      </c>
      <c r="P9" s="49">
        <v>76</v>
      </c>
      <c r="Q9" s="50" t="str">
        <f>_xlfn.XLOOKUP(SUMPRODUCT(N9:P9,{0.3,0.2,0.5}),$M$28:$Q$28,$M$29:$Q$29,,-1)</f>
        <v>C</v>
      </c>
      <c r="R9" s="40"/>
      <c r="S9" s="36" t="s">
        <v>430</v>
      </c>
      <c r="T9" s="36" t="str">
        <f t="shared" si="0"/>
        <v>자영업(서부)</v>
      </c>
    </row>
    <row r="10" spans="1:20">
      <c r="A10" s="29" t="s">
        <v>431</v>
      </c>
      <c r="B10" s="44">
        <v>5130000</v>
      </c>
      <c r="C10" s="29" t="s">
        <v>397</v>
      </c>
      <c r="D10" s="45">
        <v>0.03</v>
      </c>
      <c r="E10" s="46">
        <v>12</v>
      </c>
      <c r="F10" s="31">
        <f>B10*HLOOKUP(E10,$B$16:$E$19,MATCH(C10,{"한국카드","대한카드"},-1)+2)</f>
        <v>307800</v>
      </c>
      <c r="G10" s="40"/>
      <c r="H10" s="29" t="s">
        <v>410</v>
      </c>
      <c r="I10" s="47">
        <v>98</v>
      </c>
      <c r="J10" s="46" cm="1">
        <f t="array" ref="J10">INDEX($B$23:$E$25,_xlfn.XMATCH(H10,$A$23:$A$25,0),_xlfn.XMATCH(I10,$B$22:$E$22,-1))</f>
        <v>300</v>
      </c>
      <c r="K10" s="34"/>
      <c r="L10" s="48" t="s">
        <v>432</v>
      </c>
      <c r="M10" s="48" t="s">
        <v>412</v>
      </c>
      <c r="N10" s="49">
        <v>79</v>
      </c>
      <c r="O10" s="49">
        <v>94</v>
      </c>
      <c r="P10" s="49">
        <v>69</v>
      </c>
      <c r="Q10" s="50" t="str">
        <f>_xlfn.XLOOKUP(SUMPRODUCT(N10:P10,{0.3,0.2,0.5}),$M$28:$Q$28,$M$29:$Q$29,,-1)</f>
        <v>C</v>
      </c>
      <c r="R10" s="40"/>
      <c r="S10" s="36" t="s">
        <v>433</v>
      </c>
      <c r="T10" s="36" t="str">
        <f t="shared" si="0"/>
        <v>공무원(서부)</v>
      </c>
    </row>
    <row r="11" spans="1:20">
      <c r="A11" s="29" t="s">
        <v>414</v>
      </c>
      <c r="B11" s="44">
        <v>857000</v>
      </c>
      <c r="C11" s="29" t="s">
        <v>416</v>
      </c>
      <c r="D11" s="45">
        <v>0.02</v>
      </c>
      <c r="E11" s="46">
        <v>3</v>
      </c>
      <c r="F11" s="31">
        <f>B11*HLOOKUP(E11,$B$16:$E$19,MATCH(C11,{"한국카드","대한카드"},-1)+2)</f>
        <v>17140</v>
      </c>
      <c r="G11" s="40"/>
      <c r="H11" s="29" t="s">
        <v>410</v>
      </c>
      <c r="I11" s="47">
        <v>69</v>
      </c>
      <c r="J11" s="46" cm="1">
        <f t="array" ref="J11">INDEX($B$23:$E$25,_xlfn.XMATCH(H11,$A$23:$A$25,0),_xlfn.XMATCH(I11,$B$22:$E$22,-1))</f>
        <v>200</v>
      </c>
      <c r="K11" s="34"/>
      <c r="L11" s="48" t="s">
        <v>435</v>
      </c>
      <c r="M11" s="48" t="s">
        <v>436</v>
      </c>
      <c r="N11" s="49">
        <v>65</v>
      </c>
      <c r="O11" s="49">
        <v>73</v>
      </c>
      <c r="P11" s="49">
        <v>82</v>
      </c>
      <c r="Q11" s="50" t="str">
        <f>_xlfn.XLOOKUP(SUMPRODUCT(N11:P11,{0.3,0.2,0.5}),$M$28:$Q$28,$M$29:$Q$29,,-1)</f>
        <v>C</v>
      </c>
      <c r="R11" s="40"/>
      <c r="S11" s="36" t="s">
        <v>437</v>
      </c>
      <c r="T11" s="36" t="str">
        <f t="shared" si="0"/>
        <v>변호사(남부)</v>
      </c>
    </row>
    <row r="12" spans="1:20">
      <c r="A12" s="29" t="s">
        <v>409</v>
      </c>
      <c r="B12" s="44">
        <v>5840000</v>
      </c>
      <c r="C12" s="29" t="s">
        <v>404</v>
      </c>
      <c r="D12" s="45">
        <v>0.03</v>
      </c>
      <c r="E12" s="46">
        <v>12</v>
      </c>
      <c r="F12" s="31">
        <f>B12*HLOOKUP(E12,$B$16:$E$19,MATCH(C12,{"한국카드","대한카드"},-1)+2)</f>
        <v>408800.00000000006</v>
      </c>
      <c r="G12" s="40"/>
      <c r="H12" s="29" t="s">
        <v>405</v>
      </c>
      <c r="I12" s="47">
        <v>59</v>
      </c>
      <c r="J12" s="46" cm="1">
        <f t="array" ref="J12">INDEX($B$23:$E$25,_xlfn.XMATCH(H12,$A$23:$A$25,0),_xlfn.XMATCH(I12,$B$22:$E$22,-1))</f>
        <v>250</v>
      </c>
      <c r="K12" s="34"/>
      <c r="L12" s="48" t="s">
        <v>438</v>
      </c>
      <c r="M12" s="48" t="s">
        <v>400</v>
      </c>
      <c r="N12" s="49">
        <v>74</v>
      </c>
      <c r="O12" s="49">
        <v>92</v>
      </c>
      <c r="P12" s="49">
        <v>73</v>
      </c>
      <c r="Q12" s="50" t="str">
        <f>_xlfn.XLOOKUP(SUMPRODUCT(N12:P12,{0.3,0.2,0.5}),$M$28:$Q$28,$M$29:$Q$29,,-1)</f>
        <v>C</v>
      </c>
      <c r="R12" s="40"/>
      <c r="S12" s="36" t="s">
        <v>439</v>
      </c>
      <c r="T12" s="36" t="str">
        <f t="shared" si="0"/>
        <v>의사(북부)</v>
      </c>
    </row>
    <row r="13" spans="1:20">
      <c r="A13" s="29" t="s">
        <v>440</v>
      </c>
      <c r="B13" s="44">
        <v>3540000</v>
      </c>
      <c r="C13" s="29" t="s">
        <v>416</v>
      </c>
      <c r="D13" s="45">
        <v>0.01</v>
      </c>
      <c r="E13" s="46">
        <v>6</v>
      </c>
      <c r="F13" s="31">
        <f>B13*HLOOKUP(E13,$B$16:$E$19,MATCH(C13,{"한국카드","대한카드"},-1)+2)</f>
        <v>141600</v>
      </c>
      <c r="G13" s="40"/>
      <c r="H13" s="29" t="s">
        <v>410</v>
      </c>
      <c r="I13" s="47">
        <v>84</v>
      </c>
      <c r="J13" s="46" cm="1">
        <f t="array" ref="J13">INDEX($B$23:$E$25,_xlfn.XMATCH(H13,$A$23:$A$25,0),_xlfn.XMATCH(I13,$B$22:$E$22,-1))</f>
        <v>200</v>
      </c>
      <c r="K13" s="34"/>
      <c r="L13" s="48" t="s">
        <v>441</v>
      </c>
      <c r="M13" s="48" t="s">
        <v>412</v>
      </c>
      <c r="N13" s="49">
        <v>87</v>
      </c>
      <c r="O13" s="49">
        <v>84</v>
      </c>
      <c r="P13" s="49">
        <v>63</v>
      </c>
      <c r="Q13" s="50" t="str">
        <f>_xlfn.XLOOKUP(SUMPRODUCT(N13:P13,{0.3,0.2,0.5}),$M$28:$Q$28,$M$29:$Q$29,,-1)</f>
        <v>C</v>
      </c>
      <c r="R13" s="40"/>
      <c r="S13" s="36" t="s">
        <v>442</v>
      </c>
      <c r="T13" s="36" t="str">
        <f t="shared" si="0"/>
        <v>의사(동부)</v>
      </c>
    </row>
    <row r="14" spans="1:20">
      <c r="A14" s="40"/>
      <c r="B14" s="40"/>
      <c r="C14" s="40"/>
      <c r="D14" s="51"/>
      <c r="E14" s="52"/>
      <c r="F14" s="40"/>
      <c r="G14" s="40"/>
      <c r="H14" s="29" t="s">
        <v>398</v>
      </c>
      <c r="I14" s="47">
        <v>151</v>
      </c>
      <c r="J14" s="46" cm="1">
        <f t="array" ref="J14">INDEX($B$23:$E$25,_xlfn.XMATCH(H14,$A$23:$A$25,0),_xlfn.XMATCH(I14,$B$22:$E$22,-1))</f>
        <v>1500</v>
      </c>
      <c r="K14" s="34"/>
      <c r="L14" s="48" t="s">
        <v>443</v>
      </c>
      <c r="M14" s="48" t="s">
        <v>436</v>
      </c>
      <c r="N14" s="49">
        <v>50</v>
      </c>
      <c r="O14" s="49">
        <v>84</v>
      </c>
      <c r="P14" s="49">
        <v>79</v>
      </c>
      <c r="Q14" s="50" t="str">
        <f>_xlfn.XLOOKUP(SUMPRODUCT(N14:P14,{0.3,0.2,0.5}),$M$28:$Q$28,$M$29:$Q$29,,-1)</f>
        <v>C</v>
      </c>
      <c r="R14" s="40"/>
      <c r="S14" s="36" t="s">
        <v>444</v>
      </c>
      <c r="T14" s="36" t="str">
        <f t="shared" si="0"/>
        <v>자영업(서부)</v>
      </c>
    </row>
    <row r="15" spans="1:20">
      <c r="A15" s="34" t="s">
        <v>445</v>
      </c>
      <c r="B15" s="40"/>
      <c r="C15" s="40"/>
      <c r="D15" s="40"/>
      <c r="E15" s="52"/>
      <c r="F15" s="40"/>
      <c r="G15" s="40"/>
      <c r="H15" s="29" t="s">
        <v>405</v>
      </c>
      <c r="I15" s="47">
        <v>104</v>
      </c>
      <c r="J15" s="46" cm="1">
        <f t="array" ref="J15">INDEX($B$23:$E$25,_xlfn.XMATCH(H15,$A$23:$A$25,0),_xlfn.XMATCH(I15,$B$22:$E$22,-1))</f>
        <v>700</v>
      </c>
      <c r="K15" s="34"/>
      <c r="L15" s="48" t="s">
        <v>446</v>
      </c>
      <c r="M15" s="48" t="s">
        <v>400</v>
      </c>
      <c r="N15" s="49">
        <v>76</v>
      </c>
      <c r="O15" s="49">
        <v>80</v>
      </c>
      <c r="P15" s="49">
        <v>89</v>
      </c>
      <c r="Q15" s="50" t="str">
        <f>_xlfn.XLOOKUP(SUMPRODUCT(N15:P15,{0.3,0.2,0.5}),$M$28:$Q$28,$M$29:$Q$29,,-1)</f>
        <v>B</v>
      </c>
      <c r="R15" s="40"/>
      <c r="S15" s="36" t="s">
        <v>447</v>
      </c>
      <c r="T15" s="36" t="str">
        <f t="shared" si="0"/>
        <v>회사원(남부)</v>
      </c>
    </row>
    <row r="16" spans="1:20">
      <c r="A16" s="215" t="s">
        <v>448</v>
      </c>
      <c r="B16" s="29">
        <v>0</v>
      </c>
      <c r="C16" s="29">
        <v>3</v>
      </c>
      <c r="D16" s="29">
        <v>6</v>
      </c>
      <c r="E16" s="29">
        <v>12</v>
      </c>
      <c r="F16" s="40"/>
      <c r="G16" s="40"/>
      <c r="H16" s="29" t="s">
        <v>398</v>
      </c>
      <c r="I16" s="47">
        <v>105</v>
      </c>
      <c r="J16" s="46" cm="1">
        <f t="array" ref="J16">INDEX($B$23:$E$25,_xlfn.XMATCH(H16,$A$23:$A$25,0),_xlfn.XMATCH(I16,$B$22:$E$22,-1))</f>
        <v>1000</v>
      </c>
      <c r="K16" s="34"/>
      <c r="L16" s="48" t="s">
        <v>449</v>
      </c>
      <c r="M16" s="48" t="s">
        <v>400</v>
      </c>
      <c r="N16" s="49">
        <v>52</v>
      </c>
      <c r="O16" s="49">
        <v>56</v>
      </c>
      <c r="P16" s="49">
        <v>92</v>
      </c>
      <c r="Q16" s="50" t="str">
        <f>_xlfn.XLOOKUP(SUMPRODUCT(N16:P16,{0.3,0.2,0.5}),$M$28:$Q$28,$M$29:$Q$29,,-1)</f>
        <v>C</v>
      </c>
      <c r="R16" s="40"/>
      <c r="S16" s="36" t="s">
        <v>450</v>
      </c>
      <c r="T16" s="36" t="str">
        <f t="shared" si="0"/>
        <v>의사(서부)</v>
      </c>
    </row>
    <row r="17" spans="1:20">
      <c r="A17" s="215"/>
      <c r="B17" s="29">
        <v>2</v>
      </c>
      <c r="C17" s="29">
        <v>5</v>
      </c>
      <c r="D17" s="29">
        <v>11</v>
      </c>
      <c r="E17" s="29"/>
      <c r="F17" s="40"/>
      <c r="G17" s="40"/>
      <c r="H17" s="29" t="s">
        <v>410</v>
      </c>
      <c r="I17" s="47">
        <v>98</v>
      </c>
      <c r="J17" s="46" cm="1">
        <f t="array" ref="J17">INDEX($B$23:$E$25,_xlfn.XMATCH(H17,$A$23:$A$25,0),_xlfn.XMATCH(I17,$B$22:$E$22,-1))</f>
        <v>300</v>
      </c>
      <c r="K17" s="34"/>
      <c r="L17" s="48" t="s">
        <v>451</v>
      </c>
      <c r="M17" s="48" t="s">
        <v>452</v>
      </c>
      <c r="N17" s="49">
        <v>56</v>
      </c>
      <c r="O17" s="49">
        <v>99</v>
      </c>
      <c r="P17" s="49">
        <v>75</v>
      </c>
      <c r="Q17" s="50" t="str">
        <f>_xlfn.XLOOKUP(SUMPRODUCT(N17:P17,{0.3,0.2,0.5}),$M$28:$Q$28,$M$29:$Q$29,,-1)</f>
        <v>C</v>
      </c>
      <c r="R17" s="40"/>
      <c r="S17" s="36" t="s">
        <v>453</v>
      </c>
      <c r="T17" s="36" t="str">
        <f t="shared" si="0"/>
        <v>회사원(서부)</v>
      </c>
    </row>
    <row r="18" spans="1:20">
      <c r="A18" s="29" t="s">
        <v>404</v>
      </c>
      <c r="B18" s="53">
        <v>0</v>
      </c>
      <c r="C18" s="53">
        <v>0.03</v>
      </c>
      <c r="D18" s="53">
        <v>0.05</v>
      </c>
      <c r="E18" s="53">
        <v>7.0000000000000007E-2</v>
      </c>
      <c r="F18" s="40"/>
      <c r="G18" s="40"/>
      <c r="H18" s="29" t="s">
        <v>398</v>
      </c>
      <c r="I18" s="47">
        <v>69</v>
      </c>
      <c r="J18" s="46" cm="1">
        <f t="array" ref="J18">INDEX($B$23:$E$25,_xlfn.XMATCH(H18,$A$23:$A$25,0),_xlfn.XMATCH(I18,$B$22:$E$22,-1))</f>
        <v>300</v>
      </c>
      <c r="K18" s="34"/>
      <c r="L18" s="48" t="s">
        <v>454</v>
      </c>
      <c r="M18" s="48" t="s">
        <v>422</v>
      </c>
      <c r="N18" s="49">
        <v>97</v>
      </c>
      <c r="O18" s="49">
        <v>98</v>
      </c>
      <c r="P18" s="49">
        <v>85</v>
      </c>
      <c r="Q18" s="50" t="str">
        <f>_xlfn.XLOOKUP(SUMPRODUCT(N18:P18,{0.3,0.2,0.5}),$M$28:$Q$28,$M$29:$Q$29,,-1)</f>
        <v>A</v>
      </c>
      <c r="R18" s="40"/>
      <c r="S18" s="36" t="s">
        <v>455</v>
      </c>
      <c r="T18" s="36" t="str">
        <f t="shared" si="0"/>
        <v>자영업(북부)</v>
      </c>
    </row>
    <row r="19" spans="1:20">
      <c r="A19" s="29" t="s">
        <v>456</v>
      </c>
      <c r="B19" s="53">
        <v>0</v>
      </c>
      <c r="C19" s="53">
        <v>0.02</v>
      </c>
      <c r="D19" s="53">
        <v>0.04</v>
      </c>
      <c r="E19" s="53">
        <v>0.06</v>
      </c>
      <c r="F19" s="40"/>
      <c r="G19" s="40"/>
      <c r="H19" s="29" t="s">
        <v>398</v>
      </c>
      <c r="I19" s="47">
        <v>105</v>
      </c>
      <c r="J19" s="46" cm="1">
        <f t="array" ref="J19">INDEX($B$23:$E$25,_xlfn.XMATCH(H19,$A$23:$A$25,0),_xlfn.XMATCH(I19,$B$22:$E$22,-1))</f>
        <v>1000</v>
      </c>
      <c r="K19" s="34"/>
      <c r="L19" s="48" t="s">
        <v>457</v>
      </c>
      <c r="M19" s="48" t="s">
        <v>400</v>
      </c>
      <c r="N19" s="49">
        <v>68</v>
      </c>
      <c r="O19" s="49">
        <v>50</v>
      </c>
      <c r="P19" s="49">
        <v>89</v>
      </c>
      <c r="Q19" s="50" t="str">
        <f>_xlfn.XLOOKUP(SUMPRODUCT(N19:P19,{0.3,0.2,0.5}),$M$28:$Q$28,$M$29:$Q$29,,-1)</f>
        <v>C</v>
      </c>
      <c r="R19" s="40"/>
      <c r="S19" s="36" t="s">
        <v>458</v>
      </c>
      <c r="T19" s="36" t="str">
        <f t="shared" si="0"/>
        <v>회사원(동부)</v>
      </c>
    </row>
    <row r="20" spans="1:20">
      <c r="A20" s="40"/>
      <c r="B20" s="40"/>
      <c r="C20" s="40"/>
      <c r="D20" s="40"/>
      <c r="E20" s="40"/>
      <c r="F20" s="40"/>
      <c r="G20" s="40"/>
      <c r="H20" s="29" t="s">
        <v>410</v>
      </c>
      <c r="I20" s="47">
        <v>113</v>
      </c>
      <c r="J20" s="46" cm="1">
        <f t="array" ref="J20">INDEX($B$23:$E$25,_xlfn.XMATCH(H20,$A$23:$A$25,0),_xlfn.XMATCH(I20,$B$22:$E$22,-1))</f>
        <v>400</v>
      </c>
      <c r="K20" s="34"/>
      <c r="L20" s="48" t="s">
        <v>459</v>
      </c>
      <c r="M20" s="48" t="s">
        <v>407</v>
      </c>
      <c r="N20" s="49">
        <v>77</v>
      </c>
      <c r="O20" s="49">
        <v>89</v>
      </c>
      <c r="P20" s="49">
        <v>92</v>
      </c>
      <c r="Q20" s="50" t="str">
        <f>_xlfn.XLOOKUP(SUMPRODUCT(N20:P20,{0.3,0.2,0.5}),$M$28:$Q$28,$M$29:$Q$29,,-1)</f>
        <v>B</v>
      </c>
      <c r="R20" s="40"/>
      <c r="S20" s="36" t="s">
        <v>460</v>
      </c>
      <c r="T20" s="36" t="str">
        <f t="shared" si="0"/>
        <v>회사원(북부)</v>
      </c>
    </row>
    <row r="21" spans="1:20">
      <c r="A21" s="34" t="s">
        <v>461</v>
      </c>
      <c r="B21" s="34"/>
      <c r="C21" s="34"/>
      <c r="D21" s="34"/>
      <c r="E21" s="34"/>
      <c r="F21" s="40"/>
      <c r="G21" s="40"/>
      <c r="H21" s="40"/>
      <c r="I21" s="40"/>
      <c r="J21" s="40"/>
      <c r="K21" s="34"/>
      <c r="L21" s="48" t="s">
        <v>462</v>
      </c>
      <c r="M21" s="48" t="s">
        <v>452</v>
      </c>
      <c r="N21" s="49">
        <v>55</v>
      </c>
      <c r="O21" s="49">
        <v>68</v>
      </c>
      <c r="P21" s="49">
        <v>66</v>
      </c>
      <c r="Q21" s="50" t="str">
        <f>_xlfn.XLOOKUP(SUMPRODUCT(N21:P21,{0.3,0.2,0.5}),$M$28:$Q$28,$M$29:$Q$29,,-1)</f>
        <v>D</v>
      </c>
      <c r="R21" s="40"/>
    </row>
    <row r="22" spans="1:20">
      <c r="A22" s="29" t="s">
        <v>112</v>
      </c>
      <c r="B22" s="54">
        <v>50</v>
      </c>
      <c r="C22" s="54">
        <v>86</v>
      </c>
      <c r="D22" s="54">
        <v>103</v>
      </c>
      <c r="E22" s="55">
        <v>136</v>
      </c>
      <c r="F22" s="40"/>
      <c r="G22" s="40"/>
      <c r="H22" s="40"/>
      <c r="I22" s="40"/>
      <c r="J22" s="40"/>
      <c r="K22" s="34"/>
      <c r="L22" s="48" t="s">
        <v>463</v>
      </c>
      <c r="M22" s="48" t="s">
        <v>436</v>
      </c>
      <c r="N22" s="49">
        <v>52</v>
      </c>
      <c r="O22" s="49">
        <v>78</v>
      </c>
      <c r="P22" s="49">
        <v>60</v>
      </c>
      <c r="Q22" s="50" t="str">
        <f>_xlfn.XLOOKUP(SUMPRODUCT(N22:P22,{0.3,0.2,0.5}),$M$28:$Q$28,$M$29:$Q$29,,-1)</f>
        <v>D</v>
      </c>
      <c r="R22" s="40"/>
    </row>
    <row r="23" spans="1:20">
      <c r="A23" s="46" t="s">
        <v>398</v>
      </c>
      <c r="B23" s="46">
        <v>300</v>
      </c>
      <c r="C23" s="46">
        <v>600</v>
      </c>
      <c r="D23" s="46">
        <v>1000</v>
      </c>
      <c r="E23" s="7">
        <v>1500</v>
      </c>
      <c r="F23" s="40"/>
      <c r="G23" s="40"/>
      <c r="H23" s="40" t="s">
        <v>108</v>
      </c>
      <c r="I23" s="40"/>
      <c r="J23" s="40"/>
      <c r="K23" s="34"/>
      <c r="L23" s="48" t="s">
        <v>465</v>
      </c>
      <c r="M23" s="48" t="s">
        <v>407</v>
      </c>
      <c r="N23" s="49">
        <v>76</v>
      </c>
      <c r="O23" s="49">
        <v>65</v>
      </c>
      <c r="P23" s="49">
        <v>88</v>
      </c>
      <c r="Q23" s="50" t="str">
        <f>_xlfn.XLOOKUP(SUMPRODUCT(N23:P23,{0.3,0.2,0.5}),$M$28:$Q$28,$M$29:$Q$29,,-1)</f>
        <v>C</v>
      </c>
      <c r="R23" s="40"/>
      <c r="S23" s="56" t="s">
        <v>466</v>
      </c>
    </row>
    <row r="24" spans="1:20">
      <c r="A24" s="46" t="s">
        <v>428</v>
      </c>
      <c r="B24" s="46">
        <v>250</v>
      </c>
      <c r="C24" s="46">
        <v>400</v>
      </c>
      <c r="D24" s="46">
        <v>700</v>
      </c>
      <c r="E24" s="7">
        <v>1000</v>
      </c>
      <c r="F24" s="40"/>
      <c r="G24" s="40"/>
      <c r="H24" s="29" t="s">
        <v>468</v>
      </c>
      <c r="I24" s="216" t="s">
        <v>470</v>
      </c>
      <c r="J24" s="217"/>
      <c r="K24" s="34"/>
      <c r="L24" s="48" t="s">
        <v>472</v>
      </c>
      <c r="M24" s="48" t="s">
        <v>436</v>
      </c>
      <c r="N24" s="49">
        <v>85</v>
      </c>
      <c r="O24" s="49">
        <v>97</v>
      </c>
      <c r="P24" s="49">
        <v>89</v>
      </c>
      <c r="Q24" s="50" t="str">
        <f>_xlfn.XLOOKUP(SUMPRODUCT(N24:P24,{0.3,0.2,0.5}),$M$28:$Q$28,$M$29:$Q$29,,-1)</f>
        <v>B</v>
      </c>
      <c r="R24" s="40"/>
      <c r="S24" s="36" t="s">
        <v>291</v>
      </c>
      <c r="T24" s="36" t="s">
        <v>509</v>
      </c>
    </row>
    <row r="25" spans="1:20">
      <c r="A25" s="46" t="s">
        <v>434</v>
      </c>
      <c r="B25" s="46">
        <v>200</v>
      </c>
      <c r="C25" s="46">
        <v>300</v>
      </c>
      <c r="D25" s="46">
        <v>400</v>
      </c>
      <c r="E25" s="7">
        <v>500</v>
      </c>
      <c r="F25" s="40"/>
      <c r="G25" s="40"/>
      <c r="H25" s="29" t="s">
        <v>475</v>
      </c>
      <c r="I25" s="215" t="str">
        <f>LOOKUP(RIGHT(H25,2)*1,$A$29:$E$29,$A$28:$E$28)</f>
        <v>반지의 제왕</v>
      </c>
      <c r="J25" s="215"/>
      <c r="K25" s="34"/>
      <c r="L25" s="48" t="s">
        <v>301</v>
      </c>
      <c r="M25" s="48" t="s">
        <v>452</v>
      </c>
      <c r="N25" s="49">
        <v>71</v>
      </c>
      <c r="O25" s="49">
        <v>97</v>
      </c>
      <c r="P25" s="49">
        <v>68</v>
      </c>
      <c r="Q25" s="50" t="str">
        <f>_xlfn.XLOOKUP(SUMPRODUCT(N25:P25,{0.3,0.2,0.5}),$M$28:$Q$28,$M$29:$Q$29,,-1)</f>
        <v>C</v>
      </c>
      <c r="R25" s="40"/>
      <c r="S25" s="36" t="s">
        <v>476</v>
      </c>
      <c r="T25" s="36" t="s">
        <v>477</v>
      </c>
    </row>
    <row r="26" spans="1:20">
      <c r="A26" s="40"/>
      <c r="B26" s="40"/>
      <c r="C26" s="40"/>
      <c r="D26" s="40"/>
      <c r="E26" s="40"/>
      <c r="F26" s="40"/>
      <c r="G26" s="40"/>
      <c r="H26" s="29" t="s">
        <v>478</v>
      </c>
      <c r="I26" s="215" t="str">
        <f>LOOKUP(RIGHT(H26,2)*1,$A$29:$E$29,$A$28:$E$28)</f>
        <v>해리포터</v>
      </c>
      <c r="J26" s="215"/>
      <c r="K26" s="34"/>
      <c r="L26" s="51"/>
      <c r="M26" s="57"/>
      <c r="N26" s="57"/>
      <c r="O26" s="57"/>
      <c r="P26" s="58"/>
      <c r="Q26" s="58"/>
      <c r="R26" s="40"/>
      <c r="S26" s="36" t="s">
        <v>479</v>
      </c>
      <c r="T26" s="36" t="s">
        <v>510</v>
      </c>
    </row>
    <row r="27" spans="1:20">
      <c r="A27" s="40" t="s">
        <v>481</v>
      </c>
      <c r="B27" s="40"/>
      <c r="C27" s="40"/>
      <c r="D27" s="40"/>
      <c r="E27" s="40"/>
      <c r="F27" s="40"/>
      <c r="G27" s="40"/>
      <c r="H27" s="29" t="s">
        <v>482</v>
      </c>
      <c r="I27" s="215" t="str">
        <f>LOOKUP(RIGHT(H27,2)*1,$A$29:$E$29,$A$28:$E$28)</f>
        <v>호빗</v>
      </c>
      <c r="J27" s="215"/>
      <c r="K27" s="34"/>
      <c r="L27" s="2" t="s">
        <v>483</v>
      </c>
      <c r="M27" s="34"/>
      <c r="N27" s="34"/>
      <c r="O27" s="34"/>
      <c r="P27" s="34"/>
      <c r="Q27" s="34"/>
      <c r="R27" s="40"/>
      <c r="S27" s="36" t="s">
        <v>485</v>
      </c>
      <c r="T27" s="36" t="s">
        <v>486</v>
      </c>
    </row>
    <row r="28" spans="1:20">
      <c r="A28" s="29" t="s">
        <v>487</v>
      </c>
      <c r="B28" s="29" t="s">
        <v>488</v>
      </c>
      <c r="C28" s="29" t="s">
        <v>489</v>
      </c>
      <c r="D28" s="29" t="s">
        <v>490</v>
      </c>
      <c r="E28" s="29" t="s">
        <v>491</v>
      </c>
      <c r="F28" s="40"/>
      <c r="G28" s="40"/>
      <c r="H28" s="29" t="s">
        <v>492</v>
      </c>
      <c r="I28" s="215" t="str">
        <f>LOOKUP(RIGHT(H28,2)*1,$A$29:$E$29,$A$28:$E$28)</f>
        <v>토이스토리</v>
      </c>
      <c r="J28" s="215"/>
      <c r="K28" s="34"/>
      <c r="L28" s="29" t="s">
        <v>290</v>
      </c>
      <c r="M28" s="50">
        <v>0</v>
      </c>
      <c r="N28" s="50">
        <v>60</v>
      </c>
      <c r="O28" s="29">
        <v>70</v>
      </c>
      <c r="P28" s="29">
        <v>80</v>
      </c>
      <c r="Q28" s="29">
        <v>90</v>
      </c>
      <c r="R28" s="58"/>
      <c r="S28" s="36" t="s">
        <v>495</v>
      </c>
      <c r="T28" s="36" t="s">
        <v>496</v>
      </c>
    </row>
    <row r="29" spans="1:20">
      <c r="A29" s="59">
        <v>11</v>
      </c>
      <c r="B29" s="59">
        <v>22</v>
      </c>
      <c r="C29" s="59">
        <v>33</v>
      </c>
      <c r="D29" s="59">
        <v>44</v>
      </c>
      <c r="E29" s="29">
        <v>55</v>
      </c>
      <c r="F29" s="40"/>
      <c r="G29" s="40"/>
      <c r="H29" s="29" t="s">
        <v>497</v>
      </c>
      <c r="I29" s="215" t="str">
        <f>LOOKUP(RIGHT(H29,2)*1,$A$29:$E$29,$A$28:$E$28)</f>
        <v>박물관은 살아 있다</v>
      </c>
      <c r="J29" s="215"/>
      <c r="K29" s="34"/>
      <c r="L29" s="29" t="s">
        <v>393</v>
      </c>
      <c r="M29" s="29" t="s">
        <v>293</v>
      </c>
      <c r="N29" s="29" t="s">
        <v>294</v>
      </c>
      <c r="O29" s="29" t="s">
        <v>295</v>
      </c>
      <c r="P29" s="29" t="s">
        <v>292</v>
      </c>
      <c r="Q29" s="29" t="s">
        <v>511</v>
      </c>
      <c r="R29" s="34"/>
      <c r="S29" s="36" t="s">
        <v>501</v>
      </c>
      <c r="T29" s="36" t="s">
        <v>502</v>
      </c>
    </row>
  </sheetData>
  <mergeCells count="7">
    <mergeCell ref="I29:J29"/>
    <mergeCell ref="A16:A17"/>
    <mergeCell ref="I24:J24"/>
    <mergeCell ref="I25:J25"/>
    <mergeCell ref="I26:J26"/>
    <mergeCell ref="I27:J27"/>
    <mergeCell ref="I28:J28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396EF-8854-4241-BAD1-1E179EDF2FAC}">
  <dimension ref="A1:AE29"/>
  <sheetViews>
    <sheetView workbookViewId="0">
      <selection activeCell="A16" sqref="A16:A17"/>
    </sheetView>
  </sheetViews>
  <sheetFormatPr defaultRowHeight="16.5"/>
  <cols>
    <col min="1" max="3" width="9" style="35"/>
    <col min="4" max="4" width="11" style="35" bestFit="1" customWidth="1"/>
    <col min="5" max="5" width="9.125" style="35" customWidth="1"/>
    <col min="6" max="6" width="11" style="35" bestFit="1" customWidth="1"/>
    <col min="7" max="7" width="1.625" style="35" customWidth="1"/>
    <col min="8" max="8" width="8.75" style="35" customWidth="1"/>
    <col min="9" max="9" width="8.125" style="35" bestFit="1" customWidth="1"/>
    <col min="10" max="10" width="9.125" style="35" bestFit="1" customWidth="1"/>
    <col min="11" max="11" width="11.25" style="35" bestFit="1" customWidth="1"/>
    <col min="12" max="15" width="10.75" style="35" customWidth="1"/>
    <col min="16" max="16" width="1.625" style="35" customWidth="1"/>
    <col min="17" max="18" width="9.75" style="35" bestFit="1" customWidth="1"/>
    <col min="19" max="19" width="9" style="35" bestFit="1" customWidth="1"/>
    <col min="20" max="21" width="5.125" style="35" bestFit="1" customWidth="1"/>
    <col min="22" max="22" width="4.375" style="35" bestFit="1" customWidth="1"/>
    <col min="23" max="23" width="9" style="35"/>
    <col min="24" max="24" width="14.125" style="35" bestFit="1" customWidth="1"/>
    <col min="25" max="25" width="1.625" style="35" customWidth="1"/>
    <col min="26" max="26" width="9" style="35"/>
    <col min="27" max="27" width="12.125" style="35" bestFit="1" customWidth="1"/>
    <col min="28" max="28" width="13.625" style="35" bestFit="1" customWidth="1"/>
    <col min="29" max="30" width="9.875" style="35" bestFit="1" customWidth="1"/>
    <col min="31" max="31" width="13" style="35" bestFit="1" customWidth="1"/>
    <col min="32" max="16384" width="9" style="35"/>
  </cols>
  <sheetData>
    <row r="1" spans="1:31" ht="17.25">
      <c r="A1" t="s">
        <v>2</v>
      </c>
      <c r="B1"/>
      <c r="C1"/>
      <c r="D1"/>
      <c r="H1" t="s">
        <v>51</v>
      </c>
      <c r="I1"/>
      <c r="J1"/>
      <c r="K1"/>
      <c r="L1"/>
      <c r="M1"/>
      <c r="N1"/>
      <c r="O1"/>
      <c r="Q1" s="165" t="s">
        <v>375</v>
      </c>
      <c r="R1" s="165"/>
      <c r="S1" s="165"/>
      <c r="T1" s="165"/>
      <c r="U1" s="165"/>
      <c r="V1" s="165"/>
      <c r="W1" s="165"/>
      <c r="X1" s="165"/>
      <c r="Z1" s="161" t="s">
        <v>376</v>
      </c>
      <c r="AA1" s="161"/>
      <c r="AB1" s="161"/>
      <c r="AC1" s="161"/>
      <c r="AD1" s="161"/>
      <c r="AE1" s="161"/>
    </row>
    <row r="2" spans="1:31">
      <c r="A2" s="63" t="s">
        <v>57</v>
      </c>
      <c r="B2" s="167" t="s">
        <v>1329</v>
      </c>
      <c r="C2" s="63" t="s">
        <v>1331</v>
      </c>
      <c r="D2" s="63" t="s">
        <v>1332</v>
      </c>
      <c r="E2" s="63" t="s">
        <v>1333</v>
      </c>
      <c r="F2" s="167" t="s">
        <v>1518</v>
      </c>
      <c r="H2" s="63" t="s">
        <v>1416</v>
      </c>
      <c r="I2" s="63" t="s">
        <v>114</v>
      </c>
      <c r="J2" s="63" t="s">
        <v>1287</v>
      </c>
      <c r="K2" s="63" t="s">
        <v>1334</v>
      </c>
      <c r="L2" s="63" t="s">
        <v>1335</v>
      </c>
      <c r="M2" s="63" t="s">
        <v>1336</v>
      </c>
      <c r="N2" s="63" t="s">
        <v>1337</v>
      </c>
      <c r="O2" s="167" t="s">
        <v>1338</v>
      </c>
      <c r="Q2" s="155" t="s">
        <v>114</v>
      </c>
      <c r="R2" s="166" t="s">
        <v>1376</v>
      </c>
      <c r="S2" s="166" t="s">
        <v>1377</v>
      </c>
      <c r="T2" s="166" t="s">
        <v>1378</v>
      </c>
      <c r="U2" s="166" t="s">
        <v>1379</v>
      </c>
      <c r="V2" s="166" t="s">
        <v>1380</v>
      </c>
      <c r="W2" s="167" t="s">
        <v>1381</v>
      </c>
      <c r="X2" s="167" t="s">
        <v>1382</v>
      </c>
      <c r="Z2" s="150" t="s">
        <v>1313</v>
      </c>
      <c r="AA2" s="150" t="s">
        <v>1383</v>
      </c>
      <c r="AB2" s="150" t="s">
        <v>1384</v>
      </c>
      <c r="AC2" s="150" t="s">
        <v>1385</v>
      </c>
      <c r="AD2" s="150" t="s">
        <v>1314</v>
      </c>
      <c r="AE2" s="151" t="s">
        <v>1420</v>
      </c>
    </row>
    <row r="3" spans="1:31">
      <c r="A3" s="113" t="s">
        <v>1402</v>
      </c>
      <c r="B3" s="63"/>
      <c r="C3" s="113">
        <v>5</v>
      </c>
      <c r="D3" s="113">
        <v>3</v>
      </c>
      <c r="E3" s="113">
        <v>2</v>
      </c>
      <c r="F3" s="63"/>
      <c r="H3" s="63" t="s">
        <v>1413</v>
      </c>
      <c r="I3" s="142" t="s">
        <v>604</v>
      </c>
      <c r="J3" s="63">
        <v>68</v>
      </c>
      <c r="K3" s="63">
        <v>77</v>
      </c>
      <c r="L3" s="63">
        <v>67</v>
      </c>
      <c r="M3" s="63">
        <v>90</v>
      </c>
      <c r="N3" s="63">
        <v>75</v>
      </c>
      <c r="O3" s="63"/>
      <c r="Q3" s="141" t="s">
        <v>905</v>
      </c>
      <c r="R3" s="168">
        <v>19</v>
      </c>
      <c r="S3" s="168">
        <v>1</v>
      </c>
      <c r="T3" s="168">
        <v>68</v>
      </c>
      <c r="U3" s="168">
        <v>90</v>
      </c>
      <c r="V3" s="168">
        <v>94</v>
      </c>
      <c r="W3" s="155"/>
      <c r="X3" s="169"/>
      <c r="Z3" s="150" t="s">
        <v>1320</v>
      </c>
      <c r="AA3" s="152">
        <v>129000000</v>
      </c>
      <c r="AB3" s="152">
        <v>139000000</v>
      </c>
      <c r="AC3" s="152">
        <v>3100000</v>
      </c>
      <c r="AD3" s="152">
        <v>1100000</v>
      </c>
      <c r="AE3" s="162"/>
    </row>
    <row r="4" spans="1:31">
      <c r="A4" s="113" t="s">
        <v>1403</v>
      </c>
      <c r="B4" s="63"/>
      <c r="C4" s="113">
        <v>4.5</v>
      </c>
      <c r="D4" s="113">
        <v>4</v>
      </c>
      <c r="E4" s="113">
        <v>3</v>
      </c>
      <c r="F4" s="63"/>
      <c r="H4" s="63" t="s">
        <v>1415</v>
      </c>
      <c r="I4" s="142" t="s">
        <v>605</v>
      </c>
      <c r="J4" s="63">
        <v>94</v>
      </c>
      <c r="K4" s="63">
        <v>94</v>
      </c>
      <c r="L4" s="63">
        <v>69</v>
      </c>
      <c r="M4" s="63">
        <v>83</v>
      </c>
      <c r="N4" s="63">
        <v>70</v>
      </c>
      <c r="O4" s="63"/>
      <c r="Q4" s="141" t="s">
        <v>902</v>
      </c>
      <c r="R4" s="168">
        <v>15</v>
      </c>
      <c r="S4" s="168">
        <v>5</v>
      </c>
      <c r="T4" s="168">
        <v>57</v>
      </c>
      <c r="U4" s="168">
        <v>44</v>
      </c>
      <c r="V4" s="168">
        <v>67</v>
      </c>
      <c r="W4" s="155"/>
      <c r="X4" s="169"/>
      <c r="Z4" s="150" t="s">
        <v>1321</v>
      </c>
      <c r="AA4" s="152">
        <v>79000000</v>
      </c>
      <c r="AB4" s="152">
        <v>99000000</v>
      </c>
      <c r="AC4" s="152">
        <v>4400000</v>
      </c>
      <c r="AD4" s="152">
        <v>3200000</v>
      </c>
      <c r="AE4" s="162"/>
    </row>
    <row r="5" spans="1:31">
      <c r="A5" s="113" t="s">
        <v>1404</v>
      </c>
      <c r="B5" s="63"/>
      <c r="C5" s="113">
        <v>3.5</v>
      </c>
      <c r="D5" s="113">
        <v>3</v>
      </c>
      <c r="E5" s="113">
        <v>4</v>
      </c>
      <c r="F5" s="63"/>
      <c r="H5" s="63" t="s">
        <v>1414</v>
      </c>
      <c r="I5" s="142" t="s">
        <v>606</v>
      </c>
      <c r="J5" s="63">
        <v>96</v>
      </c>
      <c r="K5" s="63">
        <v>93</v>
      </c>
      <c r="L5" s="63">
        <v>87</v>
      </c>
      <c r="M5" s="63">
        <v>93</v>
      </c>
      <c r="N5" s="63">
        <v>93</v>
      </c>
      <c r="O5" s="63"/>
      <c r="Q5" s="141" t="s">
        <v>900</v>
      </c>
      <c r="R5" s="168">
        <v>16</v>
      </c>
      <c r="S5" s="168">
        <v>4</v>
      </c>
      <c r="T5" s="168">
        <v>87</v>
      </c>
      <c r="U5" s="168">
        <v>89</v>
      </c>
      <c r="V5" s="168">
        <v>75</v>
      </c>
      <c r="W5" s="155"/>
      <c r="X5" s="169"/>
      <c r="Z5" s="150" t="s">
        <v>1322</v>
      </c>
      <c r="AA5" s="152">
        <v>89000000</v>
      </c>
      <c r="AB5" s="152">
        <v>74000000</v>
      </c>
      <c r="AC5" s="152">
        <v>2100000</v>
      </c>
      <c r="AD5" s="152">
        <v>1300000</v>
      </c>
      <c r="AE5" s="162"/>
    </row>
    <row r="6" spans="1:31">
      <c r="A6" s="113" t="s">
        <v>1405</v>
      </c>
      <c r="B6" s="63"/>
      <c r="C6" s="113">
        <v>3</v>
      </c>
      <c r="D6" s="113">
        <v>3.5</v>
      </c>
      <c r="E6" s="113">
        <v>1</v>
      </c>
      <c r="F6" s="63"/>
      <c r="H6" s="63" t="s">
        <v>1413</v>
      </c>
      <c r="I6" s="142" t="s">
        <v>607</v>
      </c>
      <c r="J6" s="63">
        <v>89</v>
      </c>
      <c r="K6" s="63">
        <v>89</v>
      </c>
      <c r="L6" s="63">
        <v>86</v>
      </c>
      <c r="M6" s="63">
        <v>76</v>
      </c>
      <c r="N6" s="63">
        <v>83</v>
      </c>
      <c r="O6" s="63"/>
      <c r="Q6" s="141" t="s">
        <v>898</v>
      </c>
      <c r="R6" s="168">
        <v>19</v>
      </c>
      <c r="S6" s="168">
        <v>0</v>
      </c>
      <c r="T6" s="168">
        <v>80</v>
      </c>
      <c r="U6" s="168">
        <v>99</v>
      </c>
      <c r="V6" s="168">
        <v>94</v>
      </c>
      <c r="W6" s="155"/>
      <c r="X6" s="169"/>
      <c r="Z6" s="150" t="s">
        <v>1323</v>
      </c>
      <c r="AA6" s="152">
        <v>149000000</v>
      </c>
      <c r="AB6" s="152">
        <v>169000000</v>
      </c>
      <c r="AC6" s="152">
        <v>3000000</v>
      </c>
      <c r="AD6" s="152">
        <v>1800000</v>
      </c>
      <c r="AE6" s="162"/>
    </row>
    <row r="7" spans="1:31">
      <c r="A7" s="113" t="s">
        <v>1406</v>
      </c>
      <c r="B7" s="63"/>
      <c r="C7" s="113">
        <v>5</v>
      </c>
      <c r="D7" s="113">
        <v>4.5</v>
      </c>
      <c r="E7" s="113">
        <v>2</v>
      </c>
      <c r="F7" s="63"/>
      <c r="H7" s="63" t="s">
        <v>1415</v>
      </c>
      <c r="I7" s="142" t="s">
        <v>608</v>
      </c>
      <c r="J7" s="63">
        <v>79</v>
      </c>
      <c r="K7" s="63">
        <v>84</v>
      </c>
      <c r="L7" s="63">
        <v>50</v>
      </c>
      <c r="M7" s="63">
        <v>50</v>
      </c>
      <c r="N7" s="63">
        <v>73</v>
      </c>
      <c r="O7" s="63"/>
      <c r="Q7" s="141" t="s">
        <v>895</v>
      </c>
      <c r="R7" s="168">
        <v>20</v>
      </c>
      <c r="S7" s="168">
        <v>0</v>
      </c>
      <c r="T7" s="168">
        <v>70</v>
      </c>
      <c r="U7" s="168">
        <v>94</v>
      </c>
      <c r="V7" s="168">
        <v>59</v>
      </c>
      <c r="W7" s="155"/>
      <c r="X7" s="169"/>
      <c r="Z7" s="150" t="s">
        <v>1316</v>
      </c>
      <c r="AA7" s="152">
        <v>79000000</v>
      </c>
      <c r="AB7" s="152">
        <v>129000000</v>
      </c>
      <c r="AC7" s="152">
        <v>5800000</v>
      </c>
      <c r="AD7" s="152">
        <v>2810000</v>
      </c>
      <c r="AE7" s="162"/>
    </row>
    <row r="8" spans="1:31">
      <c r="A8" s="113" t="s">
        <v>1407</v>
      </c>
      <c r="B8" s="63"/>
      <c r="C8" s="113">
        <v>5</v>
      </c>
      <c r="D8" s="113">
        <v>5</v>
      </c>
      <c r="E8" s="113">
        <v>5</v>
      </c>
      <c r="F8" s="63"/>
      <c r="H8" s="63" t="s">
        <v>1415</v>
      </c>
      <c r="I8" s="142" t="s">
        <v>609</v>
      </c>
      <c r="J8" s="63">
        <v>69</v>
      </c>
      <c r="K8" s="63">
        <v>70</v>
      </c>
      <c r="L8" s="63">
        <v>47</v>
      </c>
      <c r="M8" s="63">
        <v>47</v>
      </c>
      <c r="N8" s="63">
        <v>57</v>
      </c>
      <c r="O8" s="63"/>
      <c r="Q8" s="141" t="s">
        <v>892</v>
      </c>
      <c r="R8" s="168">
        <v>19</v>
      </c>
      <c r="S8" s="168">
        <v>1</v>
      </c>
      <c r="T8" s="168">
        <v>90</v>
      </c>
      <c r="U8" s="168">
        <v>57</v>
      </c>
      <c r="V8" s="168">
        <v>84</v>
      </c>
      <c r="W8" s="155"/>
      <c r="X8" s="169"/>
      <c r="Z8" s="150" t="s">
        <v>1324</v>
      </c>
      <c r="AA8" s="152">
        <v>64000000</v>
      </c>
      <c r="AB8" s="152">
        <v>44000000</v>
      </c>
      <c r="AC8" s="152">
        <v>4400000</v>
      </c>
      <c r="AD8" s="152">
        <v>1900000</v>
      </c>
      <c r="AE8" s="162"/>
    </row>
    <row r="9" spans="1:31">
      <c r="A9" s="113" t="s">
        <v>1408</v>
      </c>
      <c r="B9" s="63"/>
      <c r="C9" s="113">
        <v>3.5</v>
      </c>
      <c r="D9" s="113">
        <v>4.5</v>
      </c>
      <c r="E9" s="113">
        <v>2</v>
      </c>
      <c r="F9" s="63"/>
      <c r="H9" s="63" t="s">
        <v>1413</v>
      </c>
      <c r="I9" s="142" t="s">
        <v>611</v>
      </c>
      <c r="J9" s="63">
        <v>88</v>
      </c>
      <c r="K9" s="63">
        <v>86</v>
      </c>
      <c r="L9" s="63">
        <v>79</v>
      </c>
      <c r="M9" s="63">
        <v>86</v>
      </c>
      <c r="N9" s="63">
        <v>67</v>
      </c>
      <c r="O9" s="63"/>
      <c r="Q9" s="141" t="s">
        <v>731</v>
      </c>
      <c r="R9" s="168">
        <v>19</v>
      </c>
      <c r="S9" s="168">
        <v>1</v>
      </c>
      <c r="T9" s="168">
        <v>67</v>
      </c>
      <c r="U9" s="168">
        <v>27</v>
      </c>
      <c r="V9" s="168">
        <v>96</v>
      </c>
      <c r="W9" s="155"/>
      <c r="X9" s="169"/>
      <c r="Z9" s="150" t="s">
        <v>1325</v>
      </c>
      <c r="AA9" s="152">
        <v>129000000</v>
      </c>
      <c r="AB9" s="152">
        <v>189000000</v>
      </c>
      <c r="AC9" s="152">
        <v>4980000</v>
      </c>
      <c r="AD9" s="152">
        <v>2600000</v>
      </c>
      <c r="AE9" s="162"/>
    </row>
    <row r="10" spans="1:31">
      <c r="A10" s="113" t="s">
        <v>1409</v>
      </c>
      <c r="B10" s="63"/>
      <c r="C10" s="113">
        <v>4.5</v>
      </c>
      <c r="D10" s="113">
        <v>3</v>
      </c>
      <c r="E10" s="113">
        <v>5</v>
      </c>
      <c r="F10" s="63"/>
      <c r="H10" s="63" t="s">
        <v>1414</v>
      </c>
      <c r="I10" s="142" t="s">
        <v>612</v>
      </c>
      <c r="J10" s="63">
        <v>97</v>
      </c>
      <c r="K10" s="63">
        <v>90</v>
      </c>
      <c r="L10" s="63">
        <v>95</v>
      </c>
      <c r="M10" s="63">
        <v>93</v>
      </c>
      <c r="N10" s="63">
        <v>86</v>
      </c>
      <c r="O10" s="63"/>
      <c r="Q10" s="141" t="s">
        <v>887</v>
      </c>
      <c r="R10" s="168">
        <v>18</v>
      </c>
      <c r="S10" s="168">
        <v>2</v>
      </c>
      <c r="T10" s="168">
        <v>99</v>
      </c>
      <c r="U10" s="168">
        <v>84</v>
      </c>
      <c r="V10" s="168">
        <v>90</v>
      </c>
      <c r="W10" s="155"/>
      <c r="X10" s="169"/>
      <c r="Z10" s="150" t="s">
        <v>1326</v>
      </c>
      <c r="AA10" s="152">
        <v>69000000</v>
      </c>
      <c r="AB10" s="152">
        <v>67000000</v>
      </c>
      <c r="AC10" s="152">
        <v>5890000</v>
      </c>
      <c r="AD10" s="152">
        <v>1600000</v>
      </c>
      <c r="AE10" s="162"/>
    </row>
    <row r="11" spans="1:31">
      <c r="A11" s="113" t="s">
        <v>1410</v>
      </c>
      <c r="B11" s="63"/>
      <c r="C11" s="113">
        <v>3</v>
      </c>
      <c r="D11" s="113">
        <v>3</v>
      </c>
      <c r="E11" s="113">
        <v>4.5</v>
      </c>
      <c r="F11" s="63"/>
      <c r="H11" s="63" t="s">
        <v>1414</v>
      </c>
      <c r="I11" s="142" t="s">
        <v>613</v>
      </c>
      <c r="J11" s="63">
        <v>84</v>
      </c>
      <c r="K11" s="63">
        <v>82</v>
      </c>
      <c r="L11" s="63">
        <v>70</v>
      </c>
      <c r="M11" s="63">
        <v>71</v>
      </c>
      <c r="N11" s="63">
        <v>97</v>
      </c>
      <c r="O11" s="63"/>
      <c r="Q11" s="141" t="s">
        <v>734</v>
      </c>
      <c r="R11" s="168">
        <v>20</v>
      </c>
      <c r="S11" s="168">
        <v>0</v>
      </c>
      <c r="T11" s="168">
        <v>68</v>
      </c>
      <c r="U11" s="168">
        <v>88</v>
      </c>
      <c r="V11" s="168">
        <v>87</v>
      </c>
      <c r="W11" s="155"/>
      <c r="X11" s="169"/>
      <c r="Z11" s="150" t="s">
        <v>1327</v>
      </c>
      <c r="AA11" s="152">
        <v>9000000</v>
      </c>
      <c r="AB11" s="152">
        <v>16000000</v>
      </c>
      <c r="AC11" s="152">
        <v>3540000</v>
      </c>
      <c r="AD11" s="152">
        <v>1900000</v>
      </c>
      <c r="AE11" s="162"/>
    </row>
    <row r="12" spans="1:31">
      <c r="A12" s="113" t="s">
        <v>1411</v>
      </c>
      <c r="B12" s="63"/>
      <c r="C12" s="113">
        <v>5</v>
      </c>
      <c r="D12" s="113">
        <v>5</v>
      </c>
      <c r="E12" s="113">
        <v>5</v>
      </c>
      <c r="F12" s="63"/>
      <c r="H12" s="63" t="s">
        <v>1414</v>
      </c>
      <c r="I12" s="142" t="s">
        <v>614</v>
      </c>
      <c r="J12" s="63">
        <v>75</v>
      </c>
      <c r="K12" s="63">
        <v>47</v>
      </c>
      <c r="L12" s="63">
        <v>37</v>
      </c>
      <c r="M12" s="63">
        <v>27</v>
      </c>
      <c r="N12" s="63">
        <v>17</v>
      </c>
      <c r="O12" s="63"/>
      <c r="Q12" s="141" t="s">
        <v>881</v>
      </c>
      <c r="R12" s="168">
        <v>19</v>
      </c>
      <c r="S12" s="168">
        <v>1</v>
      </c>
      <c r="T12" s="168">
        <v>90</v>
      </c>
      <c r="U12" s="168">
        <v>79</v>
      </c>
      <c r="V12" s="168">
        <v>88</v>
      </c>
      <c r="W12" s="155"/>
      <c r="X12" s="169"/>
      <c r="Z12" s="150" t="s">
        <v>1328</v>
      </c>
      <c r="AA12" s="152">
        <v>4000000</v>
      </c>
      <c r="AB12" s="152">
        <v>2000000</v>
      </c>
      <c r="AC12" s="152">
        <v>5400000</v>
      </c>
      <c r="AD12" s="152">
        <v>2100000</v>
      </c>
      <c r="AE12" s="162"/>
    </row>
    <row r="13" spans="1:31">
      <c r="A13" s="113" t="s">
        <v>1412</v>
      </c>
      <c r="B13" s="63"/>
      <c r="C13" s="113">
        <v>4</v>
      </c>
      <c r="D13" s="113">
        <v>4</v>
      </c>
      <c r="E13" s="113">
        <v>1</v>
      </c>
      <c r="F13" s="63"/>
      <c r="H13" s="63" t="s">
        <v>1413</v>
      </c>
      <c r="I13" s="142" t="s">
        <v>616</v>
      </c>
      <c r="J13" s="63">
        <v>95</v>
      </c>
      <c r="K13" s="63">
        <v>77</v>
      </c>
      <c r="L13" s="63">
        <v>67</v>
      </c>
      <c r="M13" s="63">
        <v>67</v>
      </c>
      <c r="N13" s="63">
        <v>70</v>
      </c>
      <c r="O13" s="63"/>
      <c r="Q13" s="141" t="s">
        <v>878</v>
      </c>
      <c r="R13" s="168">
        <v>18</v>
      </c>
      <c r="S13" s="168">
        <v>2</v>
      </c>
      <c r="T13" s="168">
        <v>66</v>
      </c>
      <c r="U13" s="168">
        <v>79</v>
      </c>
      <c r="V13" s="168">
        <v>94</v>
      </c>
      <c r="W13" s="155"/>
      <c r="X13" s="169"/>
      <c r="Z13" s="150" t="s">
        <v>1387</v>
      </c>
      <c r="AA13" s="152">
        <v>4000000</v>
      </c>
      <c r="AB13" s="152">
        <v>10000000</v>
      </c>
      <c r="AC13" s="152">
        <v>5600000</v>
      </c>
      <c r="AD13" s="152">
        <v>3600000</v>
      </c>
      <c r="AE13" s="162"/>
    </row>
    <row r="14" spans="1:31">
      <c r="A14"/>
      <c r="B14"/>
      <c r="C14"/>
      <c r="D14"/>
      <c r="H14"/>
      <c r="I14"/>
      <c r="J14"/>
      <c r="K14"/>
      <c r="L14"/>
      <c r="M14"/>
      <c r="N14"/>
      <c r="O14"/>
      <c r="Q14" s="170"/>
      <c r="R14" s="171"/>
      <c r="S14" s="171"/>
      <c r="T14" s="171"/>
      <c r="U14" s="171"/>
      <c r="V14" s="171"/>
      <c r="W14" s="170"/>
      <c r="X14" s="172"/>
      <c r="AB14" s="154"/>
      <c r="AC14" s="154"/>
      <c r="AD14" s="154"/>
      <c r="AE14"/>
    </row>
    <row r="15" spans="1:31">
      <c r="A15" s="35" t="s">
        <v>4</v>
      </c>
      <c r="C15"/>
      <c r="D15"/>
      <c r="H15" t="s">
        <v>106</v>
      </c>
      <c r="I15"/>
      <c r="J15"/>
      <c r="K15"/>
      <c r="L15"/>
      <c r="M15"/>
      <c r="N15"/>
      <c r="O15"/>
      <c r="Q15" s="153" t="s">
        <v>483</v>
      </c>
      <c r="R15" s="153"/>
      <c r="S15" s="153"/>
      <c r="U15" s="153"/>
      <c r="V15" s="153"/>
      <c r="W15" s="153"/>
      <c r="X15" s="153"/>
      <c r="Z15" s="154" t="s">
        <v>466</v>
      </c>
      <c r="AA15" s="154"/>
      <c r="AB15" s="154"/>
      <c r="AC15" s="154"/>
      <c r="AD15" s="154"/>
      <c r="AE15"/>
    </row>
    <row r="16" spans="1:31">
      <c r="A16" s="219" t="s">
        <v>1519</v>
      </c>
      <c r="B16" s="218" t="s">
        <v>1330</v>
      </c>
      <c r="C16" s="218"/>
      <c r="D16" s="218"/>
      <c r="H16" s="63" t="s">
        <v>1345</v>
      </c>
      <c r="I16" s="63" t="s">
        <v>1287</v>
      </c>
      <c r="J16" s="63" t="s">
        <v>1334</v>
      </c>
      <c r="K16" s="63" t="s">
        <v>1335</v>
      </c>
      <c r="L16" s="63" t="s">
        <v>1336</v>
      </c>
      <c r="M16" s="63" t="s">
        <v>1337</v>
      </c>
      <c r="N16"/>
      <c r="O16"/>
      <c r="Q16" s="173" t="s">
        <v>290</v>
      </c>
      <c r="R16" s="173"/>
      <c r="S16" s="173" t="s">
        <v>575</v>
      </c>
      <c r="T16" s="153"/>
      <c r="U16" s="153"/>
      <c r="V16" s="153"/>
      <c r="W16" s="153"/>
      <c r="X16" s="153"/>
      <c r="Z16" s="155" t="s">
        <v>1386</v>
      </c>
      <c r="AA16" s="155" t="s">
        <v>1421</v>
      </c>
      <c r="AB16" s="154"/>
      <c r="AC16" s="154"/>
      <c r="AD16" s="154"/>
      <c r="AE16"/>
    </row>
    <row r="17" spans="1:31">
      <c r="A17" s="220"/>
      <c r="B17" s="63" t="s">
        <v>1339</v>
      </c>
      <c r="C17" s="63" t="s">
        <v>1340</v>
      </c>
      <c r="D17" s="63" t="s">
        <v>1341</v>
      </c>
      <c r="H17" s="63" t="s">
        <v>1413</v>
      </c>
      <c r="I17" s="148">
        <v>0.1</v>
      </c>
      <c r="J17" s="148">
        <v>0.2</v>
      </c>
      <c r="K17" s="148">
        <v>0.4</v>
      </c>
      <c r="L17" s="148">
        <v>0.2</v>
      </c>
      <c r="M17" s="148">
        <v>0.1</v>
      </c>
      <c r="N17"/>
      <c r="O17"/>
      <c r="Q17" s="174">
        <v>0</v>
      </c>
      <c r="R17" s="175">
        <v>60</v>
      </c>
      <c r="S17" s="176">
        <v>0</v>
      </c>
      <c r="T17" s="153"/>
      <c r="U17" s="153"/>
      <c r="V17" s="153"/>
      <c r="W17" s="153"/>
      <c r="X17" s="153"/>
      <c r="Z17" s="163">
        <v>0</v>
      </c>
      <c r="AA17" s="164">
        <v>0</v>
      </c>
      <c r="AB17" s="154"/>
      <c r="AC17" s="154"/>
      <c r="AD17" s="154"/>
      <c r="AE17"/>
    </row>
    <row r="18" spans="1:31">
      <c r="A18" s="63" t="s">
        <v>292</v>
      </c>
      <c r="B18" s="63" t="s">
        <v>1388</v>
      </c>
      <c r="C18" s="63" t="s">
        <v>1393</v>
      </c>
      <c r="D18" s="63" t="s">
        <v>1398</v>
      </c>
      <c r="H18" s="63" t="s">
        <v>1414</v>
      </c>
      <c r="I18" s="148">
        <v>0.1</v>
      </c>
      <c r="J18" s="148">
        <v>0.2</v>
      </c>
      <c r="K18" s="148">
        <v>0.2</v>
      </c>
      <c r="L18" s="148">
        <v>0.4</v>
      </c>
      <c r="M18" s="148">
        <v>0.1</v>
      </c>
      <c r="N18"/>
      <c r="O18"/>
      <c r="Q18" s="174">
        <v>60</v>
      </c>
      <c r="R18" s="175">
        <v>70</v>
      </c>
      <c r="S18" s="176">
        <v>0.02</v>
      </c>
      <c r="T18" s="153"/>
      <c r="U18" s="153"/>
      <c r="V18" s="153"/>
      <c r="W18" s="153"/>
      <c r="X18" s="153"/>
      <c r="Z18" s="163">
        <v>1</v>
      </c>
      <c r="AA18" s="164">
        <v>0.2</v>
      </c>
      <c r="AB18" s="154"/>
      <c r="AC18" s="154"/>
      <c r="AD18" s="154"/>
      <c r="AE18"/>
    </row>
    <row r="19" spans="1:31">
      <c r="A19" s="63" t="s">
        <v>1342</v>
      </c>
      <c r="B19" s="63" t="s">
        <v>1390</v>
      </c>
      <c r="C19" s="63" t="s">
        <v>1395</v>
      </c>
      <c r="D19" s="63" t="s">
        <v>1400</v>
      </c>
      <c r="H19" s="63" t="s">
        <v>1415</v>
      </c>
      <c r="I19" s="148">
        <v>0.1</v>
      </c>
      <c r="J19" s="148">
        <v>0.4</v>
      </c>
      <c r="K19" s="148">
        <v>0.2</v>
      </c>
      <c r="L19" s="148">
        <v>0.2</v>
      </c>
      <c r="M19" s="148">
        <v>0.1</v>
      </c>
      <c r="N19"/>
      <c r="O19"/>
      <c r="Q19" s="174">
        <v>70</v>
      </c>
      <c r="R19" s="175">
        <v>80</v>
      </c>
      <c r="S19" s="176">
        <v>0.03</v>
      </c>
      <c r="T19" s="153"/>
      <c r="U19" s="153"/>
      <c r="V19" s="153"/>
      <c r="W19" s="153"/>
      <c r="X19" s="153"/>
      <c r="Z19" s="163">
        <v>1.5</v>
      </c>
      <c r="AA19" s="164">
        <v>0.5</v>
      </c>
    </row>
    <row r="20" spans="1:31">
      <c r="A20" s="63" t="s">
        <v>1392</v>
      </c>
      <c r="B20" s="63" t="s">
        <v>1391</v>
      </c>
      <c r="C20" s="63" t="s">
        <v>1396</v>
      </c>
      <c r="D20" s="63" t="s">
        <v>1401</v>
      </c>
      <c r="H20"/>
      <c r="I20"/>
      <c r="J20"/>
      <c r="K20"/>
      <c r="L20"/>
      <c r="M20"/>
      <c r="N20"/>
      <c r="O20"/>
      <c r="Q20" s="174">
        <v>80</v>
      </c>
      <c r="R20" s="175">
        <v>90</v>
      </c>
      <c r="S20" s="176">
        <v>0.04</v>
      </c>
      <c r="T20" s="153"/>
      <c r="U20" s="153"/>
      <c r="V20" s="153"/>
      <c r="W20" s="153"/>
      <c r="X20" s="153"/>
      <c r="Z20" s="163">
        <v>2</v>
      </c>
      <c r="AA20" s="164">
        <v>1</v>
      </c>
    </row>
    <row r="21" spans="1:31">
      <c r="A21" s="63" t="s">
        <v>1397</v>
      </c>
      <c r="B21" s="63" t="s">
        <v>1389</v>
      </c>
      <c r="C21" s="63" t="s">
        <v>1394</v>
      </c>
      <c r="D21" s="63" t="s">
        <v>1399</v>
      </c>
      <c r="F21"/>
      <c r="H21" t="s">
        <v>108</v>
      </c>
      <c r="I21"/>
      <c r="J21"/>
      <c r="K21"/>
      <c r="L21"/>
      <c r="M21"/>
      <c r="N21"/>
      <c r="O21"/>
      <c r="Q21" s="174">
        <v>90</v>
      </c>
      <c r="R21" s="173"/>
      <c r="S21" s="176">
        <v>0.05</v>
      </c>
      <c r="T21" s="153"/>
      <c r="U21" s="153"/>
      <c r="V21" s="153"/>
      <c r="W21" s="153"/>
      <c r="X21" s="153"/>
    </row>
    <row r="22" spans="1:31">
      <c r="E22"/>
      <c r="F22"/>
      <c r="H22" s="63" t="s">
        <v>1286</v>
      </c>
      <c r="I22" s="178">
        <v>0</v>
      </c>
      <c r="J22" s="178">
        <v>70</v>
      </c>
      <c r="K22" s="178">
        <v>90</v>
      </c>
      <c r="L22" s="60"/>
      <c r="M22"/>
      <c r="N22"/>
      <c r="O22"/>
    </row>
    <row r="23" spans="1:31">
      <c r="A23" s="177" t="s">
        <v>49</v>
      </c>
      <c r="E23"/>
      <c r="F23"/>
      <c r="H23" s="63" t="s">
        <v>1338</v>
      </c>
      <c r="I23" s="63" t="s">
        <v>1417</v>
      </c>
      <c r="J23" s="63" t="s">
        <v>1418</v>
      </c>
      <c r="K23" s="63" t="s">
        <v>1419</v>
      </c>
      <c r="L23" s="60"/>
      <c r="M23"/>
      <c r="N23"/>
      <c r="O23"/>
    </row>
    <row r="24" spans="1:31">
      <c r="A24" s="63" t="s">
        <v>1343</v>
      </c>
      <c r="B24" s="63" t="s">
        <v>1344</v>
      </c>
      <c r="E24"/>
      <c r="F24"/>
    </row>
    <row r="25" spans="1:31">
      <c r="A25" s="63" t="s">
        <v>1331</v>
      </c>
      <c r="B25" s="113">
        <v>0.3</v>
      </c>
      <c r="E25"/>
    </row>
    <row r="26" spans="1:31">
      <c r="A26" s="63" t="s">
        <v>1332</v>
      </c>
      <c r="B26" s="113">
        <v>0.5</v>
      </c>
      <c r="E26"/>
    </row>
    <row r="27" spans="1:31">
      <c r="A27" s="63" t="s">
        <v>1333</v>
      </c>
      <c r="B27" s="113">
        <v>0.2</v>
      </c>
      <c r="E27"/>
    </row>
    <row r="28" spans="1:31">
      <c r="A28"/>
      <c r="B28"/>
      <c r="C28"/>
      <c r="D28"/>
      <c r="E28"/>
    </row>
    <row r="29" spans="1:31">
      <c r="C29"/>
      <c r="D29"/>
      <c r="E29"/>
    </row>
  </sheetData>
  <mergeCells count="2">
    <mergeCell ref="B16:D16"/>
    <mergeCell ref="A16:A17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85138-4062-4E9A-B903-91549B07446D}">
  <dimension ref="A1:AE29"/>
  <sheetViews>
    <sheetView tabSelected="1" workbookViewId="0"/>
  </sheetViews>
  <sheetFormatPr defaultRowHeight="16.5"/>
  <cols>
    <col min="1" max="3" width="9" style="35"/>
    <col min="4" max="4" width="11" style="35" bestFit="1" customWidth="1"/>
    <col min="5" max="5" width="9.125" style="35" customWidth="1"/>
    <col min="6" max="6" width="11" style="35" bestFit="1" customWidth="1"/>
    <col min="7" max="7" width="1.625" style="35" customWidth="1"/>
    <col min="8" max="8" width="8.75" style="35" customWidth="1"/>
    <col min="9" max="9" width="8.125" style="35" bestFit="1" customWidth="1"/>
    <col min="10" max="10" width="9.125" style="35" bestFit="1" customWidth="1"/>
    <col min="11" max="11" width="11.25" style="35" bestFit="1" customWidth="1"/>
    <col min="12" max="15" width="10.75" style="35" customWidth="1"/>
    <col min="16" max="16" width="1.625" style="35" customWidth="1"/>
    <col min="17" max="18" width="9.75" style="35" bestFit="1" customWidth="1"/>
    <col min="19" max="19" width="9" style="35" bestFit="1" customWidth="1"/>
    <col min="20" max="21" width="5.125" style="35" bestFit="1" customWidth="1"/>
    <col min="22" max="22" width="4.375" style="35" bestFit="1" customWidth="1"/>
    <col min="23" max="23" width="9" style="35"/>
    <col min="24" max="24" width="14.125" style="35" bestFit="1" customWidth="1"/>
    <col min="25" max="25" width="1.625" style="35" customWidth="1"/>
    <col min="26" max="26" width="9" style="35"/>
    <col min="27" max="27" width="12.125" style="35" bestFit="1" customWidth="1"/>
    <col min="28" max="28" width="13.625" style="35" bestFit="1" customWidth="1"/>
    <col min="29" max="30" width="9.875" style="35" bestFit="1" customWidth="1"/>
    <col min="31" max="31" width="13" style="35" bestFit="1" customWidth="1"/>
    <col min="32" max="16384" width="9" style="35"/>
  </cols>
  <sheetData>
    <row r="1" spans="1:31" ht="17.25">
      <c r="A1" t="s">
        <v>2</v>
      </c>
      <c r="B1"/>
      <c r="C1"/>
      <c r="D1"/>
      <c r="H1" t="s">
        <v>51</v>
      </c>
      <c r="I1"/>
      <c r="J1"/>
      <c r="K1"/>
      <c r="L1"/>
      <c r="M1"/>
      <c r="N1"/>
      <c r="O1"/>
      <c r="Q1" s="165" t="s">
        <v>375</v>
      </c>
      <c r="R1" s="165"/>
      <c r="S1" s="165"/>
      <c r="T1" s="165"/>
      <c r="U1" s="165"/>
      <c r="V1" s="165"/>
      <c r="W1" s="165"/>
      <c r="X1" s="165"/>
      <c r="Z1" s="161" t="s">
        <v>376</v>
      </c>
      <c r="AA1" s="161"/>
      <c r="AB1" s="161"/>
      <c r="AC1" s="161"/>
      <c r="AD1" s="161"/>
      <c r="AE1" s="161"/>
    </row>
    <row r="2" spans="1:31">
      <c r="A2" s="63" t="s">
        <v>57</v>
      </c>
      <c r="B2" s="167" t="s">
        <v>1329</v>
      </c>
      <c r="C2" s="63" t="s">
        <v>1331</v>
      </c>
      <c r="D2" s="63" t="s">
        <v>1332</v>
      </c>
      <c r="E2" s="63" t="s">
        <v>1333</v>
      </c>
      <c r="F2" s="167" t="s">
        <v>1518</v>
      </c>
      <c r="H2" s="63" t="s">
        <v>1416</v>
      </c>
      <c r="I2" s="63" t="s">
        <v>114</v>
      </c>
      <c r="J2" s="63" t="s">
        <v>1287</v>
      </c>
      <c r="K2" s="63" t="s">
        <v>1334</v>
      </c>
      <c r="L2" s="63" t="s">
        <v>1335</v>
      </c>
      <c r="M2" s="63" t="s">
        <v>1336</v>
      </c>
      <c r="N2" s="63" t="s">
        <v>1337</v>
      </c>
      <c r="O2" s="167" t="s">
        <v>1338</v>
      </c>
      <c r="Q2" s="155" t="s">
        <v>114</v>
      </c>
      <c r="R2" s="166" t="s">
        <v>1376</v>
      </c>
      <c r="S2" s="166" t="s">
        <v>1377</v>
      </c>
      <c r="T2" s="166" t="s">
        <v>1378</v>
      </c>
      <c r="U2" s="166" t="s">
        <v>1379</v>
      </c>
      <c r="V2" s="166" t="s">
        <v>1380</v>
      </c>
      <c r="W2" s="167" t="s">
        <v>1381</v>
      </c>
      <c r="X2" s="167" t="s">
        <v>1382</v>
      </c>
      <c r="Z2" s="150" t="s">
        <v>1313</v>
      </c>
      <c r="AA2" s="150" t="s">
        <v>1383</v>
      </c>
      <c r="AB2" s="150" t="s">
        <v>1384</v>
      </c>
      <c r="AC2" s="150" t="s">
        <v>1385</v>
      </c>
      <c r="AD2" s="150" t="s">
        <v>1314</v>
      </c>
      <c r="AE2" s="151" t="s">
        <v>1420</v>
      </c>
    </row>
    <row r="3" spans="1:31">
      <c r="A3" s="113" t="s">
        <v>1402</v>
      </c>
      <c r="B3" s="63" t="str">
        <f>INDEX($B$18:$D$21,MATCH(A3,$A$18:$A$21,1),MATCH(RIGHT(A3,1),$B$17:$D$17,0))</f>
        <v>백도대형</v>
      </c>
      <c r="C3" s="113">
        <v>5</v>
      </c>
      <c r="D3" s="113">
        <v>3</v>
      </c>
      <c r="E3" s="113">
        <v>2</v>
      </c>
      <c r="F3" s="63" t="str" cm="1">
        <f t="array" ref="F3">REPT("♥", INT(SUMPRODUCT(C3:E3, TRANSPOSE($B$25:$B$27))))&amp;REPT("♡", 5-INT(SUMPRODUCT(TRANSPOSE(C3:E3), $B$25:$B$27)))</f>
        <v>♥♥♥♡♡</v>
      </c>
      <c r="H3" s="63" t="s">
        <v>1413</v>
      </c>
      <c r="I3" s="142" t="s">
        <v>604</v>
      </c>
      <c r="J3" s="63">
        <v>68</v>
      </c>
      <c r="K3" s="63">
        <v>77</v>
      </c>
      <c r="L3" s="63">
        <v>67</v>
      </c>
      <c r="M3" s="63">
        <v>90</v>
      </c>
      <c r="N3" s="63">
        <v>75</v>
      </c>
      <c r="O3" s="63" t="str">
        <f ca="1">HLOOKUP(SUMPRODUCT(J3:N3,OFFSET($H$16,MATCH(H3,$H$17:$H$19,0),1,1,5)),$I$22:$K$23,2)</f>
        <v>통과</v>
      </c>
      <c r="Q3" s="141" t="s">
        <v>905</v>
      </c>
      <c r="R3" s="168">
        <v>19</v>
      </c>
      <c r="S3" s="168">
        <v>1</v>
      </c>
      <c r="T3" s="168">
        <v>68</v>
      </c>
      <c r="U3" s="168">
        <v>90</v>
      </c>
      <c r="V3" s="168">
        <v>94</v>
      </c>
      <c r="W3" s="155" t="str">
        <f>IF(AND(R3&gt;=17,COUNTIF(T3:V3,"&gt;65")=3),"Pass","")</f>
        <v>Pass</v>
      </c>
      <c r="X3" s="169">
        <f t="shared" ref="X3:X13" si="0">IF(S3=0,0.5%,0%)+VLOOKUP(AVERAGE(T3:V3),$Q$17:$S$21,3,1)</f>
        <v>0.04</v>
      </c>
      <c r="Z3" s="150" t="s">
        <v>1320</v>
      </c>
      <c r="AA3" s="152">
        <v>129000000</v>
      </c>
      <c r="AB3" s="152">
        <v>139000000</v>
      </c>
      <c r="AC3" s="152">
        <v>3100000</v>
      </c>
      <c r="AD3" s="152">
        <v>1100000</v>
      </c>
      <c r="AE3" s="162">
        <f>LOOKUP(AB3/AA3,$Z$17:$AA$20)+IF(AND(AB3/AA3&gt;=1.2, AD3/AC3&gt;=0.5), 7%, IF(AB3/AA3&lt;0.8, -5%, 0%))</f>
        <v>0.2</v>
      </c>
    </row>
    <row r="4" spans="1:31">
      <c r="A4" s="113" t="s">
        <v>1403</v>
      </c>
      <c r="B4" s="63" t="str">
        <f t="shared" ref="B4:B13" si="1">INDEX($B$18:$D$21,MATCH(A4,$A$18:$A$21,1),MATCH(RIGHT(A4,1),$B$17:$D$17,0))</f>
        <v>천도소형</v>
      </c>
      <c r="C4" s="113">
        <v>4.5</v>
      </c>
      <c r="D4" s="113">
        <v>4</v>
      </c>
      <c r="E4" s="113">
        <v>3</v>
      </c>
      <c r="F4" s="63" t="str" cm="1">
        <f t="array" ref="F4">REPT("♥", INT(SUMPRODUCT(C4:E4, TRANSPOSE($B$25:$B$27))))&amp;REPT("♡", 5-INT(SUMPRODUCT(TRANSPOSE(C4:E4), $B$25:$B$27)))</f>
        <v>♥♥♥♡♡</v>
      </c>
      <c r="H4" s="63" t="s">
        <v>1415</v>
      </c>
      <c r="I4" s="142" t="s">
        <v>605</v>
      </c>
      <c r="J4" s="63">
        <v>94</v>
      </c>
      <c r="K4" s="63">
        <v>94</v>
      </c>
      <c r="L4" s="63">
        <v>69</v>
      </c>
      <c r="M4" s="63">
        <v>83</v>
      </c>
      <c r="N4" s="63">
        <v>70</v>
      </c>
      <c r="O4" s="63" t="str">
        <f t="shared" ref="O4:O13" ca="1" si="2">HLOOKUP(SUMPRODUCT(J4:N4,OFFSET($H$16,MATCH(H4,$H$17:$H$19,0),1,1,5)),$I$22:$K$23,2)</f>
        <v>통과</v>
      </c>
      <c r="Q4" s="141" t="s">
        <v>902</v>
      </c>
      <c r="R4" s="168">
        <v>15</v>
      </c>
      <c r="S4" s="168">
        <v>5</v>
      </c>
      <c r="T4" s="168">
        <v>57</v>
      </c>
      <c r="U4" s="168">
        <v>44</v>
      </c>
      <c r="V4" s="168">
        <v>67</v>
      </c>
      <c r="W4" s="155" t="str">
        <f t="shared" ref="W4:W13" si="3">IF(AND(R4&gt;=17,COUNTIF(T4:V4,"&gt;65")=3),"Pass","")</f>
        <v/>
      </c>
      <c r="X4" s="169">
        <f t="shared" si="0"/>
        <v>0</v>
      </c>
      <c r="Z4" s="150" t="s">
        <v>1321</v>
      </c>
      <c r="AA4" s="152">
        <v>79000000</v>
      </c>
      <c r="AB4" s="152">
        <v>99000000</v>
      </c>
      <c r="AC4" s="152">
        <v>4400000</v>
      </c>
      <c r="AD4" s="152">
        <v>3200000</v>
      </c>
      <c r="AE4" s="162">
        <f t="shared" ref="AE4:AE13" si="4">LOOKUP(AB4/AA4,$Z$17:$AA$20)+IF(AND(AB4/AA4&gt;=1.2, AD4/AC4&gt;=0.5), 7%, IF(AB4/AA4&lt;0.8, -5%, 0%))</f>
        <v>0.27</v>
      </c>
    </row>
    <row r="5" spans="1:31">
      <c r="A5" s="113" t="s">
        <v>1404</v>
      </c>
      <c r="B5" s="63" t="str">
        <f t="shared" si="1"/>
        <v>납작대형</v>
      </c>
      <c r="C5" s="113">
        <v>3.5</v>
      </c>
      <c r="D5" s="113">
        <v>3</v>
      </c>
      <c r="E5" s="113">
        <v>4</v>
      </c>
      <c r="F5" s="63" t="str" cm="1">
        <f t="array" ref="F5">REPT("♥", INT(SUMPRODUCT(C5:E5, TRANSPOSE($B$25:$B$27))))&amp;REPT("♡", 5-INT(SUMPRODUCT(TRANSPOSE(C5:E5), $B$25:$B$27)))</f>
        <v>♥♥♥♡♡</v>
      </c>
      <c r="H5" s="63" t="s">
        <v>1414</v>
      </c>
      <c r="I5" s="142" t="s">
        <v>606</v>
      </c>
      <c r="J5" s="63">
        <v>96</v>
      </c>
      <c r="K5" s="63">
        <v>93</v>
      </c>
      <c r="L5" s="63">
        <v>87</v>
      </c>
      <c r="M5" s="63">
        <v>93</v>
      </c>
      <c r="N5" s="63">
        <v>93</v>
      </c>
      <c r="O5" s="63" t="str">
        <f t="shared" ca="1" si="2"/>
        <v>우수성적</v>
      </c>
      <c r="Q5" s="141" t="s">
        <v>900</v>
      </c>
      <c r="R5" s="168">
        <v>16</v>
      </c>
      <c r="S5" s="168">
        <v>4</v>
      </c>
      <c r="T5" s="168">
        <v>87</v>
      </c>
      <c r="U5" s="168">
        <v>89</v>
      </c>
      <c r="V5" s="168">
        <v>75</v>
      </c>
      <c r="W5" s="155" t="str">
        <f t="shared" si="3"/>
        <v/>
      </c>
      <c r="X5" s="169">
        <f t="shared" si="0"/>
        <v>0.04</v>
      </c>
      <c r="Z5" s="150" t="s">
        <v>1322</v>
      </c>
      <c r="AA5" s="152">
        <v>89000000</v>
      </c>
      <c r="AB5" s="152">
        <v>74000000</v>
      </c>
      <c r="AC5" s="152">
        <v>2100000</v>
      </c>
      <c r="AD5" s="152">
        <v>1300000</v>
      </c>
      <c r="AE5" s="162">
        <f t="shared" si="4"/>
        <v>0</v>
      </c>
    </row>
    <row r="6" spans="1:31">
      <c r="A6" s="113" t="s">
        <v>1405</v>
      </c>
      <c r="B6" s="63" t="str">
        <f t="shared" si="1"/>
        <v>황도대형</v>
      </c>
      <c r="C6" s="113">
        <v>3</v>
      </c>
      <c r="D6" s="113">
        <v>3.5</v>
      </c>
      <c r="E6" s="113">
        <v>1</v>
      </c>
      <c r="F6" s="63" t="str" cm="1">
        <f t="array" ref="F6">REPT("♥", INT(SUMPRODUCT(C6:E6, TRANSPOSE($B$25:$B$27))))&amp;REPT("♡", 5-INT(SUMPRODUCT(TRANSPOSE(C6:E6), $B$25:$B$27)))</f>
        <v>♥♥♡♡♡</v>
      </c>
      <c r="H6" s="63" t="s">
        <v>1413</v>
      </c>
      <c r="I6" s="142" t="s">
        <v>607</v>
      </c>
      <c r="J6" s="63">
        <v>89</v>
      </c>
      <c r="K6" s="63">
        <v>89</v>
      </c>
      <c r="L6" s="63">
        <v>86</v>
      </c>
      <c r="M6" s="63">
        <v>76</v>
      </c>
      <c r="N6" s="63">
        <v>83</v>
      </c>
      <c r="O6" s="63" t="str">
        <f t="shared" ca="1" si="2"/>
        <v>통과</v>
      </c>
      <c r="Q6" s="141" t="s">
        <v>898</v>
      </c>
      <c r="R6" s="168">
        <v>19</v>
      </c>
      <c r="S6" s="168">
        <v>0</v>
      </c>
      <c r="T6" s="168">
        <v>80</v>
      </c>
      <c r="U6" s="168">
        <v>99</v>
      </c>
      <c r="V6" s="168">
        <v>94</v>
      </c>
      <c r="W6" s="155" t="str">
        <f t="shared" si="3"/>
        <v>Pass</v>
      </c>
      <c r="X6" s="169">
        <f t="shared" si="0"/>
        <v>5.5E-2</v>
      </c>
      <c r="Z6" s="150" t="s">
        <v>1323</v>
      </c>
      <c r="AA6" s="152">
        <v>149000000</v>
      </c>
      <c r="AB6" s="152">
        <v>169000000</v>
      </c>
      <c r="AC6" s="152">
        <v>3000000</v>
      </c>
      <c r="AD6" s="152">
        <v>1800000</v>
      </c>
      <c r="AE6" s="162">
        <f t="shared" si="4"/>
        <v>0.2</v>
      </c>
    </row>
    <row r="7" spans="1:31">
      <c r="A7" s="113" t="s">
        <v>1406</v>
      </c>
      <c r="B7" s="63" t="str">
        <f t="shared" si="1"/>
        <v>백도대형</v>
      </c>
      <c r="C7" s="113">
        <v>5</v>
      </c>
      <c r="D7" s="113">
        <v>4.5</v>
      </c>
      <c r="E7" s="113">
        <v>2</v>
      </c>
      <c r="F7" s="63" t="str" cm="1">
        <f t="array" ref="F7">REPT("♥", INT(SUMPRODUCT(C7:E7, TRANSPOSE($B$25:$B$27))))&amp;REPT("♡", 5-INT(SUMPRODUCT(TRANSPOSE(C7:E7), $B$25:$B$27)))</f>
        <v>♥♥♥♥♡</v>
      </c>
      <c r="H7" s="63" t="s">
        <v>1415</v>
      </c>
      <c r="I7" s="142" t="s">
        <v>608</v>
      </c>
      <c r="J7" s="63">
        <v>79</v>
      </c>
      <c r="K7" s="63">
        <v>84</v>
      </c>
      <c r="L7" s="63">
        <v>50</v>
      </c>
      <c r="M7" s="63">
        <v>50</v>
      </c>
      <c r="N7" s="63">
        <v>73</v>
      </c>
      <c r="O7" s="63" t="str">
        <f t="shared" ca="1" si="2"/>
        <v>탈락</v>
      </c>
      <c r="Q7" s="141" t="s">
        <v>895</v>
      </c>
      <c r="R7" s="168">
        <v>20</v>
      </c>
      <c r="S7" s="168">
        <v>0</v>
      </c>
      <c r="T7" s="168">
        <v>70</v>
      </c>
      <c r="U7" s="168">
        <v>94</v>
      </c>
      <c r="V7" s="168">
        <v>59</v>
      </c>
      <c r="W7" s="155" t="str">
        <f t="shared" si="3"/>
        <v/>
      </c>
      <c r="X7" s="169">
        <f t="shared" si="0"/>
        <v>3.4999999999999996E-2</v>
      </c>
      <c r="Z7" s="150" t="s">
        <v>1316</v>
      </c>
      <c r="AA7" s="152">
        <v>79000000</v>
      </c>
      <c r="AB7" s="152">
        <v>129000000</v>
      </c>
      <c r="AC7" s="152">
        <v>5800000</v>
      </c>
      <c r="AD7" s="152">
        <v>2810000</v>
      </c>
      <c r="AE7" s="162">
        <f t="shared" si="4"/>
        <v>0.5</v>
      </c>
    </row>
    <row r="8" spans="1:31">
      <c r="A8" s="113" t="s">
        <v>1407</v>
      </c>
      <c r="B8" s="63" t="str">
        <f t="shared" si="1"/>
        <v>황도중형</v>
      </c>
      <c r="C8" s="113">
        <v>5</v>
      </c>
      <c r="D8" s="113">
        <v>5</v>
      </c>
      <c r="E8" s="113">
        <v>5</v>
      </c>
      <c r="F8" s="63" t="str" cm="1">
        <f t="array" ref="F8">REPT("♥", INT(SUMPRODUCT(C8:E8, TRANSPOSE($B$25:$B$27))))&amp;REPT("♡", 5-INT(SUMPRODUCT(TRANSPOSE(C8:E8), $B$25:$B$27)))</f>
        <v>♥♥♥♥♥</v>
      </c>
      <c r="H8" s="63" t="s">
        <v>1415</v>
      </c>
      <c r="I8" s="142" t="s">
        <v>609</v>
      </c>
      <c r="J8" s="63">
        <v>69</v>
      </c>
      <c r="K8" s="63">
        <v>70</v>
      </c>
      <c r="L8" s="63">
        <v>47</v>
      </c>
      <c r="M8" s="63">
        <v>47</v>
      </c>
      <c r="N8" s="63">
        <v>57</v>
      </c>
      <c r="O8" s="63" t="str">
        <f t="shared" ca="1" si="2"/>
        <v>탈락</v>
      </c>
      <c r="Q8" s="141" t="s">
        <v>892</v>
      </c>
      <c r="R8" s="168">
        <v>19</v>
      </c>
      <c r="S8" s="168">
        <v>1</v>
      </c>
      <c r="T8" s="168">
        <v>90</v>
      </c>
      <c r="U8" s="168">
        <v>57</v>
      </c>
      <c r="V8" s="168">
        <v>84</v>
      </c>
      <c r="W8" s="155" t="str">
        <f t="shared" si="3"/>
        <v/>
      </c>
      <c r="X8" s="169">
        <f t="shared" si="0"/>
        <v>0.03</v>
      </c>
      <c r="Z8" s="150" t="s">
        <v>1324</v>
      </c>
      <c r="AA8" s="152">
        <v>64000000</v>
      </c>
      <c r="AB8" s="152">
        <v>44000000</v>
      </c>
      <c r="AC8" s="152">
        <v>4400000</v>
      </c>
      <c r="AD8" s="152">
        <v>1900000</v>
      </c>
      <c r="AE8" s="162">
        <f t="shared" si="4"/>
        <v>-0.05</v>
      </c>
    </row>
    <row r="9" spans="1:31">
      <c r="A9" s="113" t="s">
        <v>1408</v>
      </c>
      <c r="B9" s="63" t="str">
        <f t="shared" si="1"/>
        <v>천도대형</v>
      </c>
      <c r="C9" s="113">
        <v>3.5</v>
      </c>
      <c r="D9" s="113">
        <v>4.5</v>
      </c>
      <c r="E9" s="113">
        <v>2</v>
      </c>
      <c r="F9" s="63" t="str" cm="1">
        <f t="array" ref="F9">REPT("♥", INT(SUMPRODUCT(C9:E9, TRANSPOSE($B$25:$B$27))))&amp;REPT("♡", 5-INT(SUMPRODUCT(TRANSPOSE(C9:E9), $B$25:$B$27)))</f>
        <v>♥♥♥♡♡</v>
      </c>
      <c r="H9" s="63" t="s">
        <v>1413</v>
      </c>
      <c r="I9" s="142" t="s">
        <v>611</v>
      </c>
      <c r="J9" s="63">
        <v>88</v>
      </c>
      <c r="K9" s="63">
        <v>86</v>
      </c>
      <c r="L9" s="63">
        <v>79</v>
      </c>
      <c r="M9" s="63">
        <v>86</v>
      </c>
      <c r="N9" s="63">
        <v>67</v>
      </c>
      <c r="O9" s="63" t="str">
        <f t="shared" ca="1" si="2"/>
        <v>통과</v>
      </c>
      <c r="Q9" s="141" t="s">
        <v>731</v>
      </c>
      <c r="R9" s="168">
        <v>19</v>
      </c>
      <c r="S9" s="168">
        <v>1</v>
      </c>
      <c r="T9" s="168">
        <v>67</v>
      </c>
      <c r="U9" s="168">
        <v>27</v>
      </c>
      <c r="V9" s="168">
        <v>96</v>
      </c>
      <c r="W9" s="155" t="str">
        <f t="shared" si="3"/>
        <v/>
      </c>
      <c r="X9" s="169">
        <f t="shared" si="0"/>
        <v>0.02</v>
      </c>
      <c r="Z9" s="150" t="s">
        <v>1325</v>
      </c>
      <c r="AA9" s="152">
        <v>129000000</v>
      </c>
      <c r="AB9" s="152">
        <v>189000000</v>
      </c>
      <c r="AC9" s="152">
        <v>4980000</v>
      </c>
      <c r="AD9" s="152">
        <v>2600000</v>
      </c>
      <c r="AE9" s="162">
        <f t="shared" si="4"/>
        <v>0.27</v>
      </c>
    </row>
    <row r="10" spans="1:31">
      <c r="A10" s="113" t="s">
        <v>1409</v>
      </c>
      <c r="B10" s="63" t="str">
        <f t="shared" si="1"/>
        <v>천도소형</v>
      </c>
      <c r="C10" s="113">
        <v>4.5</v>
      </c>
      <c r="D10" s="113">
        <v>3</v>
      </c>
      <c r="E10" s="113">
        <v>5</v>
      </c>
      <c r="F10" s="63" t="str" cm="1">
        <f t="array" ref="F10">REPT("♥", INT(SUMPRODUCT(C10:E10, TRANSPOSE($B$25:$B$27))))&amp;REPT("♡", 5-INT(SUMPRODUCT(TRANSPOSE(C10:E10), $B$25:$B$27)))</f>
        <v>♥♥♥♡♡</v>
      </c>
      <c r="H10" s="63" t="s">
        <v>1414</v>
      </c>
      <c r="I10" s="142" t="s">
        <v>612</v>
      </c>
      <c r="J10" s="63">
        <v>97</v>
      </c>
      <c r="K10" s="63">
        <v>90</v>
      </c>
      <c r="L10" s="63">
        <v>95</v>
      </c>
      <c r="M10" s="63">
        <v>93</v>
      </c>
      <c r="N10" s="63">
        <v>86</v>
      </c>
      <c r="O10" s="63" t="str">
        <f t="shared" ca="1" si="2"/>
        <v>우수성적</v>
      </c>
      <c r="Q10" s="141" t="s">
        <v>887</v>
      </c>
      <c r="R10" s="168">
        <v>18</v>
      </c>
      <c r="S10" s="168">
        <v>2</v>
      </c>
      <c r="T10" s="168">
        <v>99</v>
      </c>
      <c r="U10" s="168">
        <v>84</v>
      </c>
      <c r="V10" s="168">
        <v>90</v>
      </c>
      <c r="W10" s="155" t="str">
        <f t="shared" si="3"/>
        <v>Pass</v>
      </c>
      <c r="X10" s="169">
        <f t="shared" si="0"/>
        <v>0.05</v>
      </c>
      <c r="Z10" s="150" t="s">
        <v>1326</v>
      </c>
      <c r="AA10" s="152">
        <v>69000000</v>
      </c>
      <c r="AB10" s="152">
        <v>67000000</v>
      </c>
      <c r="AC10" s="152">
        <v>5890000</v>
      </c>
      <c r="AD10" s="152">
        <v>1600000</v>
      </c>
      <c r="AE10" s="162">
        <f t="shared" si="4"/>
        <v>0</v>
      </c>
    </row>
    <row r="11" spans="1:31">
      <c r="A11" s="113" t="s">
        <v>1410</v>
      </c>
      <c r="B11" s="63" t="str">
        <f t="shared" si="1"/>
        <v>백도소형</v>
      </c>
      <c r="C11" s="113">
        <v>3</v>
      </c>
      <c r="D11" s="113">
        <v>3</v>
      </c>
      <c r="E11" s="113">
        <v>4.5</v>
      </c>
      <c r="F11" s="63" t="str" cm="1">
        <f t="array" ref="F11">REPT("♥", INT(SUMPRODUCT(C11:E11, TRANSPOSE($B$25:$B$27))))&amp;REPT("♡", 5-INT(SUMPRODUCT(TRANSPOSE(C11:E11), $B$25:$B$27)))</f>
        <v>♥♥♥♡♡</v>
      </c>
      <c r="H11" s="63" t="s">
        <v>1414</v>
      </c>
      <c r="I11" s="142" t="s">
        <v>613</v>
      </c>
      <c r="J11" s="63">
        <v>84</v>
      </c>
      <c r="K11" s="63">
        <v>82</v>
      </c>
      <c r="L11" s="63">
        <v>70</v>
      </c>
      <c r="M11" s="63">
        <v>71</v>
      </c>
      <c r="N11" s="63">
        <v>97</v>
      </c>
      <c r="O11" s="63" t="str">
        <f t="shared" ca="1" si="2"/>
        <v>통과</v>
      </c>
      <c r="Q11" s="141" t="s">
        <v>734</v>
      </c>
      <c r="R11" s="168">
        <v>20</v>
      </c>
      <c r="S11" s="168">
        <v>0</v>
      </c>
      <c r="T11" s="168">
        <v>68</v>
      </c>
      <c r="U11" s="168">
        <v>88</v>
      </c>
      <c r="V11" s="168">
        <v>87</v>
      </c>
      <c r="W11" s="155" t="str">
        <f t="shared" si="3"/>
        <v>Pass</v>
      </c>
      <c r="X11" s="169">
        <f t="shared" si="0"/>
        <v>4.4999999999999998E-2</v>
      </c>
      <c r="Z11" s="150" t="s">
        <v>1327</v>
      </c>
      <c r="AA11" s="152">
        <v>9000000</v>
      </c>
      <c r="AB11" s="152">
        <v>16000000</v>
      </c>
      <c r="AC11" s="152">
        <v>3540000</v>
      </c>
      <c r="AD11" s="152">
        <v>1900000</v>
      </c>
      <c r="AE11" s="162">
        <f t="shared" si="4"/>
        <v>0.57000000000000006</v>
      </c>
    </row>
    <row r="12" spans="1:31">
      <c r="A12" s="113" t="s">
        <v>1411</v>
      </c>
      <c r="B12" s="63" t="str">
        <f t="shared" si="1"/>
        <v>납작중형</v>
      </c>
      <c r="C12" s="113">
        <v>5</v>
      </c>
      <c r="D12" s="113">
        <v>5</v>
      </c>
      <c r="E12" s="113">
        <v>5</v>
      </c>
      <c r="F12" s="63" t="str" cm="1">
        <f t="array" ref="F12">REPT("♥", INT(SUMPRODUCT(C12:E12, TRANSPOSE($B$25:$B$27))))&amp;REPT("♡", 5-INT(SUMPRODUCT(TRANSPOSE(C12:E12), $B$25:$B$27)))</f>
        <v>♥♥♥♥♥</v>
      </c>
      <c r="H12" s="63" t="s">
        <v>1414</v>
      </c>
      <c r="I12" s="142" t="s">
        <v>614</v>
      </c>
      <c r="J12" s="63">
        <v>75</v>
      </c>
      <c r="K12" s="63">
        <v>47</v>
      </c>
      <c r="L12" s="63">
        <v>37</v>
      </c>
      <c r="M12" s="63">
        <v>27</v>
      </c>
      <c r="N12" s="63">
        <v>17</v>
      </c>
      <c r="O12" s="63" t="str">
        <f t="shared" ca="1" si="2"/>
        <v>탈락</v>
      </c>
      <c r="Q12" s="141" t="s">
        <v>881</v>
      </c>
      <c r="R12" s="168">
        <v>19</v>
      </c>
      <c r="S12" s="168">
        <v>1</v>
      </c>
      <c r="T12" s="168">
        <v>90</v>
      </c>
      <c r="U12" s="168">
        <v>79</v>
      </c>
      <c r="V12" s="168">
        <v>88</v>
      </c>
      <c r="W12" s="155" t="str">
        <f t="shared" si="3"/>
        <v>Pass</v>
      </c>
      <c r="X12" s="169">
        <f t="shared" si="0"/>
        <v>0.04</v>
      </c>
      <c r="Z12" s="150" t="s">
        <v>1328</v>
      </c>
      <c r="AA12" s="152">
        <v>4000000</v>
      </c>
      <c r="AB12" s="152">
        <v>2000000</v>
      </c>
      <c r="AC12" s="152">
        <v>5400000</v>
      </c>
      <c r="AD12" s="152">
        <v>2100000</v>
      </c>
      <c r="AE12" s="162">
        <f t="shared" si="4"/>
        <v>-0.05</v>
      </c>
    </row>
    <row r="13" spans="1:31">
      <c r="A13" s="113" t="s">
        <v>1412</v>
      </c>
      <c r="B13" s="63" t="str">
        <f t="shared" si="1"/>
        <v>황도중형</v>
      </c>
      <c r="C13" s="113">
        <v>4</v>
      </c>
      <c r="D13" s="113">
        <v>4</v>
      </c>
      <c r="E13" s="113">
        <v>1</v>
      </c>
      <c r="F13" s="63" t="str" cm="1">
        <f t="array" ref="F13">REPT("♥", INT(SUMPRODUCT(C13:E13, TRANSPOSE($B$25:$B$27))))&amp;REPT("♡", 5-INT(SUMPRODUCT(TRANSPOSE(C13:E13), $B$25:$B$27)))</f>
        <v>♥♥♥♡♡</v>
      </c>
      <c r="H13" s="63" t="s">
        <v>1413</v>
      </c>
      <c r="I13" s="142" t="s">
        <v>616</v>
      </c>
      <c r="J13" s="63">
        <v>95</v>
      </c>
      <c r="K13" s="63">
        <v>77</v>
      </c>
      <c r="L13" s="63">
        <v>67</v>
      </c>
      <c r="M13" s="63">
        <v>67</v>
      </c>
      <c r="N13" s="63">
        <v>70</v>
      </c>
      <c r="O13" s="63" t="str">
        <f t="shared" ca="1" si="2"/>
        <v>통과</v>
      </c>
      <c r="Q13" s="141" t="s">
        <v>878</v>
      </c>
      <c r="R13" s="168">
        <v>18</v>
      </c>
      <c r="S13" s="168">
        <v>2</v>
      </c>
      <c r="T13" s="168">
        <v>66</v>
      </c>
      <c r="U13" s="168">
        <v>79</v>
      </c>
      <c r="V13" s="168">
        <v>94</v>
      </c>
      <c r="W13" s="155" t="str">
        <f t="shared" si="3"/>
        <v>Pass</v>
      </c>
      <c r="X13" s="169">
        <f t="shared" si="0"/>
        <v>0.03</v>
      </c>
      <c r="Z13" s="150" t="s">
        <v>1387</v>
      </c>
      <c r="AA13" s="152">
        <v>4000000</v>
      </c>
      <c r="AB13" s="152">
        <v>10000000</v>
      </c>
      <c r="AC13" s="152">
        <v>5600000</v>
      </c>
      <c r="AD13" s="152">
        <v>3600000</v>
      </c>
      <c r="AE13" s="162">
        <f t="shared" si="4"/>
        <v>1.07</v>
      </c>
    </row>
    <row r="14" spans="1:31">
      <c r="A14"/>
      <c r="B14"/>
      <c r="C14"/>
      <c r="D14"/>
      <c r="H14"/>
      <c r="I14"/>
      <c r="J14"/>
      <c r="K14"/>
      <c r="L14"/>
      <c r="M14"/>
      <c r="N14"/>
      <c r="O14"/>
      <c r="Q14" s="170"/>
      <c r="R14" s="171"/>
      <c r="S14" s="171"/>
      <c r="T14" s="171"/>
      <c r="U14" s="171"/>
      <c r="V14" s="171"/>
      <c r="W14" s="170"/>
      <c r="X14" s="172"/>
      <c r="AB14" s="154"/>
      <c r="AC14" s="154"/>
      <c r="AD14" s="154"/>
      <c r="AE14"/>
    </row>
    <row r="15" spans="1:31">
      <c r="A15" s="35" t="s">
        <v>4</v>
      </c>
      <c r="C15"/>
      <c r="D15"/>
      <c r="H15" t="s">
        <v>106</v>
      </c>
      <c r="I15"/>
      <c r="J15"/>
      <c r="K15"/>
      <c r="L15"/>
      <c r="M15"/>
      <c r="N15"/>
      <c r="O15"/>
      <c r="Q15" s="153" t="s">
        <v>483</v>
      </c>
      <c r="R15" s="153"/>
      <c r="S15" s="153"/>
      <c r="U15" s="153"/>
      <c r="V15" s="153"/>
      <c r="W15" s="153"/>
      <c r="X15" s="153"/>
      <c r="Z15" s="154" t="s">
        <v>466</v>
      </c>
      <c r="AA15" s="154"/>
      <c r="AB15" s="154"/>
      <c r="AC15" s="154"/>
      <c r="AD15" s="154"/>
      <c r="AE15"/>
    </row>
    <row r="16" spans="1:31">
      <c r="A16" s="219" t="s">
        <v>1519</v>
      </c>
      <c r="B16" s="218" t="s">
        <v>1330</v>
      </c>
      <c r="C16" s="218"/>
      <c r="D16" s="218"/>
      <c r="H16" s="63" t="s">
        <v>1345</v>
      </c>
      <c r="I16" s="63" t="s">
        <v>1287</v>
      </c>
      <c r="J16" s="63" t="s">
        <v>1334</v>
      </c>
      <c r="K16" s="63" t="s">
        <v>1335</v>
      </c>
      <c r="L16" s="63" t="s">
        <v>1336</v>
      </c>
      <c r="M16" s="63" t="s">
        <v>1337</v>
      </c>
      <c r="N16"/>
      <c r="O16"/>
      <c r="Q16" s="173" t="s">
        <v>290</v>
      </c>
      <c r="R16" s="173"/>
      <c r="S16" s="173" t="s">
        <v>575</v>
      </c>
      <c r="T16" s="153"/>
      <c r="U16" s="153"/>
      <c r="V16" s="153"/>
      <c r="W16" s="153"/>
      <c r="X16" s="153"/>
      <c r="Z16" s="155" t="s">
        <v>1386</v>
      </c>
      <c r="AA16" s="155" t="s">
        <v>1421</v>
      </c>
      <c r="AB16" s="154"/>
      <c r="AC16" s="154"/>
      <c r="AD16" s="154"/>
      <c r="AE16"/>
    </row>
    <row r="17" spans="1:31">
      <c r="A17" s="220"/>
      <c r="B17" s="63" t="s">
        <v>1339</v>
      </c>
      <c r="C17" s="63" t="s">
        <v>1340</v>
      </c>
      <c r="D17" s="63" t="s">
        <v>1341</v>
      </c>
      <c r="H17" s="63" t="s">
        <v>1413</v>
      </c>
      <c r="I17" s="148">
        <v>0.1</v>
      </c>
      <c r="J17" s="148">
        <v>0.2</v>
      </c>
      <c r="K17" s="148">
        <v>0.4</v>
      </c>
      <c r="L17" s="148">
        <v>0.2</v>
      </c>
      <c r="M17" s="148">
        <v>0.1</v>
      </c>
      <c r="N17"/>
      <c r="O17"/>
      <c r="Q17" s="174">
        <v>0</v>
      </c>
      <c r="R17" s="175">
        <v>60</v>
      </c>
      <c r="S17" s="176">
        <v>0</v>
      </c>
      <c r="T17" s="153"/>
      <c r="U17" s="153"/>
      <c r="V17" s="153"/>
      <c r="W17" s="153"/>
      <c r="X17" s="153"/>
      <c r="Z17" s="163">
        <v>0</v>
      </c>
      <c r="AA17" s="164">
        <v>0</v>
      </c>
      <c r="AB17" s="154"/>
      <c r="AC17" s="154"/>
      <c r="AD17" s="154"/>
      <c r="AE17"/>
    </row>
    <row r="18" spans="1:31">
      <c r="A18" s="63" t="s">
        <v>292</v>
      </c>
      <c r="B18" s="63" t="s">
        <v>1388</v>
      </c>
      <c r="C18" s="63" t="s">
        <v>1393</v>
      </c>
      <c r="D18" s="63" t="s">
        <v>1398</v>
      </c>
      <c r="H18" s="63" t="s">
        <v>1414</v>
      </c>
      <c r="I18" s="148">
        <v>0.1</v>
      </c>
      <c r="J18" s="148">
        <v>0.2</v>
      </c>
      <c r="K18" s="148">
        <v>0.2</v>
      </c>
      <c r="L18" s="148">
        <v>0.4</v>
      </c>
      <c r="M18" s="148">
        <v>0.1</v>
      </c>
      <c r="N18"/>
      <c r="O18"/>
      <c r="Q18" s="174">
        <v>60</v>
      </c>
      <c r="R18" s="175">
        <v>70</v>
      </c>
      <c r="S18" s="176">
        <v>0.02</v>
      </c>
      <c r="T18" s="153"/>
      <c r="U18" s="153"/>
      <c r="V18" s="153"/>
      <c r="W18" s="153"/>
      <c r="X18" s="153"/>
      <c r="Z18" s="163">
        <v>1</v>
      </c>
      <c r="AA18" s="164">
        <v>0.2</v>
      </c>
      <c r="AB18" s="154"/>
      <c r="AC18" s="154"/>
      <c r="AD18" s="154"/>
      <c r="AE18"/>
    </row>
    <row r="19" spans="1:31">
      <c r="A19" s="63" t="s">
        <v>1342</v>
      </c>
      <c r="B19" s="63" t="s">
        <v>1390</v>
      </c>
      <c r="C19" s="63" t="s">
        <v>1395</v>
      </c>
      <c r="D19" s="63" t="s">
        <v>1400</v>
      </c>
      <c r="H19" s="63" t="s">
        <v>1415</v>
      </c>
      <c r="I19" s="148">
        <v>0.1</v>
      </c>
      <c r="J19" s="148">
        <v>0.4</v>
      </c>
      <c r="K19" s="148">
        <v>0.2</v>
      </c>
      <c r="L19" s="148">
        <v>0.2</v>
      </c>
      <c r="M19" s="148">
        <v>0.1</v>
      </c>
      <c r="N19"/>
      <c r="O19"/>
      <c r="Q19" s="174">
        <v>70</v>
      </c>
      <c r="R19" s="175">
        <v>80</v>
      </c>
      <c r="S19" s="176">
        <v>0.03</v>
      </c>
      <c r="T19" s="153"/>
      <c r="U19" s="153"/>
      <c r="V19" s="153"/>
      <c r="W19" s="153"/>
      <c r="X19" s="153"/>
      <c r="Z19" s="163">
        <v>1.5</v>
      </c>
      <c r="AA19" s="164">
        <v>0.5</v>
      </c>
    </row>
    <row r="20" spans="1:31">
      <c r="A20" s="63" t="s">
        <v>1392</v>
      </c>
      <c r="B20" s="63" t="s">
        <v>1391</v>
      </c>
      <c r="C20" s="63" t="s">
        <v>1396</v>
      </c>
      <c r="D20" s="63" t="s">
        <v>1401</v>
      </c>
      <c r="H20"/>
      <c r="I20"/>
      <c r="J20"/>
      <c r="K20"/>
      <c r="L20"/>
      <c r="M20"/>
      <c r="N20"/>
      <c r="O20"/>
      <c r="Q20" s="174">
        <v>80</v>
      </c>
      <c r="R20" s="175">
        <v>90</v>
      </c>
      <c r="S20" s="176">
        <v>0.04</v>
      </c>
      <c r="T20" s="153"/>
      <c r="U20" s="153"/>
      <c r="V20" s="153"/>
      <c r="W20" s="153"/>
      <c r="X20" s="153"/>
      <c r="Z20" s="163">
        <v>2</v>
      </c>
      <c r="AA20" s="164">
        <v>1</v>
      </c>
    </row>
    <row r="21" spans="1:31">
      <c r="A21" s="63" t="s">
        <v>1397</v>
      </c>
      <c r="B21" s="63" t="s">
        <v>1389</v>
      </c>
      <c r="C21" s="63" t="s">
        <v>1394</v>
      </c>
      <c r="D21" s="63" t="s">
        <v>1399</v>
      </c>
      <c r="F21"/>
      <c r="H21" t="s">
        <v>108</v>
      </c>
      <c r="I21"/>
      <c r="J21"/>
      <c r="K21"/>
      <c r="L21"/>
      <c r="M21"/>
      <c r="N21"/>
      <c r="O21"/>
      <c r="Q21" s="174">
        <v>90</v>
      </c>
      <c r="R21" s="173"/>
      <c r="S21" s="176">
        <v>0.05</v>
      </c>
      <c r="T21" s="153"/>
      <c r="U21" s="153"/>
      <c r="V21" s="153"/>
      <c r="W21" s="153"/>
      <c r="X21" s="153"/>
    </row>
    <row r="22" spans="1:31">
      <c r="E22"/>
      <c r="F22"/>
      <c r="H22" s="63" t="s">
        <v>1286</v>
      </c>
      <c r="I22" s="178">
        <v>0</v>
      </c>
      <c r="J22" s="178">
        <v>70</v>
      </c>
      <c r="K22" s="178">
        <v>90</v>
      </c>
      <c r="L22" s="60"/>
      <c r="M22"/>
      <c r="N22"/>
      <c r="O22"/>
    </row>
    <row r="23" spans="1:31">
      <c r="A23" s="177" t="s">
        <v>49</v>
      </c>
      <c r="E23"/>
      <c r="F23"/>
      <c r="H23" s="63" t="s">
        <v>1338</v>
      </c>
      <c r="I23" s="63" t="s">
        <v>1417</v>
      </c>
      <c r="J23" s="63" t="s">
        <v>1418</v>
      </c>
      <c r="K23" s="63" t="s">
        <v>1419</v>
      </c>
      <c r="L23" s="60"/>
      <c r="M23"/>
      <c r="N23"/>
      <c r="O23"/>
    </row>
    <row r="24" spans="1:31">
      <c r="A24" s="63" t="s">
        <v>1343</v>
      </c>
      <c r="B24" s="63" t="s">
        <v>1344</v>
      </c>
      <c r="E24"/>
      <c r="F24"/>
    </row>
    <row r="25" spans="1:31">
      <c r="A25" s="63" t="s">
        <v>1331</v>
      </c>
      <c r="B25" s="113">
        <v>0.3</v>
      </c>
      <c r="E25"/>
    </row>
    <row r="26" spans="1:31">
      <c r="A26" s="63" t="s">
        <v>1332</v>
      </c>
      <c r="B26" s="113">
        <v>0.5</v>
      </c>
      <c r="E26"/>
    </row>
    <row r="27" spans="1:31">
      <c r="A27" s="63" t="s">
        <v>1333</v>
      </c>
      <c r="B27" s="113">
        <v>0.2</v>
      </c>
      <c r="E27"/>
    </row>
    <row r="28" spans="1:31">
      <c r="A28"/>
      <c r="B28"/>
      <c r="C28"/>
      <c r="D28"/>
      <c r="E28"/>
    </row>
    <row r="29" spans="1:31">
      <c r="C29"/>
      <c r="D29"/>
      <c r="E29"/>
    </row>
  </sheetData>
  <sortState xmlns:xlrd2="http://schemas.microsoft.com/office/spreadsheetml/2017/richdata2" ref="F21:F24">
    <sortCondition ref="F21:F24"/>
  </sortState>
  <mergeCells count="2">
    <mergeCell ref="B16:D16"/>
    <mergeCell ref="A16:A17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A1:S25"/>
  <sheetViews>
    <sheetView zoomScaleNormal="100" workbookViewId="0"/>
  </sheetViews>
  <sheetFormatPr defaultRowHeight="16.5"/>
  <cols>
    <col min="3" max="4" width="11.5" bestFit="1" customWidth="1"/>
    <col min="5" max="5" width="1.625" customWidth="1"/>
    <col min="6" max="6" width="11.375" bestFit="1" customWidth="1"/>
    <col min="7" max="7" width="10.375" bestFit="1" customWidth="1"/>
    <col min="8" max="8" width="1.625" customWidth="1"/>
    <col min="9" max="9" width="11.375" bestFit="1" customWidth="1"/>
    <col min="10" max="10" width="23.125" customWidth="1"/>
    <col min="11" max="11" width="1.625" customWidth="1"/>
    <col min="13" max="13" width="12.125" customWidth="1"/>
    <col min="14" max="14" width="1.625" customWidth="1"/>
    <col min="15" max="15" width="10" bestFit="1" customWidth="1"/>
    <col min="16" max="16" width="9.75" bestFit="1" customWidth="1"/>
    <col min="17" max="17" width="11.5" bestFit="1" customWidth="1"/>
    <col min="18" max="18" width="13.625" bestFit="1" customWidth="1"/>
    <col min="19" max="19" width="10.75" bestFit="1" customWidth="1"/>
  </cols>
  <sheetData>
    <row r="1" spans="1:19">
      <c r="A1" t="s">
        <v>2</v>
      </c>
      <c r="C1" s="60" t="s">
        <v>512</v>
      </c>
      <c r="D1" s="61">
        <v>45689</v>
      </c>
      <c r="F1" t="s">
        <v>513</v>
      </c>
      <c r="I1" t="s">
        <v>514</v>
      </c>
      <c r="L1" t="s">
        <v>515</v>
      </c>
      <c r="O1" t="s">
        <v>108</v>
      </c>
      <c r="R1" s="60" t="s">
        <v>298</v>
      </c>
      <c r="S1" s="61">
        <v>45787</v>
      </c>
    </row>
    <row r="2" spans="1:19">
      <c r="A2" s="36" t="s">
        <v>114</v>
      </c>
      <c r="B2" s="36" t="s">
        <v>516</v>
      </c>
      <c r="C2" s="36" t="s">
        <v>517</v>
      </c>
      <c r="D2" s="62" t="s">
        <v>518</v>
      </c>
      <c r="F2" s="36" t="s">
        <v>519</v>
      </c>
      <c r="G2" s="36" t="s">
        <v>520</v>
      </c>
      <c r="I2" s="63" t="s">
        <v>521</v>
      </c>
      <c r="J2" s="62" t="s">
        <v>522</v>
      </c>
      <c r="L2" s="36" t="s">
        <v>523</v>
      </c>
      <c r="M2" s="62" t="s">
        <v>524</v>
      </c>
      <c r="O2" s="36" t="s">
        <v>57</v>
      </c>
      <c r="P2" s="36" t="s">
        <v>60</v>
      </c>
      <c r="Q2" s="36" t="s">
        <v>525</v>
      </c>
      <c r="R2" s="36" t="s">
        <v>526</v>
      </c>
      <c r="S2" s="62" t="s">
        <v>289</v>
      </c>
    </row>
    <row r="3" spans="1:19">
      <c r="A3" s="36" t="s">
        <v>527</v>
      </c>
      <c r="B3" s="36" t="s">
        <v>528</v>
      </c>
      <c r="C3" s="64">
        <v>45752</v>
      </c>
      <c r="D3" s="36"/>
      <c r="F3" s="65">
        <v>45658</v>
      </c>
      <c r="G3" s="36" t="s">
        <v>529</v>
      </c>
      <c r="I3" s="64">
        <v>45674</v>
      </c>
      <c r="J3" s="64"/>
      <c r="L3" s="66">
        <v>45721</v>
      </c>
      <c r="M3" s="36"/>
      <c r="O3" s="36" t="s">
        <v>530</v>
      </c>
      <c r="P3" s="67">
        <v>198000</v>
      </c>
      <c r="Q3" s="64">
        <v>45748</v>
      </c>
      <c r="R3" s="68">
        <v>12</v>
      </c>
      <c r="S3" s="67"/>
    </row>
    <row r="4" spans="1:19">
      <c r="A4" s="36" t="s">
        <v>531</v>
      </c>
      <c r="B4" s="36" t="s">
        <v>528</v>
      </c>
      <c r="C4" s="64">
        <v>45697</v>
      </c>
      <c r="D4" s="36"/>
      <c r="F4" s="65">
        <v>45717</v>
      </c>
      <c r="G4" s="36" t="s">
        <v>532</v>
      </c>
      <c r="I4" s="64">
        <v>45682</v>
      </c>
      <c r="J4" s="64"/>
      <c r="L4" s="66">
        <v>45736</v>
      </c>
      <c r="M4" s="36"/>
      <c r="O4" s="36" t="s">
        <v>533</v>
      </c>
      <c r="P4" s="67">
        <v>126000</v>
      </c>
      <c r="Q4" s="64">
        <v>45772</v>
      </c>
      <c r="R4" s="68">
        <v>36</v>
      </c>
      <c r="S4" s="67"/>
    </row>
    <row r="5" spans="1:19">
      <c r="A5" s="36" t="s">
        <v>534</v>
      </c>
      <c r="B5" s="36" t="s">
        <v>528</v>
      </c>
      <c r="C5" s="64">
        <v>46000</v>
      </c>
      <c r="D5" s="36"/>
      <c r="F5" s="65">
        <v>45782</v>
      </c>
      <c r="G5" s="36" t="s">
        <v>535</v>
      </c>
      <c r="I5" s="64">
        <v>45691</v>
      </c>
      <c r="J5" s="64"/>
      <c r="L5" s="66">
        <v>45721</v>
      </c>
      <c r="M5" s="36"/>
      <c r="O5" s="36" t="s">
        <v>536</v>
      </c>
      <c r="P5" s="67">
        <v>200000</v>
      </c>
      <c r="Q5" s="64">
        <v>45687</v>
      </c>
      <c r="R5" s="68">
        <v>12</v>
      </c>
      <c r="S5" s="67"/>
    </row>
    <row r="6" spans="1:19">
      <c r="A6" s="36" t="s">
        <v>537</v>
      </c>
      <c r="B6" s="36" t="s">
        <v>528</v>
      </c>
      <c r="C6" s="64">
        <v>45780</v>
      </c>
      <c r="D6" s="36"/>
      <c r="F6" s="65">
        <v>45814</v>
      </c>
      <c r="G6" s="36" t="s">
        <v>538</v>
      </c>
      <c r="I6" s="64">
        <v>45728</v>
      </c>
      <c r="J6" s="64"/>
      <c r="L6" s="66">
        <v>45736</v>
      </c>
      <c r="M6" s="36"/>
      <c r="O6" s="36" t="s">
        <v>539</v>
      </c>
      <c r="P6" s="67">
        <v>35000</v>
      </c>
      <c r="Q6" s="64">
        <v>45660</v>
      </c>
      <c r="R6" s="68">
        <v>24</v>
      </c>
      <c r="S6" s="67"/>
    </row>
    <row r="7" spans="1:19">
      <c r="A7" s="36" t="s">
        <v>540</v>
      </c>
      <c r="B7" s="36" t="s">
        <v>541</v>
      </c>
      <c r="C7" s="64">
        <v>45751</v>
      </c>
      <c r="D7" s="36"/>
      <c r="F7" s="65">
        <v>45884</v>
      </c>
      <c r="G7" s="36" t="s">
        <v>542</v>
      </c>
      <c r="I7" s="64">
        <v>45739</v>
      </c>
      <c r="J7" s="64"/>
      <c r="L7" s="66">
        <v>45731</v>
      </c>
      <c r="M7" s="36"/>
      <c r="O7" s="36" t="s">
        <v>543</v>
      </c>
      <c r="P7" s="67">
        <v>70000</v>
      </c>
      <c r="Q7" s="64">
        <v>45601</v>
      </c>
      <c r="R7" s="68">
        <v>12</v>
      </c>
      <c r="S7" s="67"/>
    </row>
    <row r="8" spans="1:19">
      <c r="A8" s="36" t="s">
        <v>544</v>
      </c>
      <c r="B8" s="36" t="s">
        <v>528</v>
      </c>
      <c r="C8" s="64">
        <v>45693</v>
      </c>
      <c r="D8" s="36"/>
      <c r="F8" s="65">
        <v>45933</v>
      </c>
      <c r="G8" s="36" t="s">
        <v>546</v>
      </c>
      <c r="I8" s="64">
        <v>45746</v>
      </c>
      <c r="J8" s="64"/>
      <c r="L8" s="66">
        <v>45721</v>
      </c>
      <c r="M8" s="36"/>
      <c r="O8" s="36" t="s">
        <v>547</v>
      </c>
      <c r="P8" s="67">
        <v>100000</v>
      </c>
      <c r="Q8" s="64">
        <v>45677</v>
      </c>
      <c r="R8" s="68">
        <v>12</v>
      </c>
      <c r="S8" s="67"/>
    </row>
    <row r="9" spans="1:19">
      <c r="A9" s="36" t="s">
        <v>548</v>
      </c>
      <c r="B9" s="36" t="s">
        <v>541</v>
      </c>
      <c r="C9" s="64">
        <v>45718</v>
      </c>
      <c r="D9" s="36"/>
      <c r="F9" s="65">
        <v>45939</v>
      </c>
      <c r="G9" s="36" t="s">
        <v>549</v>
      </c>
      <c r="I9" s="64">
        <v>45768</v>
      </c>
      <c r="J9" s="64"/>
      <c r="L9" s="66">
        <v>45726</v>
      </c>
      <c r="M9" s="36"/>
      <c r="O9" s="36" t="s">
        <v>550</v>
      </c>
      <c r="P9" s="67">
        <v>35000</v>
      </c>
      <c r="Q9" s="64">
        <v>45698</v>
      </c>
      <c r="R9" s="68">
        <v>24</v>
      </c>
      <c r="S9" s="67"/>
    </row>
    <row r="10" spans="1:19">
      <c r="A10" s="36" t="s">
        <v>551</v>
      </c>
      <c r="B10" s="36" t="s">
        <v>552</v>
      </c>
      <c r="C10" s="64">
        <v>45660</v>
      </c>
      <c r="D10" s="36"/>
      <c r="F10" s="65">
        <v>46016</v>
      </c>
      <c r="G10" s="36" t="s">
        <v>553</v>
      </c>
      <c r="I10" s="64">
        <v>45778</v>
      </c>
      <c r="J10" s="64"/>
      <c r="L10" s="66">
        <v>45736</v>
      </c>
      <c r="M10" s="36"/>
      <c r="O10" s="36" t="s">
        <v>554</v>
      </c>
      <c r="P10" s="67">
        <v>59000</v>
      </c>
      <c r="Q10" s="64">
        <v>45651</v>
      </c>
      <c r="R10" s="68">
        <v>12</v>
      </c>
      <c r="S10" s="67"/>
    </row>
    <row r="11" spans="1:19">
      <c r="A11" s="36" t="s">
        <v>555</v>
      </c>
      <c r="B11" s="36" t="s">
        <v>528</v>
      </c>
      <c r="C11" s="64">
        <v>45708</v>
      </c>
      <c r="D11" s="36"/>
      <c r="I11" s="64">
        <v>45794</v>
      </c>
      <c r="J11" s="64"/>
      <c r="L11" s="66">
        <v>45721</v>
      </c>
      <c r="M11" s="36"/>
      <c r="O11" s="36" t="s">
        <v>556</v>
      </c>
      <c r="P11" s="67">
        <v>50000</v>
      </c>
      <c r="Q11" s="64">
        <v>45766</v>
      </c>
      <c r="R11" s="68">
        <v>24</v>
      </c>
      <c r="S11" s="67"/>
    </row>
    <row r="12" spans="1:19">
      <c r="A12" s="36" t="s">
        <v>557</v>
      </c>
      <c r="B12" s="36" t="s">
        <v>528</v>
      </c>
      <c r="C12" s="64">
        <v>45694</v>
      </c>
      <c r="D12" s="36"/>
      <c r="I12" s="64">
        <v>45797</v>
      </c>
      <c r="J12" s="64"/>
      <c r="L12" s="66">
        <v>45736</v>
      </c>
      <c r="M12" s="36"/>
      <c r="O12" s="36" t="s">
        <v>558</v>
      </c>
      <c r="P12" s="67">
        <v>30000</v>
      </c>
      <c r="Q12" s="64">
        <v>45635</v>
      </c>
      <c r="R12" s="69">
        <v>12</v>
      </c>
      <c r="S12" s="67"/>
    </row>
    <row r="13" spans="1:19">
      <c r="A13" s="36" t="s">
        <v>559</v>
      </c>
      <c r="B13" s="36" t="s">
        <v>528</v>
      </c>
      <c r="C13" s="64">
        <v>45780</v>
      </c>
      <c r="D13" s="36"/>
      <c r="I13" s="64">
        <v>45812</v>
      </c>
      <c r="J13" s="64"/>
      <c r="L13" s="66">
        <v>45736</v>
      </c>
      <c r="M13" s="36"/>
      <c r="O13" s="36" t="s">
        <v>560</v>
      </c>
      <c r="P13" s="67">
        <v>120000</v>
      </c>
      <c r="Q13" s="64">
        <v>45772</v>
      </c>
      <c r="R13" s="68">
        <v>12</v>
      </c>
      <c r="S13" s="67"/>
    </row>
    <row r="14" spans="1:19">
      <c r="A14" s="36" t="s">
        <v>561</v>
      </c>
      <c r="B14" s="36" t="s">
        <v>541</v>
      </c>
      <c r="C14" s="64">
        <v>45767</v>
      </c>
      <c r="D14" s="36"/>
      <c r="I14" s="64">
        <v>45889</v>
      </c>
      <c r="J14" s="64"/>
      <c r="L14" s="66">
        <v>45726</v>
      </c>
      <c r="M14" s="36"/>
      <c r="O14" s="36" t="s">
        <v>562</v>
      </c>
      <c r="P14" s="67">
        <v>35000</v>
      </c>
      <c r="Q14" s="64">
        <v>45588</v>
      </c>
      <c r="R14" s="68">
        <v>12</v>
      </c>
      <c r="S14" s="67"/>
    </row>
    <row r="15" spans="1:19">
      <c r="A15" s="36" t="s">
        <v>563</v>
      </c>
      <c r="B15" s="36" t="s">
        <v>552</v>
      </c>
      <c r="C15" s="64">
        <v>45731</v>
      </c>
      <c r="D15" s="36"/>
      <c r="I15" s="64">
        <v>45927</v>
      </c>
      <c r="J15" s="64"/>
      <c r="L15" s="66">
        <v>45731</v>
      </c>
      <c r="M15" s="36"/>
      <c r="O15" s="36" t="s">
        <v>564</v>
      </c>
      <c r="P15" s="67">
        <v>40000</v>
      </c>
      <c r="Q15" s="64">
        <v>45296</v>
      </c>
      <c r="R15" s="68">
        <v>24</v>
      </c>
      <c r="S15" s="67"/>
    </row>
    <row r="16" spans="1:19">
      <c r="A16" s="36" t="s">
        <v>565</v>
      </c>
      <c r="B16" s="36" t="s">
        <v>541</v>
      </c>
      <c r="C16" s="64">
        <v>45772</v>
      </c>
      <c r="D16" s="36"/>
      <c r="I16" s="64">
        <v>45928</v>
      </c>
      <c r="J16" s="64"/>
      <c r="L16" s="66">
        <v>45726</v>
      </c>
      <c r="M16" s="36"/>
      <c r="O16" s="36" t="s">
        <v>566</v>
      </c>
      <c r="P16" s="67">
        <v>165000</v>
      </c>
      <c r="Q16" s="64">
        <v>45631</v>
      </c>
      <c r="R16" s="68">
        <v>12</v>
      </c>
      <c r="S16" s="67"/>
    </row>
    <row r="17" spans="1:19">
      <c r="A17" s="36" t="s">
        <v>567</v>
      </c>
      <c r="B17" s="36" t="s">
        <v>552</v>
      </c>
      <c r="C17" s="64">
        <v>45807</v>
      </c>
      <c r="D17" s="36"/>
      <c r="I17" s="64">
        <v>45947</v>
      </c>
      <c r="J17" s="64"/>
      <c r="L17" s="66">
        <v>45726</v>
      </c>
      <c r="M17" s="36"/>
      <c r="O17" s="36" t="s">
        <v>568</v>
      </c>
      <c r="P17" s="67">
        <v>140000</v>
      </c>
      <c r="Q17" s="64">
        <v>45601</v>
      </c>
      <c r="R17" s="68">
        <v>12</v>
      </c>
      <c r="S17" s="67"/>
    </row>
    <row r="18" spans="1:19">
      <c r="A18" s="36" t="s">
        <v>569</v>
      </c>
      <c r="B18" s="36" t="s">
        <v>541</v>
      </c>
      <c r="C18" s="64">
        <v>45707</v>
      </c>
      <c r="D18" s="36"/>
      <c r="I18" s="64">
        <v>46009</v>
      </c>
      <c r="J18" s="64"/>
      <c r="L18" s="66">
        <v>45736</v>
      </c>
      <c r="M18" s="36"/>
      <c r="O18" s="36" t="s">
        <v>570</v>
      </c>
      <c r="P18" s="67">
        <v>51000</v>
      </c>
      <c r="Q18" s="64">
        <v>45770</v>
      </c>
      <c r="R18" s="68">
        <v>24</v>
      </c>
      <c r="S18" s="67"/>
    </row>
    <row r="19" spans="1:19">
      <c r="I19" s="64">
        <v>46013</v>
      </c>
      <c r="J19" s="64"/>
      <c r="O19" s="36" t="s">
        <v>571</v>
      </c>
      <c r="P19" s="67">
        <v>20000</v>
      </c>
      <c r="Q19" s="64">
        <v>45513</v>
      </c>
      <c r="R19" s="68">
        <v>24</v>
      </c>
      <c r="S19" s="67"/>
    </row>
    <row r="20" spans="1:19">
      <c r="L20" t="s">
        <v>572</v>
      </c>
      <c r="O20" s="36" t="s">
        <v>573</v>
      </c>
      <c r="P20" s="67">
        <v>99000</v>
      </c>
      <c r="Q20" s="64">
        <v>45735</v>
      </c>
      <c r="R20" s="68">
        <v>12</v>
      </c>
      <c r="S20" s="67"/>
    </row>
    <row r="21" spans="1:19">
      <c r="L21" s="36" t="s">
        <v>574</v>
      </c>
      <c r="M21" s="36" t="s">
        <v>575</v>
      </c>
      <c r="O21" s="36" t="s">
        <v>576</v>
      </c>
      <c r="P21" s="67">
        <v>290000</v>
      </c>
      <c r="Q21" s="64">
        <v>45708</v>
      </c>
      <c r="R21" s="68">
        <v>12</v>
      </c>
      <c r="S21" s="67"/>
    </row>
    <row r="22" spans="1:19">
      <c r="L22" s="68">
        <v>1</v>
      </c>
      <c r="M22" s="39">
        <v>0.3</v>
      </c>
      <c r="O22" s="36" t="s">
        <v>577</v>
      </c>
      <c r="P22" s="67">
        <v>84000</v>
      </c>
      <c r="Q22" s="64">
        <v>45715</v>
      </c>
      <c r="R22" s="68">
        <v>12</v>
      </c>
      <c r="S22" s="67"/>
    </row>
    <row r="23" spans="1:19">
      <c r="L23" s="68">
        <v>7</v>
      </c>
      <c r="M23" s="39">
        <v>0.2</v>
      </c>
      <c r="O23" s="36" t="s">
        <v>578</v>
      </c>
      <c r="P23" s="67">
        <v>53000</v>
      </c>
      <c r="Q23" s="64">
        <v>45666</v>
      </c>
      <c r="R23" s="68">
        <v>36</v>
      </c>
      <c r="S23" s="67"/>
    </row>
    <row r="24" spans="1:19">
      <c r="L24" s="68">
        <v>12</v>
      </c>
      <c r="M24" s="39">
        <v>0.15</v>
      </c>
      <c r="O24" s="36" t="s">
        <v>579</v>
      </c>
      <c r="P24" s="67">
        <v>27000</v>
      </c>
      <c r="Q24" s="64">
        <v>45555</v>
      </c>
      <c r="R24" s="68">
        <v>24</v>
      </c>
      <c r="S24" s="67"/>
    </row>
    <row r="25" spans="1:19">
      <c r="L25" s="68">
        <v>24</v>
      </c>
      <c r="M25" s="39">
        <v>0.1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S25"/>
  <sheetViews>
    <sheetView workbookViewId="0"/>
  </sheetViews>
  <sheetFormatPr defaultRowHeight="16.5"/>
  <cols>
    <col min="3" max="4" width="10.75" bestFit="1" customWidth="1"/>
    <col min="5" max="5" width="1.625" customWidth="1"/>
    <col min="6" max="6" width="11.375" bestFit="1" customWidth="1"/>
    <col min="7" max="7" width="10.375" bestFit="1" customWidth="1"/>
    <col min="8" max="8" width="1.625" customWidth="1"/>
    <col min="9" max="9" width="11.375" bestFit="1" customWidth="1"/>
    <col min="10" max="10" width="23.125" bestFit="1" customWidth="1"/>
    <col min="11" max="11" width="1.625" customWidth="1"/>
    <col min="13" max="13" width="12.125" bestFit="1" customWidth="1"/>
    <col min="14" max="14" width="1.625" customWidth="1"/>
    <col min="15" max="15" width="10" bestFit="1" customWidth="1"/>
    <col min="17" max="17" width="10.75" bestFit="1" customWidth="1"/>
    <col min="18" max="18" width="13.625" bestFit="1" customWidth="1"/>
    <col min="19" max="19" width="10.75" bestFit="1" customWidth="1"/>
  </cols>
  <sheetData>
    <row r="1" spans="1:19">
      <c r="A1" t="s">
        <v>2</v>
      </c>
      <c r="C1" s="60" t="s">
        <v>512</v>
      </c>
      <c r="D1" s="61">
        <v>45689</v>
      </c>
      <c r="F1" t="s">
        <v>513</v>
      </c>
      <c r="I1" t="s">
        <v>514</v>
      </c>
      <c r="L1" t="s">
        <v>515</v>
      </c>
      <c r="O1" t="s">
        <v>108</v>
      </c>
      <c r="R1" s="60" t="s">
        <v>298</v>
      </c>
      <c r="S1" s="61">
        <v>45787</v>
      </c>
    </row>
    <row r="2" spans="1:19">
      <c r="A2" s="36" t="s">
        <v>114</v>
      </c>
      <c r="B2" s="36" t="s">
        <v>516</v>
      </c>
      <c r="C2" s="36" t="s">
        <v>517</v>
      </c>
      <c r="D2" s="62" t="s">
        <v>518</v>
      </c>
      <c r="F2" s="36" t="s">
        <v>519</v>
      </c>
      <c r="G2" s="36" t="s">
        <v>520</v>
      </c>
      <c r="I2" s="63" t="s">
        <v>521</v>
      </c>
      <c r="J2" s="62" t="s">
        <v>522</v>
      </c>
      <c r="L2" s="36" t="s">
        <v>523</v>
      </c>
      <c r="M2" s="62" t="s">
        <v>524</v>
      </c>
      <c r="O2" s="36" t="s">
        <v>57</v>
      </c>
      <c r="P2" s="36" t="s">
        <v>60</v>
      </c>
      <c r="Q2" s="36" t="s">
        <v>525</v>
      </c>
      <c r="R2" s="36" t="s">
        <v>526</v>
      </c>
      <c r="S2" s="62" t="s">
        <v>289</v>
      </c>
    </row>
    <row r="3" spans="1:19">
      <c r="A3" s="36" t="s">
        <v>527</v>
      </c>
      <c r="B3" s="36" t="s">
        <v>528</v>
      </c>
      <c r="C3" s="64">
        <v>45752</v>
      </c>
      <c r="D3" s="36" t="str">
        <f t="shared" ref="D3:D18" si="0">IF(NETWORKDAYS($D$1,C3,$F$3:$F$10)&lt;0,"",TEXT(NETWORKDAYS($D$1,C3,$F$3:$F$10),"000"))</f>
        <v>045</v>
      </c>
      <c r="F3" s="65">
        <v>45658</v>
      </c>
      <c r="G3" s="36" t="s">
        <v>580</v>
      </c>
      <c r="I3" s="64">
        <v>45674</v>
      </c>
      <c r="J3" s="64" t="str">
        <f>TEXT(WORKDAY(I3,3,$F$3:$F$10),"yyyy년 m월 d일 aaaa")</f>
        <v>2025년 1월 22일 수요일</v>
      </c>
      <c r="L3" s="66">
        <v>45721</v>
      </c>
      <c r="M3" s="36" t="str">
        <f t="shared" ref="M3:M18" si="1">TEXT(EDATE(L3,-1)+1,"mm/dd") &amp; "~" &amp; TEXT(L3,"mm/dd")</f>
        <v>02/06~03/05</v>
      </c>
      <c r="O3" s="36" t="s">
        <v>530</v>
      </c>
      <c r="P3" s="67">
        <v>198000</v>
      </c>
      <c r="Q3" s="64">
        <v>45748</v>
      </c>
      <c r="R3" s="68">
        <v>12</v>
      </c>
      <c r="S3" s="67">
        <f t="shared" ref="S3:S24" si="2">P3*(1-VLOOKUP(QUOTIENT(EDATE(Q3,R3)-$S$1,30),$L$22:$M$25,2))</f>
        <v>158400</v>
      </c>
    </row>
    <row r="4" spans="1:19">
      <c r="A4" s="36" t="s">
        <v>531</v>
      </c>
      <c r="B4" s="36" t="s">
        <v>528</v>
      </c>
      <c r="C4" s="64">
        <v>45697</v>
      </c>
      <c r="D4" s="36" t="str">
        <f t="shared" si="0"/>
        <v>005</v>
      </c>
      <c r="F4" s="65">
        <v>45717</v>
      </c>
      <c r="G4" s="36" t="s">
        <v>581</v>
      </c>
      <c r="I4" s="64">
        <v>45682</v>
      </c>
      <c r="J4" s="64" t="str">
        <f t="shared" ref="J4:J19" si="3">TEXT(WORKDAY(I4,3,$F$3:$F$10),"yyyy년 m월 d일 aaaa")</f>
        <v>2025년 1월 29일 수요일</v>
      </c>
      <c r="L4" s="66">
        <v>45736</v>
      </c>
      <c r="M4" s="36" t="str">
        <f t="shared" si="1"/>
        <v>02/21~03/20</v>
      </c>
      <c r="O4" s="36" t="s">
        <v>533</v>
      </c>
      <c r="P4" s="67">
        <v>126000</v>
      </c>
      <c r="Q4" s="64">
        <v>45772</v>
      </c>
      <c r="R4" s="68">
        <v>36</v>
      </c>
      <c r="S4" s="67">
        <f t="shared" si="2"/>
        <v>113400</v>
      </c>
    </row>
    <row r="5" spans="1:19">
      <c r="A5" s="36" t="s">
        <v>534</v>
      </c>
      <c r="B5" s="36" t="s">
        <v>528</v>
      </c>
      <c r="C5" s="64">
        <v>46000</v>
      </c>
      <c r="D5" s="36" t="str">
        <f t="shared" si="0"/>
        <v>217</v>
      </c>
      <c r="F5" s="65">
        <v>45782</v>
      </c>
      <c r="G5" s="36" t="s">
        <v>582</v>
      </c>
      <c r="I5" s="64">
        <v>45691</v>
      </c>
      <c r="J5" s="64" t="str">
        <f t="shared" si="3"/>
        <v>2025년 2월 6일 목요일</v>
      </c>
      <c r="L5" s="66">
        <v>45721</v>
      </c>
      <c r="M5" s="36" t="str">
        <f t="shared" si="1"/>
        <v>02/06~03/05</v>
      </c>
      <c r="O5" s="36" t="s">
        <v>536</v>
      </c>
      <c r="P5" s="67">
        <v>200000</v>
      </c>
      <c r="Q5" s="64">
        <v>45687</v>
      </c>
      <c r="R5" s="68">
        <v>12</v>
      </c>
      <c r="S5" s="67">
        <f t="shared" si="2"/>
        <v>160000</v>
      </c>
    </row>
    <row r="6" spans="1:19">
      <c r="A6" s="36" t="s">
        <v>537</v>
      </c>
      <c r="B6" s="36" t="s">
        <v>528</v>
      </c>
      <c r="C6" s="64">
        <v>45780</v>
      </c>
      <c r="D6" s="36" t="str">
        <f t="shared" si="0"/>
        <v>065</v>
      </c>
      <c r="F6" s="65">
        <v>45814</v>
      </c>
      <c r="G6" s="36" t="s">
        <v>583</v>
      </c>
      <c r="I6" s="64">
        <v>45728</v>
      </c>
      <c r="J6" s="64" t="str">
        <f t="shared" si="3"/>
        <v>2025년 3월 17일 월요일</v>
      </c>
      <c r="L6" s="66">
        <v>45736</v>
      </c>
      <c r="M6" s="36" t="str">
        <f t="shared" si="1"/>
        <v>02/21~03/20</v>
      </c>
      <c r="O6" s="36" t="s">
        <v>539</v>
      </c>
      <c r="P6" s="67">
        <v>35000</v>
      </c>
      <c r="Q6" s="64">
        <v>45660</v>
      </c>
      <c r="R6" s="68">
        <v>24</v>
      </c>
      <c r="S6" s="67">
        <f t="shared" si="2"/>
        <v>29750</v>
      </c>
    </row>
    <row r="7" spans="1:19">
      <c r="A7" s="36" t="s">
        <v>540</v>
      </c>
      <c r="B7" s="36" t="s">
        <v>541</v>
      </c>
      <c r="C7" s="64">
        <v>45751</v>
      </c>
      <c r="D7" s="36" t="str">
        <f t="shared" si="0"/>
        <v>045</v>
      </c>
      <c r="F7" s="65">
        <v>45884</v>
      </c>
      <c r="G7" s="36" t="s">
        <v>584</v>
      </c>
      <c r="I7" s="64">
        <v>45739</v>
      </c>
      <c r="J7" s="64" t="str">
        <f t="shared" si="3"/>
        <v>2025년 3월 26일 수요일</v>
      </c>
      <c r="L7" s="66">
        <v>45731</v>
      </c>
      <c r="M7" s="36" t="str">
        <f t="shared" si="1"/>
        <v>02/16~03/15</v>
      </c>
      <c r="O7" s="36" t="s">
        <v>543</v>
      </c>
      <c r="P7" s="67">
        <v>70000</v>
      </c>
      <c r="Q7" s="64">
        <v>45601</v>
      </c>
      <c r="R7" s="68">
        <v>12</v>
      </c>
      <c r="S7" s="67">
        <f t="shared" si="2"/>
        <v>49000</v>
      </c>
    </row>
    <row r="8" spans="1:19">
      <c r="A8" s="36" t="s">
        <v>544</v>
      </c>
      <c r="B8" s="36" t="s">
        <v>528</v>
      </c>
      <c r="C8" s="64">
        <v>45693</v>
      </c>
      <c r="D8" s="36" t="str">
        <f t="shared" si="0"/>
        <v>003</v>
      </c>
      <c r="F8" s="65">
        <v>45933</v>
      </c>
      <c r="G8" s="36" t="s">
        <v>545</v>
      </c>
      <c r="I8" s="64">
        <v>45746</v>
      </c>
      <c r="J8" s="64" t="str">
        <f t="shared" si="3"/>
        <v>2025년 4월 2일 수요일</v>
      </c>
      <c r="L8" s="66">
        <v>45721</v>
      </c>
      <c r="M8" s="36" t="str">
        <f t="shared" si="1"/>
        <v>02/06~03/05</v>
      </c>
      <c r="O8" s="36" t="s">
        <v>547</v>
      </c>
      <c r="P8" s="67">
        <v>100000</v>
      </c>
      <c r="Q8" s="64">
        <v>45677</v>
      </c>
      <c r="R8" s="68">
        <v>12</v>
      </c>
      <c r="S8" s="67">
        <f t="shared" si="2"/>
        <v>80000</v>
      </c>
    </row>
    <row r="9" spans="1:19">
      <c r="A9" s="36" t="s">
        <v>548</v>
      </c>
      <c r="B9" s="36" t="s">
        <v>541</v>
      </c>
      <c r="C9" s="64">
        <v>45718</v>
      </c>
      <c r="D9" s="36" t="str">
        <f t="shared" si="0"/>
        <v>020</v>
      </c>
      <c r="F9" s="65">
        <v>45939</v>
      </c>
      <c r="G9" s="36" t="s">
        <v>585</v>
      </c>
      <c r="I9" s="64">
        <v>45768</v>
      </c>
      <c r="J9" s="64" t="str">
        <f t="shared" si="3"/>
        <v>2025년 4월 24일 목요일</v>
      </c>
      <c r="L9" s="66">
        <v>45726</v>
      </c>
      <c r="M9" s="36" t="str">
        <f t="shared" si="1"/>
        <v>02/11~03/10</v>
      </c>
      <c r="O9" s="36" t="s">
        <v>550</v>
      </c>
      <c r="P9" s="67">
        <v>35000</v>
      </c>
      <c r="Q9" s="64">
        <v>45698</v>
      </c>
      <c r="R9" s="68">
        <v>24</v>
      </c>
      <c r="S9" s="67">
        <f t="shared" si="2"/>
        <v>29750</v>
      </c>
    </row>
    <row r="10" spans="1:19">
      <c r="A10" s="36" t="s">
        <v>551</v>
      </c>
      <c r="B10" s="36" t="s">
        <v>552</v>
      </c>
      <c r="C10" s="64">
        <v>45660</v>
      </c>
      <c r="D10" s="36" t="str">
        <f t="shared" si="0"/>
        <v/>
      </c>
      <c r="F10" s="65">
        <v>46016</v>
      </c>
      <c r="G10" s="36" t="s">
        <v>586</v>
      </c>
      <c r="I10" s="64">
        <v>45778</v>
      </c>
      <c r="J10" s="64" t="str">
        <f t="shared" si="3"/>
        <v>2025년 5월 7일 수요일</v>
      </c>
      <c r="L10" s="66">
        <v>45736</v>
      </c>
      <c r="M10" s="36" t="str">
        <f t="shared" si="1"/>
        <v>02/21~03/20</v>
      </c>
      <c r="O10" s="36" t="s">
        <v>554</v>
      </c>
      <c r="P10" s="67">
        <v>59000</v>
      </c>
      <c r="Q10" s="64">
        <v>45651</v>
      </c>
      <c r="R10" s="68">
        <v>12</v>
      </c>
      <c r="S10" s="67">
        <f t="shared" si="2"/>
        <v>47200</v>
      </c>
    </row>
    <row r="11" spans="1:19">
      <c r="A11" s="36" t="s">
        <v>555</v>
      </c>
      <c r="B11" s="36" t="s">
        <v>528</v>
      </c>
      <c r="C11" s="64">
        <v>45708</v>
      </c>
      <c r="D11" s="36" t="str">
        <f t="shared" si="0"/>
        <v>014</v>
      </c>
      <c r="I11" s="64">
        <v>45794</v>
      </c>
      <c r="J11" s="64" t="str">
        <f t="shared" si="3"/>
        <v>2025년 5월 21일 수요일</v>
      </c>
      <c r="L11" s="66">
        <v>45721</v>
      </c>
      <c r="M11" s="36" t="str">
        <f t="shared" si="1"/>
        <v>02/06~03/05</v>
      </c>
      <c r="O11" s="36" t="s">
        <v>556</v>
      </c>
      <c r="P11" s="67">
        <v>50000</v>
      </c>
      <c r="Q11" s="64">
        <v>45766</v>
      </c>
      <c r="R11" s="68">
        <v>24</v>
      </c>
      <c r="S11" s="67">
        <f t="shared" si="2"/>
        <v>42500</v>
      </c>
    </row>
    <row r="12" spans="1:19">
      <c r="A12" s="36" t="s">
        <v>557</v>
      </c>
      <c r="B12" s="36" t="s">
        <v>528</v>
      </c>
      <c r="C12" s="64">
        <v>45694</v>
      </c>
      <c r="D12" s="36" t="str">
        <f t="shared" si="0"/>
        <v>004</v>
      </c>
      <c r="I12" s="64">
        <v>45797</v>
      </c>
      <c r="J12" s="64" t="str">
        <f t="shared" si="3"/>
        <v>2025년 5월 23일 금요일</v>
      </c>
      <c r="L12" s="66">
        <v>45736</v>
      </c>
      <c r="M12" s="36" t="str">
        <f t="shared" si="1"/>
        <v>02/21~03/20</v>
      </c>
      <c r="O12" s="36" t="s">
        <v>558</v>
      </c>
      <c r="P12" s="67">
        <v>30000</v>
      </c>
      <c r="Q12" s="64">
        <v>45635</v>
      </c>
      <c r="R12" s="69">
        <v>12</v>
      </c>
      <c r="S12" s="67">
        <f t="shared" si="2"/>
        <v>24000</v>
      </c>
    </row>
    <row r="13" spans="1:19">
      <c r="A13" s="36" t="s">
        <v>559</v>
      </c>
      <c r="B13" s="36" t="s">
        <v>528</v>
      </c>
      <c r="C13" s="64">
        <v>45780</v>
      </c>
      <c r="D13" s="36" t="str">
        <f t="shared" si="0"/>
        <v>065</v>
      </c>
      <c r="I13" s="64">
        <v>45812</v>
      </c>
      <c r="J13" s="64" t="str">
        <f t="shared" si="3"/>
        <v>2025년 6월 10일 화요일</v>
      </c>
      <c r="L13" s="66">
        <v>45736</v>
      </c>
      <c r="M13" s="36" t="str">
        <f t="shared" si="1"/>
        <v>02/21~03/20</v>
      </c>
      <c r="O13" s="36" t="s">
        <v>560</v>
      </c>
      <c r="P13" s="67">
        <v>120000</v>
      </c>
      <c r="Q13" s="64">
        <v>45772</v>
      </c>
      <c r="R13" s="68">
        <v>12</v>
      </c>
      <c r="S13" s="67">
        <f t="shared" si="2"/>
        <v>96000</v>
      </c>
    </row>
    <row r="14" spans="1:19">
      <c r="A14" s="36" t="s">
        <v>561</v>
      </c>
      <c r="B14" s="36" t="s">
        <v>541</v>
      </c>
      <c r="C14" s="64">
        <v>45767</v>
      </c>
      <c r="D14" s="36" t="str">
        <f t="shared" si="0"/>
        <v>055</v>
      </c>
      <c r="I14" s="64">
        <v>45889</v>
      </c>
      <c r="J14" s="64" t="str">
        <f t="shared" si="3"/>
        <v>2025년 8월 25일 월요일</v>
      </c>
      <c r="L14" s="66">
        <v>45726</v>
      </c>
      <c r="M14" s="36" t="str">
        <f t="shared" si="1"/>
        <v>02/11~03/10</v>
      </c>
      <c r="O14" s="36" t="s">
        <v>562</v>
      </c>
      <c r="P14" s="67">
        <v>35000</v>
      </c>
      <c r="Q14" s="64">
        <v>45588</v>
      </c>
      <c r="R14" s="68">
        <v>12</v>
      </c>
      <c r="S14" s="67">
        <f t="shared" si="2"/>
        <v>24500</v>
      </c>
    </row>
    <row r="15" spans="1:19">
      <c r="A15" s="36" t="s">
        <v>563</v>
      </c>
      <c r="B15" s="36" t="s">
        <v>552</v>
      </c>
      <c r="C15" s="64">
        <v>45731</v>
      </c>
      <c r="D15" s="36" t="str">
        <f t="shared" si="0"/>
        <v>030</v>
      </c>
      <c r="I15" s="64">
        <v>45927</v>
      </c>
      <c r="J15" s="64" t="str">
        <f t="shared" si="3"/>
        <v>2025년 10월 1일 수요일</v>
      </c>
      <c r="L15" s="66">
        <v>45731</v>
      </c>
      <c r="M15" s="36" t="str">
        <f t="shared" si="1"/>
        <v>02/16~03/15</v>
      </c>
      <c r="O15" s="36" t="s">
        <v>564</v>
      </c>
      <c r="P15" s="67">
        <v>40000</v>
      </c>
      <c r="Q15" s="64">
        <v>45296</v>
      </c>
      <c r="R15" s="68">
        <v>24</v>
      </c>
      <c r="S15" s="67">
        <f t="shared" si="2"/>
        <v>32000</v>
      </c>
    </row>
    <row r="16" spans="1:19">
      <c r="A16" s="36" t="s">
        <v>565</v>
      </c>
      <c r="B16" s="36" t="s">
        <v>541</v>
      </c>
      <c r="C16" s="64">
        <v>45772</v>
      </c>
      <c r="D16" s="36" t="str">
        <f t="shared" si="0"/>
        <v>060</v>
      </c>
      <c r="I16" s="64">
        <v>45928</v>
      </c>
      <c r="J16" s="64" t="str">
        <f t="shared" si="3"/>
        <v>2025년 10월 1일 수요일</v>
      </c>
      <c r="L16" s="66">
        <v>45726</v>
      </c>
      <c r="M16" s="36" t="str">
        <f t="shared" si="1"/>
        <v>02/11~03/10</v>
      </c>
      <c r="O16" s="36" t="s">
        <v>566</v>
      </c>
      <c r="P16" s="67">
        <v>165000</v>
      </c>
      <c r="Q16" s="64">
        <v>45631</v>
      </c>
      <c r="R16" s="68">
        <v>12</v>
      </c>
      <c r="S16" s="67">
        <f t="shared" si="2"/>
        <v>115499.99999999999</v>
      </c>
    </row>
    <row r="17" spans="1:19">
      <c r="A17" s="36" t="s">
        <v>567</v>
      </c>
      <c r="B17" s="36" t="s">
        <v>552</v>
      </c>
      <c r="C17" s="64">
        <v>45807</v>
      </c>
      <c r="D17" s="36" t="str">
        <f t="shared" si="0"/>
        <v>084</v>
      </c>
      <c r="I17" s="64">
        <v>45947</v>
      </c>
      <c r="J17" s="64" t="str">
        <f t="shared" si="3"/>
        <v>2025년 10월 22일 수요일</v>
      </c>
      <c r="L17" s="66">
        <v>45726</v>
      </c>
      <c r="M17" s="36" t="str">
        <f t="shared" si="1"/>
        <v>02/11~03/10</v>
      </c>
      <c r="O17" s="36" t="s">
        <v>568</v>
      </c>
      <c r="P17" s="67">
        <v>140000</v>
      </c>
      <c r="Q17" s="64">
        <v>45601</v>
      </c>
      <c r="R17" s="68">
        <v>12</v>
      </c>
      <c r="S17" s="67">
        <f t="shared" si="2"/>
        <v>98000</v>
      </c>
    </row>
    <row r="18" spans="1:19">
      <c r="A18" s="36" t="s">
        <v>569</v>
      </c>
      <c r="B18" s="36" t="s">
        <v>541</v>
      </c>
      <c r="C18" s="64">
        <v>45707</v>
      </c>
      <c r="D18" s="36" t="str">
        <f t="shared" si="0"/>
        <v>013</v>
      </c>
      <c r="I18" s="64">
        <v>46009</v>
      </c>
      <c r="J18" s="64" t="str">
        <f t="shared" si="3"/>
        <v>2025년 12월 23일 화요일</v>
      </c>
      <c r="L18" s="66">
        <v>45736</v>
      </c>
      <c r="M18" s="36" t="str">
        <f t="shared" si="1"/>
        <v>02/21~03/20</v>
      </c>
      <c r="O18" s="36" t="s">
        <v>570</v>
      </c>
      <c r="P18" s="67">
        <v>51000</v>
      </c>
      <c r="Q18" s="64">
        <v>45770</v>
      </c>
      <c r="R18" s="68">
        <v>24</v>
      </c>
      <c r="S18" s="67">
        <f t="shared" si="2"/>
        <v>43350</v>
      </c>
    </row>
    <row r="19" spans="1:19">
      <c r="I19" s="64">
        <v>46013</v>
      </c>
      <c r="J19" s="64" t="str">
        <f t="shared" si="3"/>
        <v>2025년 12월 26일 금요일</v>
      </c>
      <c r="O19" s="36" t="s">
        <v>571</v>
      </c>
      <c r="P19" s="67">
        <v>20000</v>
      </c>
      <c r="Q19" s="64">
        <v>45513</v>
      </c>
      <c r="R19" s="68">
        <v>24</v>
      </c>
      <c r="S19" s="67">
        <f t="shared" si="2"/>
        <v>17000</v>
      </c>
    </row>
    <row r="20" spans="1:19">
      <c r="L20" t="s">
        <v>587</v>
      </c>
      <c r="O20" s="36" t="s">
        <v>573</v>
      </c>
      <c r="P20" s="67">
        <v>99000</v>
      </c>
      <c r="Q20" s="64">
        <v>45735</v>
      </c>
      <c r="R20" s="68">
        <v>12</v>
      </c>
      <c r="S20" s="67">
        <f t="shared" si="2"/>
        <v>79200</v>
      </c>
    </row>
    <row r="21" spans="1:19">
      <c r="L21" s="36" t="s">
        <v>588</v>
      </c>
      <c r="M21" s="36" t="s">
        <v>589</v>
      </c>
      <c r="O21" s="36" t="s">
        <v>576</v>
      </c>
      <c r="P21" s="67">
        <v>290000</v>
      </c>
      <c r="Q21" s="64">
        <v>45708</v>
      </c>
      <c r="R21" s="68">
        <v>12</v>
      </c>
      <c r="S21" s="67">
        <f t="shared" si="2"/>
        <v>232000</v>
      </c>
    </row>
    <row r="22" spans="1:19">
      <c r="L22" s="68">
        <v>1</v>
      </c>
      <c r="M22" s="39">
        <v>0.3</v>
      </c>
      <c r="O22" s="36" t="s">
        <v>577</v>
      </c>
      <c r="P22" s="67">
        <v>84000</v>
      </c>
      <c r="Q22" s="64">
        <v>45715</v>
      </c>
      <c r="R22" s="68">
        <v>12</v>
      </c>
      <c r="S22" s="67">
        <f t="shared" si="2"/>
        <v>67200</v>
      </c>
    </row>
    <row r="23" spans="1:19">
      <c r="L23" s="68">
        <v>7</v>
      </c>
      <c r="M23" s="39">
        <v>0.2</v>
      </c>
      <c r="O23" s="36" t="s">
        <v>578</v>
      </c>
      <c r="P23" s="67">
        <v>53000</v>
      </c>
      <c r="Q23" s="64">
        <v>45666</v>
      </c>
      <c r="R23" s="68">
        <v>36</v>
      </c>
      <c r="S23" s="67">
        <f t="shared" si="2"/>
        <v>47700</v>
      </c>
    </row>
    <row r="24" spans="1:19">
      <c r="L24" s="68">
        <v>12</v>
      </c>
      <c r="M24" s="39">
        <v>0.15</v>
      </c>
      <c r="O24" s="36" t="s">
        <v>579</v>
      </c>
      <c r="P24" s="67">
        <v>27000</v>
      </c>
      <c r="Q24" s="64">
        <v>45555</v>
      </c>
      <c r="R24" s="68">
        <v>24</v>
      </c>
      <c r="S24" s="67">
        <f t="shared" si="2"/>
        <v>22950</v>
      </c>
    </row>
    <row r="25" spans="1:19">
      <c r="L25" s="68">
        <v>24</v>
      </c>
      <c r="M25" s="39">
        <v>0.1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2"/>
  <dimension ref="A1:M30"/>
  <sheetViews>
    <sheetView zoomScaleNormal="100" workbookViewId="0"/>
  </sheetViews>
  <sheetFormatPr defaultRowHeight="16.5"/>
  <cols>
    <col min="2" max="2" width="9.875" bestFit="1" customWidth="1"/>
    <col min="3" max="3" width="1.625" customWidth="1"/>
    <col min="4" max="4" width="40.125" bestFit="1" customWidth="1"/>
    <col min="5" max="5" width="18" bestFit="1" customWidth="1"/>
    <col min="7" max="7" width="20.25" bestFit="1" customWidth="1"/>
    <col min="8" max="8" width="1.625" customWidth="1"/>
    <col min="9" max="9" width="13.375" bestFit="1" customWidth="1"/>
    <col min="10" max="10" width="19.75" bestFit="1" customWidth="1"/>
    <col min="11" max="11" width="1.625" customWidth="1"/>
    <col min="12" max="12" width="12.25" customWidth="1"/>
    <col min="13" max="13" width="13.125" bestFit="1" customWidth="1"/>
  </cols>
  <sheetData>
    <row r="1" spans="1:13">
      <c r="A1" t="s">
        <v>590</v>
      </c>
      <c r="D1" t="s">
        <v>591</v>
      </c>
      <c r="I1" t="s">
        <v>592</v>
      </c>
      <c r="L1" s="35" t="s">
        <v>593</v>
      </c>
      <c r="M1" s="35"/>
    </row>
    <row r="2" spans="1:13">
      <c r="A2" s="36" t="s">
        <v>594</v>
      </c>
      <c r="B2" s="37" t="s">
        <v>595</v>
      </c>
      <c r="D2" s="36" t="s">
        <v>596</v>
      </c>
      <c r="E2" s="36" t="s">
        <v>597</v>
      </c>
      <c r="F2" s="36" t="s">
        <v>598</v>
      </c>
      <c r="G2" s="37" t="s">
        <v>599</v>
      </c>
      <c r="I2" s="36" t="s">
        <v>600</v>
      </c>
      <c r="J2" s="37" t="s">
        <v>601</v>
      </c>
      <c r="L2" s="29" t="s">
        <v>602</v>
      </c>
      <c r="M2" s="37" t="s">
        <v>603</v>
      </c>
    </row>
    <row r="3" spans="1:13">
      <c r="A3" s="36" t="s">
        <v>604</v>
      </c>
      <c r="B3" s="36"/>
      <c r="D3" s="68" t="s">
        <v>634</v>
      </c>
      <c r="E3" s="68" t="s">
        <v>635</v>
      </c>
      <c r="F3" s="67">
        <v>4050</v>
      </c>
      <c r="G3" s="36"/>
      <c r="I3" s="68" t="s">
        <v>636</v>
      </c>
      <c r="J3" s="68"/>
      <c r="L3" s="29" t="s">
        <v>637</v>
      </c>
      <c r="M3" s="29"/>
    </row>
    <row r="4" spans="1:13">
      <c r="A4" s="36" t="s">
        <v>605</v>
      </c>
      <c r="B4" s="36"/>
      <c r="D4" s="68" t="s">
        <v>638</v>
      </c>
      <c r="E4" s="68" t="s">
        <v>639</v>
      </c>
      <c r="F4" s="67">
        <v>2025</v>
      </c>
      <c r="G4" s="36"/>
      <c r="I4" s="68" t="s">
        <v>640</v>
      </c>
      <c r="J4" s="68"/>
      <c r="L4" s="29" t="s">
        <v>641</v>
      </c>
      <c r="M4" s="29"/>
    </row>
    <row r="5" spans="1:13">
      <c r="A5" s="36" t="s">
        <v>606</v>
      </c>
      <c r="B5" s="36"/>
      <c r="D5" s="70" t="s">
        <v>642</v>
      </c>
      <c r="E5" s="68" t="s">
        <v>643</v>
      </c>
      <c r="F5" s="67">
        <v>7935</v>
      </c>
      <c r="G5" s="36"/>
      <c r="I5" s="68" t="s">
        <v>644</v>
      </c>
      <c r="J5" s="68"/>
      <c r="L5" s="29" t="s">
        <v>645</v>
      </c>
      <c r="M5" s="29"/>
    </row>
    <row r="6" spans="1:13">
      <c r="A6" s="36" t="s">
        <v>607</v>
      </c>
      <c r="B6" s="36"/>
      <c r="D6" s="68" t="s">
        <v>646</v>
      </c>
      <c r="E6" s="68" t="s">
        <v>647</v>
      </c>
      <c r="F6" s="67">
        <v>945</v>
      </c>
      <c r="G6" s="36"/>
      <c r="I6" s="68" t="s">
        <v>648</v>
      </c>
      <c r="J6" s="68"/>
      <c r="L6" s="29" t="s">
        <v>649</v>
      </c>
      <c r="M6" s="29"/>
    </row>
    <row r="7" spans="1:13">
      <c r="A7" s="36" t="s">
        <v>608</v>
      </c>
      <c r="B7" s="36"/>
      <c r="D7" s="68" t="s">
        <v>650</v>
      </c>
      <c r="E7" s="68" t="s">
        <v>651</v>
      </c>
      <c r="F7" s="67">
        <v>6075</v>
      </c>
      <c r="G7" s="36"/>
      <c r="I7" s="68" t="s">
        <v>652</v>
      </c>
      <c r="J7" s="68"/>
      <c r="L7" s="29" t="s">
        <v>653</v>
      </c>
      <c r="M7" s="29"/>
    </row>
    <row r="8" spans="1:13">
      <c r="A8" s="36" t="s">
        <v>609</v>
      </c>
      <c r="B8" s="36"/>
      <c r="D8" s="68" t="s">
        <v>654</v>
      </c>
      <c r="E8" s="68" t="s">
        <v>610</v>
      </c>
      <c r="F8" s="67">
        <v>7452</v>
      </c>
      <c r="G8" s="36"/>
      <c r="I8" s="68" t="s">
        <v>655</v>
      </c>
      <c r="J8" s="68"/>
      <c r="L8" s="29" t="s">
        <v>656</v>
      </c>
      <c r="M8" s="29"/>
    </row>
    <row r="9" spans="1:13">
      <c r="A9" s="36" t="s">
        <v>611</v>
      </c>
      <c r="B9" s="36"/>
      <c r="D9" s="68" t="s">
        <v>657</v>
      </c>
      <c r="E9" s="68" t="s">
        <v>658</v>
      </c>
      <c r="F9" s="67">
        <v>3888</v>
      </c>
      <c r="G9" s="36"/>
      <c r="I9" s="68" t="s">
        <v>659</v>
      </c>
      <c r="J9" s="68"/>
      <c r="L9" s="29" t="s">
        <v>660</v>
      </c>
      <c r="M9" s="29"/>
    </row>
    <row r="10" spans="1:13">
      <c r="A10" s="36" t="s">
        <v>612</v>
      </c>
      <c r="B10" s="36"/>
      <c r="D10" s="68" t="s">
        <v>661</v>
      </c>
      <c r="E10" s="68" t="s">
        <v>662</v>
      </c>
      <c r="F10" s="67">
        <v>1395</v>
      </c>
      <c r="G10" s="36"/>
      <c r="I10" s="68" t="s">
        <v>663</v>
      </c>
      <c r="J10" s="68"/>
      <c r="L10" s="29" t="s">
        <v>664</v>
      </c>
      <c r="M10" s="29"/>
    </row>
    <row r="11" spans="1:13">
      <c r="A11" s="36" t="s">
        <v>613</v>
      </c>
      <c r="B11" s="36"/>
      <c r="D11" s="68" t="s">
        <v>665</v>
      </c>
      <c r="E11" s="68" t="s">
        <v>666</v>
      </c>
      <c r="F11" s="67">
        <v>8645</v>
      </c>
      <c r="G11" s="36"/>
      <c r="I11" s="68" t="s">
        <v>667</v>
      </c>
      <c r="J11" s="68"/>
      <c r="L11" s="29" t="s">
        <v>668</v>
      </c>
      <c r="M11" s="29"/>
    </row>
    <row r="12" spans="1:13">
      <c r="A12" s="36" t="s">
        <v>614</v>
      </c>
      <c r="B12" s="36"/>
      <c r="D12" s="68" t="s">
        <v>615</v>
      </c>
      <c r="E12" s="68" t="s">
        <v>669</v>
      </c>
      <c r="F12" s="67">
        <v>7425</v>
      </c>
      <c r="G12" s="36"/>
      <c r="I12" s="68" t="s">
        <v>670</v>
      </c>
      <c r="J12" s="68"/>
      <c r="L12" s="29" t="s">
        <v>671</v>
      </c>
      <c r="M12" s="29"/>
    </row>
    <row r="13" spans="1:13">
      <c r="A13" s="36" t="s">
        <v>616</v>
      </c>
      <c r="B13" s="36"/>
      <c r="D13" s="68" t="s">
        <v>672</v>
      </c>
      <c r="E13" s="68" t="s">
        <v>673</v>
      </c>
      <c r="F13" s="67">
        <v>4734</v>
      </c>
      <c r="G13" s="36"/>
      <c r="I13" s="68" t="s">
        <v>674</v>
      </c>
      <c r="J13" s="68"/>
      <c r="L13" s="29" t="s">
        <v>675</v>
      </c>
      <c r="M13" s="29"/>
    </row>
    <row r="14" spans="1:13">
      <c r="A14" s="36" t="s">
        <v>617</v>
      </c>
      <c r="B14" s="36"/>
      <c r="D14" s="68" t="s">
        <v>676</v>
      </c>
      <c r="E14" s="68" t="s">
        <v>677</v>
      </c>
      <c r="F14" s="67">
        <v>1701</v>
      </c>
      <c r="G14" s="36"/>
      <c r="I14" s="68" t="s">
        <v>678</v>
      </c>
      <c r="J14" s="68"/>
      <c r="L14" s="29" t="s">
        <v>679</v>
      </c>
      <c r="M14" s="29"/>
    </row>
    <row r="15" spans="1:13">
      <c r="A15" s="36" t="s">
        <v>618</v>
      </c>
      <c r="B15" s="36"/>
      <c r="D15" s="68" t="s">
        <v>680</v>
      </c>
      <c r="E15" s="68" t="s">
        <v>681</v>
      </c>
      <c r="F15" s="67">
        <v>9508</v>
      </c>
      <c r="G15" s="36"/>
      <c r="I15" s="68" t="s">
        <v>682</v>
      </c>
      <c r="J15" s="68"/>
      <c r="L15" s="29" t="s">
        <v>683</v>
      </c>
      <c r="M15" s="29"/>
    </row>
    <row r="16" spans="1:13">
      <c r="A16" s="36" t="s">
        <v>619</v>
      </c>
      <c r="B16" s="36"/>
      <c r="D16" s="68" t="s">
        <v>684</v>
      </c>
      <c r="E16" s="68" t="s">
        <v>685</v>
      </c>
      <c r="F16" s="67">
        <v>4815</v>
      </c>
      <c r="G16" s="36"/>
      <c r="I16" s="68" t="s">
        <v>686</v>
      </c>
      <c r="J16" s="68"/>
      <c r="L16" s="29" t="s">
        <v>687</v>
      </c>
      <c r="M16" s="29"/>
    </row>
    <row r="17" spans="1:10">
      <c r="A17" s="36" t="s">
        <v>620</v>
      </c>
      <c r="B17" s="36"/>
      <c r="D17" s="68" t="s">
        <v>688</v>
      </c>
      <c r="E17" s="68" t="s">
        <v>689</v>
      </c>
      <c r="F17" s="67">
        <v>5025</v>
      </c>
      <c r="G17" s="36"/>
      <c r="I17" s="68" t="s">
        <v>690</v>
      </c>
      <c r="J17" s="68"/>
    </row>
    <row r="18" spans="1:10">
      <c r="A18" s="36" t="s">
        <v>621</v>
      </c>
      <c r="B18" s="36"/>
      <c r="D18" s="68" t="s">
        <v>691</v>
      </c>
      <c r="E18" s="68" t="s">
        <v>692</v>
      </c>
      <c r="F18" s="67">
        <v>6926</v>
      </c>
      <c r="G18" s="36"/>
      <c r="I18" s="68" t="s">
        <v>693</v>
      </c>
      <c r="J18" s="68"/>
    </row>
    <row r="19" spans="1:10">
      <c r="A19" s="36" t="s">
        <v>622</v>
      </c>
      <c r="B19" s="36"/>
      <c r="D19" s="68" t="s">
        <v>694</v>
      </c>
      <c r="E19" s="68" t="s">
        <v>695</v>
      </c>
      <c r="F19" s="67">
        <v>8415</v>
      </c>
      <c r="G19" s="36"/>
      <c r="I19" s="68" t="s">
        <v>696</v>
      </c>
      <c r="J19" s="68"/>
    </row>
    <row r="20" spans="1:10">
      <c r="A20" s="36" t="s">
        <v>623</v>
      </c>
      <c r="B20" s="36"/>
      <c r="D20" s="68" t="s">
        <v>697</v>
      </c>
      <c r="E20" s="68" t="s">
        <v>698</v>
      </c>
      <c r="F20" s="67">
        <v>3159</v>
      </c>
      <c r="G20" s="36"/>
      <c r="I20" s="68" t="s">
        <v>699</v>
      </c>
      <c r="J20" s="68"/>
    </row>
    <row r="21" spans="1:10">
      <c r="A21" s="36" t="s">
        <v>624</v>
      </c>
      <c r="B21" s="36"/>
      <c r="D21" s="68" t="s">
        <v>700</v>
      </c>
      <c r="E21" s="68" t="s">
        <v>701</v>
      </c>
      <c r="F21" s="67">
        <v>4131</v>
      </c>
      <c r="G21" s="36"/>
      <c r="I21" s="68" t="s">
        <v>702</v>
      </c>
      <c r="J21" s="68"/>
    </row>
    <row r="22" spans="1:10">
      <c r="A22" s="36" t="s">
        <v>625</v>
      </c>
      <c r="B22" s="36"/>
      <c r="D22" s="68" t="s">
        <v>703</v>
      </c>
      <c r="E22" s="68" t="s">
        <v>704</v>
      </c>
      <c r="F22" s="67">
        <v>7209</v>
      </c>
      <c r="G22" s="36"/>
    </row>
    <row r="23" spans="1:10">
      <c r="A23" s="36" t="s">
        <v>626</v>
      </c>
      <c r="B23" s="36"/>
      <c r="D23" s="68" t="s">
        <v>705</v>
      </c>
      <c r="E23" s="68" t="s">
        <v>706</v>
      </c>
      <c r="F23" s="67">
        <v>4698</v>
      </c>
      <c r="G23" s="36"/>
    </row>
    <row r="24" spans="1:10">
      <c r="A24" s="36" t="s">
        <v>627</v>
      </c>
      <c r="B24" s="36"/>
      <c r="D24" s="68" t="s">
        <v>707</v>
      </c>
      <c r="E24" s="68" t="s">
        <v>708</v>
      </c>
      <c r="F24" s="67">
        <v>3501</v>
      </c>
      <c r="G24" s="36"/>
    </row>
    <row r="25" spans="1:10">
      <c r="A25" s="36" t="s">
        <v>628</v>
      </c>
      <c r="B25" s="36"/>
      <c r="D25" s="68" t="s">
        <v>709</v>
      </c>
      <c r="E25" s="68" t="s">
        <v>710</v>
      </c>
      <c r="F25" s="67">
        <v>7533</v>
      </c>
      <c r="G25" s="36"/>
    </row>
    <row r="26" spans="1:10">
      <c r="A26" s="36" t="s">
        <v>629</v>
      </c>
      <c r="B26" s="36"/>
      <c r="D26" s="68" t="s">
        <v>711</v>
      </c>
      <c r="E26" s="68" t="s">
        <v>712</v>
      </c>
      <c r="F26" s="67">
        <v>5701</v>
      </c>
      <c r="G26" s="36"/>
    </row>
    <row r="27" spans="1:10">
      <c r="A27" s="36" t="s">
        <v>630</v>
      </c>
      <c r="B27" s="36"/>
      <c r="D27" s="68" t="s">
        <v>713</v>
      </c>
      <c r="E27" s="68" t="s">
        <v>714</v>
      </c>
      <c r="F27" s="67">
        <v>5625</v>
      </c>
      <c r="G27" s="36"/>
    </row>
    <row r="28" spans="1:10">
      <c r="A28" s="36" t="s">
        <v>631</v>
      </c>
      <c r="B28" s="36"/>
    </row>
    <row r="29" spans="1:10">
      <c r="A29" s="36" t="s">
        <v>632</v>
      </c>
      <c r="B29" s="36"/>
    </row>
    <row r="30" spans="1:10">
      <c r="A30" s="36" t="s">
        <v>633</v>
      </c>
      <c r="B30" s="36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3"/>
  <dimension ref="A1:M30"/>
  <sheetViews>
    <sheetView workbookViewId="0"/>
  </sheetViews>
  <sheetFormatPr defaultRowHeight="16.5"/>
  <cols>
    <col min="2" max="2" width="9.875" bestFit="1" customWidth="1"/>
    <col min="3" max="3" width="1.625" customWidth="1"/>
    <col min="4" max="4" width="40.125" bestFit="1" customWidth="1"/>
    <col min="5" max="5" width="18" bestFit="1" customWidth="1"/>
    <col min="7" max="7" width="20.25" bestFit="1" customWidth="1"/>
    <col min="8" max="8" width="1.625" customWidth="1"/>
    <col min="9" max="9" width="13.375" bestFit="1" customWidth="1"/>
    <col min="10" max="10" width="19.75" bestFit="1" customWidth="1"/>
    <col min="11" max="11" width="1.625" customWidth="1"/>
    <col min="12" max="12" width="12.25" customWidth="1"/>
    <col min="13" max="13" width="13.125" bestFit="1" customWidth="1"/>
  </cols>
  <sheetData>
    <row r="1" spans="1:13">
      <c r="A1" t="s">
        <v>590</v>
      </c>
      <c r="D1" t="s">
        <v>591</v>
      </c>
      <c r="I1" t="s">
        <v>592</v>
      </c>
      <c r="L1" s="35" t="s">
        <v>593</v>
      </c>
      <c r="M1" s="35"/>
    </row>
    <row r="2" spans="1:13">
      <c r="A2" s="36" t="s">
        <v>594</v>
      </c>
      <c r="B2" s="37" t="s">
        <v>595</v>
      </c>
      <c r="D2" s="36" t="s">
        <v>596</v>
      </c>
      <c r="E2" s="36" t="s">
        <v>597</v>
      </c>
      <c r="F2" s="36" t="s">
        <v>598</v>
      </c>
      <c r="G2" s="37" t="s">
        <v>599</v>
      </c>
      <c r="I2" s="36" t="s">
        <v>600</v>
      </c>
      <c r="J2" s="37" t="s">
        <v>601</v>
      </c>
      <c r="L2" s="29" t="s">
        <v>602</v>
      </c>
      <c r="M2" s="37" t="s">
        <v>603</v>
      </c>
    </row>
    <row r="3" spans="1:13">
      <c r="A3" s="36" t="s">
        <v>604</v>
      </c>
      <c r="B3" s="36" t="str">
        <f>_xlfn.CONCAT(SUBSTITUTE(A3,MID(A3,2,1),"*")," 가족")</f>
        <v>이*주 가족</v>
      </c>
      <c r="D3" s="68" t="s">
        <v>634</v>
      </c>
      <c r="E3" s="68" t="s">
        <v>635</v>
      </c>
      <c r="F3" s="67">
        <v>4050</v>
      </c>
      <c r="G3" s="36" t="str">
        <f>_xlfn.CONCAT(REPT("★",QUOTIENT(F3,1000)),REPT("☆",10-QUOTIENT(F3,1000)))</f>
        <v>★★★★☆☆☆☆☆☆</v>
      </c>
      <c r="I3" s="68" t="s">
        <v>636</v>
      </c>
      <c r="J3" s="68" t="str">
        <f t="shared" ref="J3:J21" si="0">PROPER(SUBSTITUTE(I3,".kr","@상공.kr"))</f>
        <v>Naver05@상공.Kr</v>
      </c>
      <c r="L3" s="29" t="s">
        <v>637</v>
      </c>
      <c r="M3" s="29" t="str">
        <f>CHOOSE(MOD(VALUE(RIGHT(L3,4)),4)+1,"수동녹화","수시/충격감지","충격감지","수시감지")</f>
        <v>수동녹화</v>
      </c>
    </row>
    <row r="4" spans="1:13">
      <c r="A4" s="36" t="s">
        <v>605</v>
      </c>
      <c r="B4" s="123" t="str">
        <f t="shared" ref="B4:B30" si="1">_xlfn.CONCAT(SUBSTITUTE(A4,MID(A4,2,1),"*")," 가족")</f>
        <v>송*희 가족</v>
      </c>
      <c r="D4" s="68" t="s">
        <v>638</v>
      </c>
      <c r="E4" s="68" t="s">
        <v>639</v>
      </c>
      <c r="F4" s="67">
        <v>2025</v>
      </c>
      <c r="G4" s="123" t="str">
        <f t="shared" ref="G4:G27" si="2">_xlfn.CONCAT(REPT("★",QUOTIENT(F4,1000)),REPT("☆",10-QUOTIENT(F4,1000)))</f>
        <v>★★☆☆☆☆☆☆☆☆</v>
      </c>
      <c r="I4" s="68" t="s">
        <v>640</v>
      </c>
      <c r="J4" s="68" t="str">
        <f t="shared" si="0"/>
        <v>Ckd9292@상공.Kr</v>
      </c>
      <c r="L4" s="29" t="s">
        <v>641</v>
      </c>
      <c r="M4" s="29" t="str">
        <f t="shared" ref="M4:M16" si="3">CHOOSE(MOD(VALUE(RIGHT(L4,4)),4)+1,"수동녹화","수시/충격감지","충격감지","수시감지")</f>
        <v>수시/충격감지</v>
      </c>
    </row>
    <row r="5" spans="1:13">
      <c r="A5" s="36" t="s">
        <v>606</v>
      </c>
      <c r="B5" s="123" t="str">
        <f t="shared" si="1"/>
        <v>박*주 가족</v>
      </c>
      <c r="D5" s="70" t="s">
        <v>642</v>
      </c>
      <c r="E5" s="68" t="s">
        <v>643</v>
      </c>
      <c r="F5" s="67">
        <v>7935</v>
      </c>
      <c r="G5" s="123" t="str">
        <f t="shared" si="2"/>
        <v>★★★★★★★☆☆☆</v>
      </c>
      <c r="I5" s="68" t="s">
        <v>644</v>
      </c>
      <c r="J5" s="68" t="str">
        <f t="shared" si="0"/>
        <v>Korea7979@상공.Kr</v>
      </c>
      <c r="L5" s="29" t="s">
        <v>645</v>
      </c>
      <c r="M5" s="29" t="str">
        <f t="shared" si="3"/>
        <v>수시/충격감지</v>
      </c>
    </row>
    <row r="6" spans="1:13">
      <c r="A6" s="36" t="s">
        <v>607</v>
      </c>
      <c r="B6" s="123" t="str">
        <f t="shared" si="1"/>
        <v>김*아 가족</v>
      </c>
      <c r="D6" s="68" t="s">
        <v>646</v>
      </c>
      <c r="E6" s="68" t="s">
        <v>647</v>
      </c>
      <c r="F6" s="67">
        <v>945</v>
      </c>
      <c r="G6" s="123" t="str">
        <f t="shared" si="2"/>
        <v>☆☆☆☆☆☆☆☆☆☆</v>
      </c>
      <c r="I6" s="68" t="s">
        <v>648</v>
      </c>
      <c r="J6" s="68" t="str">
        <f t="shared" si="0"/>
        <v>Doctorkim@상공.Kr</v>
      </c>
      <c r="L6" s="29" t="s">
        <v>649</v>
      </c>
      <c r="M6" s="29" t="str">
        <f t="shared" si="3"/>
        <v>수시감지</v>
      </c>
    </row>
    <row r="7" spans="1:13">
      <c r="A7" s="36" t="s">
        <v>608</v>
      </c>
      <c r="B7" s="123" t="str">
        <f t="shared" si="1"/>
        <v>윤*기 가족</v>
      </c>
      <c r="D7" s="68" t="s">
        <v>650</v>
      </c>
      <c r="E7" s="68" t="s">
        <v>651</v>
      </c>
      <c r="F7" s="67">
        <v>6075</v>
      </c>
      <c r="G7" s="123" t="str">
        <f t="shared" si="2"/>
        <v>★★★★★★☆☆☆☆</v>
      </c>
      <c r="I7" s="68" t="s">
        <v>652</v>
      </c>
      <c r="J7" s="68" t="str">
        <f t="shared" si="0"/>
        <v>Kyh1254@상공.Kr</v>
      </c>
      <c r="L7" s="29" t="s">
        <v>653</v>
      </c>
      <c r="M7" s="29" t="str">
        <f t="shared" si="3"/>
        <v>수시감지</v>
      </c>
    </row>
    <row r="8" spans="1:13">
      <c r="A8" s="36" t="s">
        <v>609</v>
      </c>
      <c r="B8" s="123" t="str">
        <f t="shared" si="1"/>
        <v>김*수 가족</v>
      </c>
      <c r="D8" s="68" t="s">
        <v>654</v>
      </c>
      <c r="E8" s="68" t="s">
        <v>610</v>
      </c>
      <c r="F8" s="67">
        <v>7452</v>
      </c>
      <c r="G8" s="123" t="str">
        <f t="shared" si="2"/>
        <v>★★★★★★★☆☆☆</v>
      </c>
      <c r="I8" s="68" t="s">
        <v>655</v>
      </c>
      <c r="J8" s="68" t="str">
        <f t="shared" si="0"/>
        <v>Allhappy@상공.Kr</v>
      </c>
      <c r="L8" s="29" t="s">
        <v>656</v>
      </c>
      <c r="M8" s="29" t="str">
        <f t="shared" si="3"/>
        <v>수시/충격감지</v>
      </c>
    </row>
    <row r="9" spans="1:13">
      <c r="A9" s="36" t="s">
        <v>611</v>
      </c>
      <c r="B9" s="123" t="str">
        <f t="shared" si="1"/>
        <v>하*재 가족</v>
      </c>
      <c r="D9" s="68" t="s">
        <v>657</v>
      </c>
      <c r="E9" s="68" t="s">
        <v>658</v>
      </c>
      <c r="F9" s="67">
        <v>3888</v>
      </c>
      <c r="G9" s="123" t="str">
        <f t="shared" si="2"/>
        <v>★★★☆☆☆☆☆☆☆</v>
      </c>
      <c r="I9" s="68" t="s">
        <v>659</v>
      </c>
      <c r="J9" s="68" t="str">
        <f t="shared" si="0"/>
        <v>Baseballma@상공.Kr</v>
      </c>
      <c r="L9" s="29" t="s">
        <v>660</v>
      </c>
      <c r="M9" s="29" t="str">
        <f t="shared" si="3"/>
        <v>충격감지</v>
      </c>
    </row>
    <row r="10" spans="1:13">
      <c r="A10" s="36" t="s">
        <v>612</v>
      </c>
      <c r="B10" s="123" t="str">
        <f t="shared" si="1"/>
        <v>한*주 가족</v>
      </c>
      <c r="D10" s="68" t="s">
        <v>661</v>
      </c>
      <c r="E10" s="68" t="s">
        <v>662</v>
      </c>
      <c r="F10" s="67">
        <v>1395</v>
      </c>
      <c r="G10" s="123" t="str">
        <f t="shared" si="2"/>
        <v>★☆☆☆☆☆☆☆☆☆</v>
      </c>
      <c r="I10" s="68" t="s">
        <v>663</v>
      </c>
      <c r="J10" s="68" t="str">
        <f t="shared" si="0"/>
        <v>Gusaud951@상공.Kr</v>
      </c>
      <c r="L10" s="29" t="s">
        <v>664</v>
      </c>
      <c r="M10" s="29" t="str">
        <f t="shared" si="3"/>
        <v>충격감지</v>
      </c>
    </row>
    <row r="11" spans="1:13">
      <c r="A11" s="36" t="s">
        <v>613</v>
      </c>
      <c r="B11" s="123" t="str">
        <f t="shared" si="1"/>
        <v>박*훈 가족</v>
      </c>
      <c r="D11" s="68" t="s">
        <v>665</v>
      </c>
      <c r="E11" s="68" t="s">
        <v>666</v>
      </c>
      <c r="F11" s="67">
        <v>8645</v>
      </c>
      <c r="G11" s="123" t="str">
        <f t="shared" si="2"/>
        <v>★★★★★★★★☆☆</v>
      </c>
      <c r="I11" s="68" t="s">
        <v>667</v>
      </c>
      <c r="J11" s="68" t="str">
        <f t="shared" si="0"/>
        <v>Forever3003@상공.Kr</v>
      </c>
      <c r="L11" s="29" t="s">
        <v>668</v>
      </c>
      <c r="M11" s="29" t="str">
        <f t="shared" si="3"/>
        <v>수시감지</v>
      </c>
    </row>
    <row r="12" spans="1:13">
      <c r="A12" s="36" t="s">
        <v>614</v>
      </c>
      <c r="B12" s="123" t="str">
        <f t="shared" si="1"/>
        <v>김*진 가족</v>
      </c>
      <c r="D12" s="68" t="s">
        <v>615</v>
      </c>
      <c r="E12" s="68" t="s">
        <v>669</v>
      </c>
      <c r="F12" s="67">
        <v>7425</v>
      </c>
      <c r="G12" s="123" t="str">
        <f t="shared" si="2"/>
        <v>★★★★★★★☆☆☆</v>
      </c>
      <c r="I12" s="68" t="s">
        <v>670</v>
      </c>
      <c r="J12" s="68" t="str">
        <f t="shared" si="0"/>
        <v>Mesweet@상공.Kr</v>
      </c>
      <c r="L12" s="29" t="s">
        <v>671</v>
      </c>
      <c r="M12" s="29" t="str">
        <f t="shared" si="3"/>
        <v>수동녹화</v>
      </c>
    </row>
    <row r="13" spans="1:13">
      <c r="A13" s="36" t="s">
        <v>616</v>
      </c>
      <c r="B13" s="123" t="str">
        <f t="shared" si="1"/>
        <v>김*영 가족</v>
      </c>
      <c r="D13" s="68" t="s">
        <v>672</v>
      </c>
      <c r="E13" s="68" t="s">
        <v>673</v>
      </c>
      <c r="F13" s="67">
        <v>4734</v>
      </c>
      <c r="G13" s="123" t="str">
        <f t="shared" si="2"/>
        <v>★★★★☆☆☆☆☆☆</v>
      </c>
      <c r="I13" s="68" t="s">
        <v>674</v>
      </c>
      <c r="J13" s="68" t="str">
        <f t="shared" si="0"/>
        <v>Familylove@상공.Kr</v>
      </c>
      <c r="L13" s="29" t="s">
        <v>675</v>
      </c>
      <c r="M13" s="29" t="str">
        <f t="shared" si="3"/>
        <v>수동녹화</v>
      </c>
    </row>
    <row r="14" spans="1:13">
      <c r="A14" s="36" t="s">
        <v>617</v>
      </c>
      <c r="B14" s="123" t="str">
        <f t="shared" si="1"/>
        <v>이*정 가족</v>
      </c>
      <c r="D14" s="68" t="s">
        <v>676</v>
      </c>
      <c r="E14" s="68" t="s">
        <v>677</v>
      </c>
      <c r="F14" s="67">
        <v>1701</v>
      </c>
      <c r="G14" s="123" t="str">
        <f t="shared" si="2"/>
        <v>★☆☆☆☆☆☆☆☆☆</v>
      </c>
      <c r="I14" s="68" t="s">
        <v>678</v>
      </c>
      <c r="J14" s="68" t="str">
        <f t="shared" si="0"/>
        <v>Cooking555@상공.Kr</v>
      </c>
      <c r="L14" s="29" t="s">
        <v>679</v>
      </c>
      <c r="M14" s="29" t="str">
        <f t="shared" si="3"/>
        <v>수시감지</v>
      </c>
    </row>
    <row r="15" spans="1:13">
      <c r="A15" s="36" t="s">
        <v>618</v>
      </c>
      <c r="B15" s="123" t="str">
        <f t="shared" si="1"/>
        <v>김*훈 가족</v>
      </c>
      <c r="D15" s="68" t="s">
        <v>680</v>
      </c>
      <c r="E15" s="68" t="s">
        <v>681</v>
      </c>
      <c r="F15" s="67">
        <v>9508</v>
      </c>
      <c r="G15" s="123" t="str">
        <f t="shared" si="2"/>
        <v>★★★★★★★★★☆</v>
      </c>
      <c r="I15" s="68" t="s">
        <v>682</v>
      </c>
      <c r="J15" s="68" t="str">
        <f t="shared" si="0"/>
        <v>Teacherlee@상공.Kr</v>
      </c>
      <c r="L15" s="29" t="s">
        <v>683</v>
      </c>
      <c r="M15" s="29" t="str">
        <f t="shared" si="3"/>
        <v>수동녹화</v>
      </c>
    </row>
    <row r="16" spans="1:13">
      <c r="A16" s="36" t="s">
        <v>619</v>
      </c>
      <c r="B16" s="123" t="str">
        <f t="shared" si="1"/>
        <v>박*현 가족</v>
      </c>
      <c r="D16" s="68" t="s">
        <v>684</v>
      </c>
      <c r="E16" s="68" t="s">
        <v>685</v>
      </c>
      <c r="F16" s="67">
        <v>4815</v>
      </c>
      <c r="G16" s="123" t="str">
        <f t="shared" si="2"/>
        <v>★★★★☆☆☆☆☆☆</v>
      </c>
      <c r="I16" s="68" t="s">
        <v>686</v>
      </c>
      <c r="J16" s="68" t="str">
        <f t="shared" si="0"/>
        <v>Abc097@상공.Kr</v>
      </c>
      <c r="L16" s="29" t="s">
        <v>687</v>
      </c>
      <c r="M16" s="29" t="str">
        <f t="shared" si="3"/>
        <v>수시감지</v>
      </c>
    </row>
    <row r="17" spans="1:10">
      <c r="A17" s="36" t="s">
        <v>620</v>
      </c>
      <c r="B17" s="123" t="str">
        <f t="shared" si="1"/>
        <v>차*철 가족</v>
      </c>
      <c r="D17" s="68" t="s">
        <v>688</v>
      </c>
      <c r="E17" s="68" t="s">
        <v>689</v>
      </c>
      <c r="F17" s="67">
        <v>5025</v>
      </c>
      <c r="G17" s="123" t="str">
        <f t="shared" si="2"/>
        <v>★★★★★☆☆☆☆☆</v>
      </c>
      <c r="I17" s="68" t="s">
        <v>690</v>
      </c>
      <c r="J17" s="68" t="str">
        <f t="shared" si="0"/>
        <v>Suman12@상공.Kr</v>
      </c>
    </row>
    <row r="18" spans="1:10">
      <c r="A18" s="36" t="s">
        <v>621</v>
      </c>
      <c r="B18" s="123" t="str">
        <f t="shared" si="1"/>
        <v>김*정 가족</v>
      </c>
      <c r="D18" s="68" t="s">
        <v>691</v>
      </c>
      <c r="E18" s="68" t="s">
        <v>692</v>
      </c>
      <c r="F18" s="67">
        <v>6926</v>
      </c>
      <c r="G18" s="123" t="str">
        <f t="shared" si="2"/>
        <v>★★★★★★☆☆☆☆</v>
      </c>
      <c r="I18" s="68" t="s">
        <v>693</v>
      </c>
      <c r="J18" s="68" t="str">
        <f t="shared" si="0"/>
        <v>Jjs1234@상공.Kr</v>
      </c>
    </row>
    <row r="19" spans="1:10">
      <c r="A19" s="36" t="s">
        <v>622</v>
      </c>
      <c r="B19" s="123" t="str">
        <f t="shared" si="1"/>
        <v>이*애 가족</v>
      </c>
      <c r="D19" s="68" t="s">
        <v>694</v>
      </c>
      <c r="E19" s="68" t="s">
        <v>695</v>
      </c>
      <c r="F19" s="67">
        <v>8415</v>
      </c>
      <c r="G19" s="123" t="str">
        <f t="shared" si="2"/>
        <v>★★★★★★★★☆☆</v>
      </c>
      <c r="I19" s="68" t="s">
        <v>696</v>
      </c>
      <c r="J19" s="68" t="str">
        <f t="shared" si="0"/>
        <v>88Friend@상공.Kr</v>
      </c>
    </row>
    <row r="20" spans="1:10">
      <c r="A20" s="36" t="s">
        <v>623</v>
      </c>
      <c r="B20" s="123" t="str">
        <f t="shared" si="1"/>
        <v>김*우 가족</v>
      </c>
      <c r="D20" s="68" t="s">
        <v>697</v>
      </c>
      <c r="E20" s="68" t="s">
        <v>698</v>
      </c>
      <c r="F20" s="67">
        <v>3159</v>
      </c>
      <c r="G20" s="123" t="str">
        <f t="shared" si="2"/>
        <v>★★★☆☆☆☆☆☆☆</v>
      </c>
      <c r="I20" s="68" t="s">
        <v>699</v>
      </c>
      <c r="J20" s="68" t="str">
        <f t="shared" si="0"/>
        <v>Abcdef52@상공.Kr</v>
      </c>
    </row>
    <row r="21" spans="1:10">
      <c r="A21" s="36" t="s">
        <v>624</v>
      </c>
      <c r="B21" s="123" t="str">
        <f t="shared" si="1"/>
        <v>한*영 가족</v>
      </c>
      <c r="D21" s="68" t="s">
        <v>700</v>
      </c>
      <c r="E21" s="68" t="s">
        <v>701</v>
      </c>
      <c r="F21" s="67">
        <v>4131</v>
      </c>
      <c r="G21" s="123" t="str">
        <f t="shared" si="2"/>
        <v>★★★★☆☆☆☆☆☆</v>
      </c>
      <c r="I21" s="68" t="s">
        <v>702</v>
      </c>
      <c r="J21" s="68" t="str">
        <f t="shared" si="0"/>
        <v>Love5523@상공.Kr</v>
      </c>
    </row>
    <row r="22" spans="1:10">
      <c r="A22" s="36" t="s">
        <v>625</v>
      </c>
      <c r="B22" s="123" t="str">
        <f t="shared" si="1"/>
        <v>신*란 가족</v>
      </c>
      <c r="D22" s="68" t="s">
        <v>703</v>
      </c>
      <c r="E22" s="68" t="s">
        <v>704</v>
      </c>
      <c r="F22" s="67">
        <v>7209</v>
      </c>
      <c r="G22" s="123" t="str">
        <f t="shared" si="2"/>
        <v>★★★★★★★☆☆☆</v>
      </c>
    </row>
    <row r="23" spans="1:10">
      <c r="A23" s="36" t="s">
        <v>626</v>
      </c>
      <c r="B23" s="123" t="str">
        <f t="shared" si="1"/>
        <v>이*우 가족</v>
      </c>
      <c r="D23" s="68" t="s">
        <v>705</v>
      </c>
      <c r="E23" s="68" t="s">
        <v>706</v>
      </c>
      <c r="F23" s="67">
        <v>4698</v>
      </c>
      <c r="G23" s="123" t="str">
        <f t="shared" si="2"/>
        <v>★★★★☆☆☆☆☆☆</v>
      </c>
    </row>
    <row r="24" spans="1:10">
      <c r="A24" s="36" t="s">
        <v>627</v>
      </c>
      <c r="B24" s="123" t="str">
        <f t="shared" si="1"/>
        <v>민*린 가족</v>
      </c>
      <c r="D24" s="68" t="s">
        <v>707</v>
      </c>
      <c r="E24" s="68" t="s">
        <v>708</v>
      </c>
      <c r="F24" s="67">
        <v>3501</v>
      </c>
      <c r="G24" s="123" t="str">
        <f t="shared" si="2"/>
        <v>★★★☆☆☆☆☆☆☆</v>
      </c>
    </row>
    <row r="25" spans="1:10">
      <c r="A25" s="36" t="s">
        <v>628</v>
      </c>
      <c r="B25" s="123" t="str">
        <f t="shared" si="1"/>
        <v>구*호 가족</v>
      </c>
      <c r="D25" s="68" t="s">
        <v>709</v>
      </c>
      <c r="E25" s="68" t="s">
        <v>710</v>
      </c>
      <c r="F25" s="67">
        <v>7533</v>
      </c>
      <c r="G25" s="123" t="str">
        <f t="shared" si="2"/>
        <v>★★★★★★★☆☆☆</v>
      </c>
    </row>
    <row r="26" spans="1:10">
      <c r="A26" s="36" t="s">
        <v>629</v>
      </c>
      <c r="B26" s="123" t="str">
        <f t="shared" si="1"/>
        <v>한*호 가족</v>
      </c>
      <c r="D26" s="68" t="s">
        <v>711</v>
      </c>
      <c r="E26" s="68" t="s">
        <v>712</v>
      </c>
      <c r="F26" s="67">
        <v>5701</v>
      </c>
      <c r="G26" s="123" t="str">
        <f t="shared" si="2"/>
        <v>★★★★★☆☆☆☆☆</v>
      </c>
    </row>
    <row r="27" spans="1:10">
      <c r="A27" s="36" t="s">
        <v>630</v>
      </c>
      <c r="B27" s="123" t="str">
        <f t="shared" si="1"/>
        <v>이*구 가족</v>
      </c>
      <c r="D27" s="68" t="s">
        <v>713</v>
      </c>
      <c r="E27" s="68" t="s">
        <v>714</v>
      </c>
      <c r="F27" s="67">
        <v>5625</v>
      </c>
      <c r="G27" s="123" t="str">
        <f t="shared" si="2"/>
        <v>★★★★★☆☆☆☆☆</v>
      </c>
    </row>
    <row r="28" spans="1:10">
      <c r="A28" s="36" t="s">
        <v>631</v>
      </c>
      <c r="B28" s="123" t="str">
        <f t="shared" si="1"/>
        <v>김*별 가족</v>
      </c>
    </row>
    <row r="29" spans="1:10">
      <c r="A29" s="36" t="s">
        <v>632</v>
      </c>
      <c r="B29" s="123" t="str">
        <f t="shared" si="1"/>
        <v>이*진 가족</v>
      </c>
    </row>
    <row r="30" spans="1:10">
      <c r="A30" s="36" t="s">
        <v>633</v>
      </c>
      <c r="B30" s="123" t="str">
        <f t="shared" si="1"/>
        <v>강*희 가족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/>
  <dimension ref="A1:V33"/>
  <sheetViews>
    <sheetView workbookViewId="0"/>
  </sheetViews>
  <sheetFormatPr defaultColWidth="9" defaultRowHeight="16.5"/>
  <cols>
    <col min="7" max="7" width="11" bestFit="1" customWidth="1"/>
    <col min="8" max="8" width="1.625" customWidth="1"/>
    <col min="9" max="9" width="11" bestFit="1" customWidth="1"/>
    <col min="10" max="11" width="13.875" bestFit="1" customWidth="1"/>
    <col min="12" max="12" width="14.375" bestFit="1" customWidth="1"/>
    <col min="13" max="13" width="1.625" customWidth="1"/>
    <col min="15" max="15" width="11" bestFit="1" customWidth="1"/>
    <col min="16" max="16" width="1.625" customWidth="1"/>
    <col min="17" max="17" width="10.125" customWidth="1"/>
    <col min="18" max="18" width="10.25" bestFit="1" customWidth="1"/>
    <col min="19" max="19" width="9" bestFit="1" customWidth="1"/>
    <col min="20" max="20" width="1.625" customWidth="1"/>
    <col min="21" max="21" width="12.375" bestFit="1" customWidth="1"/>
    <col min="22" max="22" width="12.625" customWidth="1"/>
  </cols>
  <sheetData>
    <row r="1" spans="1:22">
      <c r="A1" t="s">
        <v>1114</v>
      </c>
      <c r="I1" t="s">
        <v>1115</v>
      </c>
      <c r="N1" t="s">
        <v>1116</v>
      </c>
      <c r="Q1" t="s">
        <v>1117</v>
      </c>
      <c r="U1" t="s">
        <v>376</v>
      </c>
    </row>
    <row r="2" spans="1:22">
      <c r="A2" s="121" t="s">
        <v>1118</v>
      </c>
      <c r="B2" s="121" t="s">
        <v>1119</v>
      </c>
      <c r="C2" s="121" t="s">
        <v>1120</v>
      </c>
      <c r="D2" s="121" t="s">
        <v>1121</v>
      </c>
      <c r="E2" s="121" t="s">
        <v>1122</v>
      </c>
      <c r="F2" s="121" t="s">
        <v>1123</v>
      </c>
      <c r="G2" s="37" t="s">
        <v>1124</v>
      </c>
      <c r="I2" s="121" t="s">
        <v>1125</v>
      </c>
      <c r="J2" s="121" t="s">
        <v>1126</v>
      </c>
      <c r="K2" s="121" t="s">
        <v>1127</v>
      </c>
      <c r="L2" s="37" t="s">
        <v>1128</v>
      </c>
      <c r="N2" s="37" t="s">
        <v>1129</v>
      </c>
      <c r="O2" s="121" t="s">
        <v>1130</v>
      </c>
      <c r="Q2" s="121" t="s">
        <v>1131</v>
      </c>
      <c r="R2" s="37" t="s">
        <v>1132</v>
      </c>
      <c r="S2" s="121" t="s">
        <v>1133</v>
      </c>
      <c r="U2" s="63" t="s">
        <v>1358</v>
      </c>
      <c r="V2" s="37" t="s">
        <v>1359</v>
      </c>
    </row>
    <row r="3" spans="1:22">
      <c r="A3" s="121" t="s">
        <v>1134</v>
      </c>
      <c r="B3" s="121" t="s">
        <v>1135</v>
      </c>
      <c r="C3" s="68">
        <v>55</v>
      </c>
      <c r="D3" s="67">
        <v>1500</v>
      </c>
      <c r="E3" s="67">
        <f>C3*D3</f>
        <v>82500</v>
      </c>
      <c r="F3" s="121" t="s">
        <v>1136</v>
      </c>
      <c r="G3" s="121"/>
      <c r="I3" s="121" t="s">
        <v>1137</v>
      </c>
      <c r="J3" s="121" t="s">
        <v>1138</v>
      </c>
      <c r="K3" s="68">
        <v>230</v>
      </c>
      <c r="L3" s="121"/>
      <c r="N3" s="121"/>
      <c r="O3" s="121" t="s">
        <v>1139</v>
      </c>
      <c r="Q3" s="121" t="s">
        <v>1140</v>
      </c>
      <c r="R3" s="71"/>
      <c r="S3" s="71">
        <v>2024</v>
      </c>
      <c r="U3" s="63" t="s">
        <v>1360</v>
      </c>
      <c r="V3" s="63"/>
    </row>
    <row r="4" spans="1:22">
      <c r="A4" s="121" t="s">
        <v>1141</v>
      </c>
      <c r="B4" s="121" t="s">
        <v>1142</v>
      </c>
      <c r="C4" s="68">
        <v>20</v>
      </c>
      <c r="D4" s="67">
        <v>3000</v>
      </c>
      <c r="E4" s="67">
        <f t="shared" ref="E4:E24" si="0">C4*D4</f>
        <v>60000</v>
      </c>
      <c r="F4" s="121" t="s">
        <v>1143</v>
      </c>
      <c r="G4" s="121"/>
      <c r="I4" s="121" t="s">
        <v>1144</v>
      </c>
      <c r="J4" s="121" t="s">
        <v>1138</v>
      </c>
      <c r="K4" s="68">
        <v>390</v>
      </c>
      <c r="L4" s="121"/>
      <c r="N4" s="121"/>
      <c r="O4" s="121" t="s">
        <v>1145</v>
      </c>
      <c r="Q4" s="121" t="s">
        <v>723</v>
      </c>
      <c r="R4" s="71"/>
      <c r="S4" s="121">
        <v>2024</v>
      </c>
      <c r="U4" s="63" t="s">
        <v>1368</v>
      </c>
      <c r="V4" s="63"/>
    </row>
    <row r="5" spans="1:22">
      <c r="A5" s="121" t="s">
        <v>1146</v>
      </c>
      <c r="B5" s="121" t="s">
        <v>1147</v>
      </c>
      <c r="C5" s="68">
        <v>20</v>
      </c>
      <c r="D5" s="67">
        <v>2000</v>
      </c>
      <c r="E5" s="67">
        <f t="shared" si="0"/>
        <v>40000</v>
      </c>
      <c r="F5" s="121" t="s">
        <v>1148</v>
      </c>
      <c r="G5" s="121"/>
      <c r="I5" s="121" t="s">
        <v>1149</v>
      </c>
      <c r="J5" s="121" t="s">
        <v>1138</v>
      </c>
      <c r="K5" s="68">
        <v>120</v>
      </c>
      <c r="L5" s="121"/>
      <c r="N5" s="121"/>
      <c r="O5" s="121" t="s">
        <v>1150</v>
      </c>
      <c r="Q5" s="121" t="s">
        <v>725</v>
      </c>
      <c r="R5" s="71"/>
      <c r="S5" s="121">
        <v>2024</v>
      </c>
      <c r="U5" s="63" t="s">
        <v>1361</v>
      </c>
      <c r="V5" s="63"/>
    </row>
    <row r="6" spans="1:22">
      <c r="A6" s="121" t="s">
        <v>1151</v>
      </c>
      <c r="B6" s="121" t="s">
        <v>1152</v>
      </c>
      <c r="C6" s="68">
        <v>21</v>
      </c>
      <c r="D6" s="67">
        <v>5300</v>
      </c>
      <c r="E6" s="67">
        <f t="shared" si="0"/>
        <v>111300</v>
      </c>
      <c r="F6" s="121" t="s">
        <v>1148</v>
      </c>
      <c r="G6" s="121"/>
      <c r="I6" s="121" t="s">
        <v>1153</v>
      </c>
      <c r="J6" s="121" t="s">
        <v>1138</v>
      </c>
      <c r="K6" s="68">
        <v>350</v>
      </c>
      <c r="L6" s="121"/>
      <c r="N6" s="121"/>
      <c r="O6" s="121" t="s">
        <v>1139</v>
      </c>
      <c r="Q6" s="121" t="s">
        <v>727</v>
      </c>
      <c r="R6" s="71"/>
      <c r="S6" s="121">
        <v>2024</v>
      </c>
      <c r="U6" s="63" t="s">
        <v>1365</v>
      </c>
      <c r="V6" s="63"/>
    </row>
    <row r="7" spans="1:22">
      <c r="A7" s="121" t="s">
        <v>1154</v>
      </c>
      <c r="B7" s="121" t="s">
        <v>1142</v>
      </c>
      <c r="C7" s="68">
        <v>95</v>
      </c>
      <c r="D7" s="67">
        <v>3000</v>
      </c>
      <c r="E7" s="67">
        <f t="shared" si="0"/>
        <v>285000</v>
      </c>
      <c r="F7" s="121" t="s">
        <v>1148</v>
      </c>
      <c r="G7" s="121"/>
      <c r="I7" s="121" t="s">
        <v>1155</v>
      </c>
      <c r="J7" s="121" t="s">
        <v>1156</v>
      </c>
      <c r="K7" s="68">
        <v>150</v>
      </c>
      <c r="L7" s="121"/>
      <c r="N7" s="121"/>
      <c r="O7" s="121" t="s">
        <v>1139</v>
      </c>
      <c r="Q7" s="121" t="s">
        <v>728</v>
      </c>
      <c r="R7" s="71"/>
      <c r="S7" s="121">
        <v>2024</v>
      </c>
      <c r="U7" s="63" t="s">
        <v>1369</v>
      </c>
      <c r="V7" s="63"/>
    </row>
    <row r="8" spans="1:22">
      <c r="A8" s="121" t="s">
        <v>1157</v>
      </c>
      <c r="B8" s="121" t="s">
        <v>1158</v>
      </c>
      <c r="C8" s="68">
        <v>120</v>
      </c>
      <c r="D8" s="67">
        <v>2500</v>
      </c>
      <c r="E8" s="67">
        <f t="shared" si="0"/>
        <v>300000</v>
      </c>
      <c r="F8" s="121" t="s">
        <v>1148</v>
      </c>
      <c r="G8" s="121"/>
      <c r="I8" s="121" t="s">
        <v>1159</v>
      </c>
      <c r="J8" s="121" t="s">
        <v>1138</v>
      </c>
      <c r="K8" s="68">
        <v>452</v>
      </c>
      <c r="L8" s="121"/>
      <c r="N8" s="121"/>
      <c r="O8" s="121" t="s">
        <v>1145</v>
      </c>
      <c r="Q8" s="121" t="s">
        <v>730</v>
      </c>
      <c r="R8" s="71"/>
      <c r="S8" s="121">
        <v>2024</v>
      </c>
      <c r="U8" s="63" t="s">
        <v>1370</v>
      </c>
      <c r="V8" s="63"/>
    </row>
    <row r="9" spans="1:22">
      <c r="A9" s="121" t="s">
        <v>1160</v>
      </c>
      <c r="B9" s="121" t="s">
        <v>1147</v>
      </c>
      <c r="C9" s="68">
        <v>20</v>
      </c>
      <c r="D9" s="67">
        <v>2000</v>
      </c>
      <c r="E9" s="67">
        <f t="shared" si="0"/>
        <v>40000</v>
      </c>
      <c r="F9" s="121" t="s">
        <v>1143</v>
      </c>
      <c r="G9" s="121"/>
      <c r="I9" s="121" t="s">
        <v>1161</v>
      </c>
      <c r="J9" s="121" t="s">
        <v>1156</v>
      </c>
      <c r="K9" s="68">
        <v>210</v>
      </c>
      <c r="L9" s="121"/>
      <c r="N9" s="121"/>
      <c r="O9" s="121" t="s">
        <v>1145</v>
      </c>
      <c r="Q9" s="121" t="s">
        <v>732</v>
      </c>
      <c r="R9" s="71"/>
      <c r="S9" s="121">
        <v>2024</v>
      </c>
      <c r="U9" s="63" t="s">
        <v>1371</v>
      </c>
      <c r="V9" s="63"/>
    </row>
    <row r="10" spans="1:22">
      <c r="A10" s="121" t="s">
        <v>1162</v>
      </c>
      <c r="B10" s="121" t="s">
        <v>1152</v>
      </c>
      <c r="C10" s="68">
        <v>25</v>
      </c>
      <c r="D10" s="67">
        <v>5300</v>
      </c>
      <c r="E10" s="67">
        <f t="shared" si="0"/>
        <v>132500</v>
      </c>
      <c r="F10" s="121" t="s">
        <v>1148</v>
      </c>
      <c r="G10" s="121"/>
      <c r="I10" s="121" t="s">
        <v>551</v>
      </c>
      <c r="J10" s="121" t="s">
        <v>1156</v>
      </c>
      <c r="K10" s="68">
        <v>215</v>
      </c>
      <c r="L10" s="121"/>
      <c r="N10" s="121"/>
      <c r="O10" s="121" t="s">
        <v>1150</v>
      </c>
      <c r="Q10" s="121" t="s">
        <v>733</v>
      </c>
      <c r="R10" s="71"/>
      <c r="S10" s="121">
        <v>2024</v>
      </c>
      <c r="U10" s="63" t="s">
        <v>1366</v>
      </c>
      <c r="V10" s="63"/>
    </row>
    <row r="11" spans="1:22">
      <c r="A11" s="121" t="s">
        <v>1163</v>
      </c>
      <c r="B11" s="121" t="s">
        <v>1158</v>
      </c>
      <c r="C11" s="68">
        <v>90</v>
      </c>
      <c r="D11" s="67">
        <v>2500</v>
      </c>
      <c r="E11" s="67">
        <f t="shared" si="0"/>
        <v>225000</v>
      </c>
      <c r="F11" s="121" t="s">
        <v>1136</v>
      </c>
      <c r="G11" s="121"/>
      <c r="I11" s="121" t="s">
        <v>1164</v>
      </c>
      <c r="J11" s="121" t="s">
        <v>1138</v>
      </c>
      <c r="K11" s="68">
        <v>153</v>
      </c>
      <c r="L11" s="121"/>
      <c r="N11" s="121"/>
      <c r="O11" s="121" t="s">
        <v>1150</v>
      </c>
      <c r="Q11" s="121" t="s">
        <v>735</v>
      </c>
      <c r="R11" s="71"/>
      <c r="S11" s="121">
        <v>2024</v>
      </c>
      <c r="U11" s="63" t="s">
        <v>1362</v>
      </c>
      <c r="V11" s="63"/>
    </row>
    <row r="12" spans="1:22">
      <c r="A12" s="121" t="s">
        <v>1165</v>
      </c>
      <c r="B12" s="121" t="s">
        <v>1158</v>
      </c>
      <c r="C12" s="68">
        <v>55</v>
      </c>
      <c r="D12" s="67">
        <v>2500</v>
      </c>
      <c r="E12" s="67">
        <f t="shared" si="0"/>
        <v>137500</v>
      </c>
      <c r="F12" s="121" t="s">
        <v>1136</v>
      </c>
      <c r="G12" s="121"/>
      <c r="I12" s="121" t="s">
        <v>1166</v>
      </c>
      <c r="J12" s="121" t="s">
        <v>1138</v>
      </c>
      <c r="K12" s="68">
        <v>412</v>
      </c>
      <c r="L12" s="121"/>
      <c r="N12" s="121"/>
      <c r="O12" s="121" t="s">
        <v>1145</v>
      </c>
      <c r="Q12" s="121" t="s">
        <v>736</v>
      </c>
      <c r="R12" s="71"/>
      <c r="S12" s="121">
        <v>2024</v>
      </c>
      <c r="U12" s="63" t="s">
        <v>1372</v>
      </c>
      <c r="V12" s="63"/>
    </row>
    <row r="13" spans="1:22">
      <c r="A13" s="121" t="s">
        <v>1167</v>
      </c>
      <c r="B13" s="121" t="s">
        <v>1147</v>
      </c>
      <c r="C13" s="68">
        <v>30</v>
      </c>
      <c r="D13" s="67">
        <v>2000</v>
      </c>
      <c r="E13" s="67">
        <f t="shared" si="0"/>
        <v>60000</v>
      </c>
      <c r="F13" s="121" t="s">
        <v>1143</v>
      </c>
      <c r="G13" s="121"/>
      <c r="N13" s="121"/>
      <c r="O13" s="121" t="s">
        <v>1150</v>
      </c>
      <c r="Q13" s="121" t="s">
        <v>737</v>
      </c>
      <c r="R13" s="71"/>
      <c r="S13" s="121">
        <v>2024</v>
      </c>
      <c r="U13" s="63" t="s">
        <v>1367</v>
      </c>
      <c r="V13" s="63"/>
    </row>
    <row r="14" spans="1:22">
      <c r="A14" s="121" t="s">
        <v>1168</v>
      </c>
      <c r="B14" s="121" t="s">
        <v>1152</v>
      </c>
      <c r="C14" s="68">
        <v>25</v>
      </c>
      <c r="D14" s="67">
        <v>5300</v>
      </c>
      <c r="E14" s="67">
        <f t="shared" si="0"/>
        <v>132500</v>
      </c>
      <c r="F14" s="121" t="s">
        <v>1143</v>
      </c>
      <c r="G14" s="121"/>
      <c r="I14" t="s">
        <v>1169</v>
      </c>
      <c r="N14" s="121"/>
      <c r="O14" s="121" t="s">
        <v>1139</v>
      </c>
      <c r="Q14" s="121" t="s">
        <v>738</v>
      </c>
      <c r="R14" s="71"/>
      <c r="S14" s="121">
        <v>2024</v>
      </c>
      <c r="U14" s="63" t="s">
        <v>1363</v>
      </c>
      <c r="V14" s="63"/>
    </row>
    <row r="15" spans="1:22">
      <c r="A15" s="121" t="s">
        <v>1170</v>
      </c>
      <c r="B15" s="121" t="s">
        <v>1147</v>
      </c>
      <c r="C15" s="68">
        <v>100</v>
      </c>
      <c r="D15" s="67">
        <v>2000</v>
      </c>
      <c r="E15" s="67">
        <f t="shared" si="0"/>
        <v>200000</v>
      </c>
      <c r="F15" s="121" t="s">
        <v>1143</v>
      </c>
      <c r="G15" s="121"/>
      <c r="I15" s="219"/>
      <c r="J15" s="72">
        <v>100</v>
      </c>
      <c r="K15" s="72">
        <v>300</v>
      </c>
      <c r="L15" s="72">
        <v>400</v>
      </c>
      <c r="N15" s="121"/>
      <c r="O15" s="121" t="s">
        <v>1145</v>
      </c>
      <c r="Q15" s="121" t="s">
        <v>740</v>
      </c>
      <c r="R15" s="71"/>
      <c r="S15" s="121">
        <v>2024</v>
      </c>
      <c r="U15" s="63" t="s">
        <v>1373</v>
      </c>
      <c r="V15" s="63"/>
    </row>
    <row r="16" spans="1:22">
      <c r="A16" s="121" t="s">
        <v>1171</v>
      </c>
      <c r="B16" s="121" t="s">
        <v>726</v>
      </c>
      <c r="C16" s="68">
        <v>90</v>
      </c>
      <c r="D16" s="67">
        <v>5300</v>
      </c>
      <c r="E16" s="67">
        <f t="shared" si="0"/>
        <v>477000</v>
      </c>
      <c r="F16" s="121" t="s">
        <v>1148</v>
      </c>
      <c r="G16" s="121"/>
      <c r="I16" s="220"/>
      <c r="J16" s="73">
        <v>300</v>
      </c>
      <c r="K16" s="73">
        <v>400</v>
      </c>
      <c r="L16" s="73">
        <v>600</v>
      </c>
      <c r="N16" s="121"/>
      <c r="O16" s="121" t="s">
        <v>1139</v>
      </c>
      <c r="Q16" s="121" t="s">
        <v>741</v>
      </c>
      <c r="R16" s="71"/>
      <c r="S16" s="121">
        <v>2024</v>
      </c>
      <c r="U16" s="63" t="s">
        <v>1374</v>
      </c>
      <c r="V16" s="63"/>
    </row>
    <row r="17" spans="1:22">
      <c r="A17" s="121" t="s">
        <v>1172</v>
      </c>
      <c r="B17" s="121" t="s">
        <v>1142</v>
      </c>
      <c r="C17" s="68">
        <v>55</v>
      </c>
      <c r="D17" s="67">
        <v>3000</v>
      </c>
      <c r="E17" s="67">
        <f t="shared" si="0"/>
        <v>165000</v>
      </c>
      <c r="F17" s="121" t="s">
        <v>1143</v>
      </c>
      <c r="G17" s="121"/>
      <c r="I17" s="63" t="s">
        <v>1138</v>
      </c>
      <c r="J17" s="63" t="s">
        <v>1173</v>
      </c>
      <c r="K17" s="63" t="s">
        <v>1174</v>
      </c>
      <c r="L17" s="63" t="s">
        <v>1175</v>
      </c>
      <c r="N17" s="121"/>
      <c r="O17" s="121" t="s">
        <v>1150</v>
      </c>
      <c r="Q17" s="121" t="s">
        <v>744</v>
      </c>
      <c r="R17" s="71"/>
      <c r="S17" s="121">
        <v>2024</v>
      </c>
      <c r="U17" s="63" t="s">
        <v>1364</v>
      </c>
      <c r="V17" s="63"/>
    </row>
    <row r="18" spans="1:22">
      <c r="A18" s="121" t="s">
        <v>1176</v>
      </c>
      <c r="B18" s="121" t="s">
        <v>1152</v>
      </c>
      <c r="C18" s="68">
        <v>32</v>
      </c>
      <c r="D18" s="67">
        <v>5300</v>
      </c>
      <c r="E18" s="67">
        <f t="shared" si="0"/>
        <v>169600</v>
      </c>
      <c r="F18" s="121" t="s">
        <v>1148</v>
      </c>
      <c r="G18" s="121"/>
      <c r="I18" s="63" t="s">
        <v>1156</v>
      </c>
      <c r="J18" s="63" t="s">
        <v>1174</v>
      </c>
      <c r="K18" s="63" t="s">
        <v>1175</v>
      </c>
      <c r="L18" s="63" t="s">
        <v>1177</v>
      </c>
      <c r="N18" s="121"/>
      <c r="O18" s="121" t="s">
        <v>1139</v>
      </c>
      <c r="Q18" s="121" t="s">
        <v>745</v>
      </c>
      <c r="R18" s="71"/>
      <c r="S18" s="121">
        <v>2024</v>
      </c>
      <c r="U18" s="63" t="s">
        <v>1375</v>
      </c>
      <c r="V18" s="63"/>
    </row>
    <row r="19" spans="1:22">
      <c r="A19" s="121" t="s">
        <v>1178</v>
      </c>
      <c r="B19" s="121" t="s">
        <v>1135</v>
      </c>
      <c r="C19" s="68">
        <v>60</v>
      </c>
      <c r="D19" s="67">
        <v>1500</v>
      </c>
      <c r="E19" s="67">
        <f t="shared" si="0"/>
        <v>90000</v>
      </c>
      <c r="F19" s="121" t="s">
        <v>1143</v>
      </c>
      <c r="G19" s="121"/>
      <c r="N19" s="121"/>
      <c r="O19" s="121" t="s">
        <v>1139</v>
      </c>
      <c r="Q19" s="121" t="s">
        <v>746</v>
      </c>
      <c r="R19" s="71"/>
      <c r="S19" s="121">
        <v>2024</v>
      </c>
    </row>
    <row r="20" spans="1:22">
      <c r="A20" s="121" t="s">
        <v>1179</v>
      </c>
      <c r="B20" s="121" t="s">
        <v>1142</v>
      </c>
      <c r="C20" s="68">
        <v>50</v>
      </c>
      <c r="D20" s="67">
        <v>3000</v>
      </c>
      <c r="E20" s="67">
        <f t="shared" si="0"/>
        <v>150000</v>
      </c>
      <c r="F20" s="121" t="s">
        <v>1136</v>
      </c>
      <c r="G20" s="121"/>
      <c r="I20" t="s">
        <v>1180</v>
      </c>
      <c r="N20" s="121"/>
      <c r="O20" s="121" t="s">
        <v>1150</v>
      </c>
      <c r="Q20" s="121" t="s">
        <v>747</v>
      </c>
      <c r="R20" s="71"/>
      <c r="S20" s="121">
        <v>2024</v>
      </c>
    </row>
    <row r="21" spans="1:22">
      <c r="A21" s="121" t="s">
        <v>1181</v>
      </c>
      <c r="B21" s="121" t="s">
        <v>1142</v>
      </c>
      <c r="C21" s="68">
        <v>110</v>
      </c>
      <c r="D21" s="67">
        <v>3000</v>
      </c>
      <c r="E21" s="67">
        <f t="shared" si="0"/>
        <v>330000</v>
      </c>
      <c r="F21" s="121" t="s">
        <v>1136</v>
      </c>
      <c r="G21" s="121"/>
      <c r="I21" s="63" t="s">
        <v>1182</v>
      </c>
      <c r="J21" s="63" t="s">
        <v>1183</v>
      </c>
      <c r="K21" s="37" t="s">
        <v>1184</v>
      </c>
      <c r="N21" s="121"/>
      <c r="O21" s="121" t="s">
        <v>1139</v>
      </c>
      <c r="Q21" s="121" t="s">
        <v>749</v>
      </c>
      <c r="R21" s="71"/>
      <c r="S21" s="121">
        <v>2024</v>
      </c>
    </row>
    <row r="22" spans="1:22">
      <c r="A22" s="121" t="s">
        <v>1185</v>
      </c>
      <c r="B22" s="121" t="s">
        <v>1135</v>
      </c>
      <c r="C22" s="68">
        <v>45</v>
      </c>
      <c r="D22" s="67">
        <v>1500</v>
      </c>
      <c r="E22" s="67">
        <f t="shared" si="0"/>
        <v>67500</v>
      </c>
      <c r="F22" s="121" t="s">
        <v>1143</v>
      </c>
      <c r="G22" s="121"/>
      <c r="I22" s="63" t="s">
        <v>1186</v>
      </c>
      <c r="J22" s="63" t="s">
        <v>1187</v>
      </c>
      <c r="K22" s="74"/>
      <c r="N22" s="121"/>
      <c r="O22" s="121" t="s">
        <v>1145</v>
      </c>
      <c r="Q22" s="121" t="s">
        <v>750</v>
      </c>
      <c r="R22" s="71"/>
      <c r="S22" s="121">
        <v>2025</v>
      </c>
    </row>
    <row r="23" spans="1:22">
      <c r="A23" s="121" t="s">
        <v>1188</v>
      </c>
      <c r="B23" s="121" t="s">
        <v>1158</v>
      </c>
      <c r="C23" s="68">
        <v>50</v>
      </c>
      <c r="D23" s="67">
        <v>2500</v>
      </c>
      <c r="E23" s="67">
        <f t="shared" si="0"/>
        <v>125000</v>
      </c>
      <c r="F23" s="121" t="s">
        <v>1136</v>
      </c>
      <c r="G23" s="121"/>
      <c r="I23" s="63" t="s">
        <v>1189</v>
      </c>
      <c r="J23" s="63" t="s">
        <v>1190</v>
      </c>
      <c r="K23" s="74"/>
      <c r="N23" s="121"/>
      <c r="O23" s="121" t="s">
        <v>1150</v>
      </c>
      <c r="Q23" s="121" t="s">
        <v>751</v>
      </c>
      <c r="R23" s="71"/>
      <c r="S23" s="121">
        <v>2025</v>
      </c>
    </row>
    <row r="24" spans="1:22">
      <c r="A24" s="121" t="s">
        <v>1191</v>
      </c>
      <c r="B24" s="121" t="s">
        <v>1135</v>
      </c>
      <c r="C24" s="68">
        <v>80</v>
      </c>
      <c r="D24" s="67">
        <v>1500</v>
      </c>
      <c r="E24" s="67">
        <f t="shared" si="0"/>
        <v>120000</v>
      </c>
      <c r="F24" s="121" t="s">
        <v>1136</v>
      </c>
      <c r="G24" s="121"/>
      <c r="I24" s="63" t="s">
        <v>1192</v>
      </c>
      <c r="J24" s="63" t="s">
        <v>1193</v>
      </c>
      <c r="K24" s="74"/>
      <c r="N24" s="121"/>
      <c r="O24" s="121" t="s">
        <v>1139</v>
      </c>
      <c r="Q24" s="121" t="s">
        <v>752</v>
      </c>
      <c r="R24" s="71"/>
      <c r="S24" s="121">
        <v>2025</v>
      </c>
    </row>
    <row r="25" spans="1:22">
      <c r="F25" s="60"/>
      <c r="I25" s="63" t="s">
        <v>1194</v>
      </c>
      <c r="J25" s="63" t="s">
        <v>1195</v>
      </c>
      <c r="K25" s="74"/>
      <c r="N25" s="121"/>
      <c r="O25" s="121" t="s">
        <v>1145</v>
      </c>
      <c r="Q25" s="121" t="s">
        <v>753</v>
      </c>
      <c r="R25" s="71"/>
      <c r="S25" s="121">
        <v>2025</v>
      </c>
    </row>
    <row r="26" spans="1:22">
      <c r="A26" t="s">
        <v>1196</v>
      </c>
      <c r="I26" s="63" t="s">
        <v>1197</v>
      </c>
      <c r="J26" s="63" t="s">
        <v>1198</v>
      </c>
      <c r="K26" s="74"/>
      <c r="N26" s="121"/>
      <c r="O26" s="121" t="s">
        <v>1150</v>
      </c>
      <c r="Q26" s="121" t="s">
        <v>754</v>
      </c>
      <c r="R26" s="71"/>
      <c r="S26" s="121">
        <v>2025</v>
      </c>
    </row>
    <row r="27" spans="1:22">
      <c r="A27" s="221" t="s">
        <v>1120</v>
      </c>
      <c r="B27" s="222"/>
      <c r="C27" s="121" t="s">
        <v>1136</v>
      </c>
      <c r="D27" s="121" t="s">
        <v>1143</v>
      </c>
      <c r="E27" s="121" t="s">
        <v>1148</v>
      </c>
      <c r="N27" s="121"/>
      <c r="O27" s="121" t="s">
        <v>1139</v>
      </c>
      <c r="Q27" s="121" t="s">
        <v>755</v>
      </c>
      <c r="R27" s="71"/>
      <c r="S27" s="121">
        <v>2025</v>
      </c>
    </row>
    <row r="28" spans="1:22">
      <c r="A28" s="75">
        <v>0</v>
      </c>
      <c r="B28" s="76">
        <v>10</v>
      </c>
      <c r="C28" s="77">
        <v>2E-3</v>
      </c>
      <c r="D28" s="77">
        <v>1E-3</v>
      </c>
      <c r="E28" s="77">
        <v>3.0000000000000003E-4</v>
      </c>
      <c r="I28" t="s">
        <v>1199</v>
      </c>
      <c r="N28" s="121"/>
      <c r="O28" s="121" t="s">
        <v>1145</v>
      </c>
      <c r="Q28" s="121" t="s">
        <v>756</v>
      </c>
      <c r="R28" s="71"/>
      <c r="S28" s="121">
        <v>2025</v>
      </c>
    </row>
    <row r="29" spans="1:22" ht="16.5" customHeight="1">
      <c r="A29" s="75">
        <v>10</v>
      </c>
      <c r="B29" s="76">
        <v>30</v>
      </c>
      <c r="C29" s="77">
        <v>3.5000000000000001E-3</v>
      </c>
      <c r="D29" s="77">
        <v>1.5E-3</v>
      </c>
      <c r="E29" s="77">
        <v>5.0000000000000001E-4</v>
      </c>
      <c r="I29" s="121" t="s">
        <v>757</v>
      </c>
      <c r="J29" s="121" t="s">
        <v>297</v>
      </c>
      <c r="N29" s="121"/>
      <c r="O29" s="121" t="s">
        <v>1145</v>
      </c>
      <c r="Q29" s="121" t="s">
        <v>758</v>
      </c>
      <c r="R29" s="71"/>
      <c r="S29" s="121">
        <v>2025</v>
      </c>
    </row>
    <row r="30" spans="1:22">
      <c r="A30" s="75">
        <v>30</v>
      </c>
      <c r="B30" s="76">
        <v>50</v>
      </c>
      <c r="C30" s="77">
        <v>5.0000000000000001E-3</v>
      </c>
      <c r="D30" s="77">
        <v>2E-3</v>
      </c>
      <c r="E30" s="77">
        <v>1E-3</v>
      </c>
      <c r="I30" s="78" t="s">
        <v>759</v>
      </c>
      <c r="J30" s="121" t="s">
        <v>760</v>
      </c>
      <c r="Q30" s="121" t="s">
        <v>761</v>
      </c>
      <c r="R30" s="71"/>
      <c r="S30" s="121">
        <v>2025</v>
      </c>
    </row>
    <row r="31" spans="1:22">
      <c r="A31" s="75">
        <v>50</v>
      </c>
      <c r="B31" s="76">
        <v>70</v>
      </c>
      <c r="C31" s="77">
        <v>5.0000000000000001E-3</v>
      </c>
      <c r="D31" s="77">
        <v>2.5000000000000001E-3</v>
      </c>
      <c r="E31" s="77">
        <v>2E-3</v>
      </c>
      <c r="I31" s="78" t="s">
        <v>762</v>
      </c>
      <c r="J31" s="121" t="s">
        <v>763</v>
      </c>
    </row>
    <row r="32" spans="1:22">
      <c r="A32" s="75">
        <v>70</v>
      </c>
      <c r="B32" s="76">
        <v>100</v>
      </c>
      <c r="C32" s="77">
        <v>6.0000000000000001E-3</v>
      </c>
      <c r="D32" s="77">
        <v>3.5000000000000001E-3</v>
      </c>
      <c r="E32" s="77">
        <v>3.0000000000000001E-3</v>
      </c>
      <c r="I32" s="78" t="s">
        <v>764</v>
      </c>
      <c r="J32" s="121" t="s">
        <v>765</v>
      </c>
    </row>
    <row r="33" spans="1:5">
      <c r="A33" s="75">
        <v>100</v>
      </c>
      <c r="B33" s="120"/>
      <c r="C33" s="77">
        <v>7.0000000000000001E-3</v>
      </c>
      <c r="D33" s="77">
        <v>4.4999999999999997E-3</v>
      </c>
      <c r="E33" s="77">
        <v>4.0000000000000001E-3</v>
      </c>
    </row>
  </sheetData>
  <mergeCells count="2">
    <mergeCell ref="I15:I16"/>
    <mergeCell ref="A27:B27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4"/>
  <dimension ref="A1:V33"/>
  <sheetViews>
    <sheetView topLeftCell="M1" workbookViewId="0"/>
  </sheetViews>
  <sheetFormatPr defaultColWidth="9" defaultRowHeight="16.5"/>
  <cols>
    <col min="7" max="7" width="11" bestFit="1" customWidth="1"/>
    <col min="8" max="8" width="1.625" customWidth="1"/>
    <col min="9" max="9" width="11" bestFit="1" customWidth="1"/>
    <col min="10" max="11" width="13.875" bestFit="1" customWidth="1"/>
    <col min="12" max="12" width="14.375" bestFit="1" customWidth="1"/>
    <col min="13" max="13" width="1.625" customWidth="1"/>
    <col min="15" max="15" width="11" bestFit="1" customWidth="1"/>
    <col min="16" max="16" width="1.625" customWidth="1"/>
    <col min="17" max="17" width="10.125" customWidth="1"/>
    <col min="18" max="18" width="10.25" bestFit="1" customWidth="1"/>
    <col min="19" max="19" width="9" bestFit="1" customWidth="1"/>
    <col min="20" max="20" width="1.625" customWidth="1"/>
    <col min="21" max="21" width="12.375" bestFit="1" customWidth="1"/>
    <col min="22" max="22" width="12.625" customWidth="1"/>
  </cols>
  <sheetData>
    <row r="1" spans="1:22">
      <c r="A1" t="s">
        <v>1114</v>
      </c>
      <c r="I1" t="s">
        <v>1115</v>
      </c>
      <c r="N1" t="s">
        <v>1116</v>
      </c>
      <c r="Q1" t="s">
        <v>1117</v>
      </c>
      <c r="U1" t="s">
        <v>376</v>
      </c>
    </row>
    <row r="2" spans="1:22">
      <c r="A2" s="121" t="s">
        <v>1118</v>
      </c>
      <c r="B2" s="121" t="s">
        <v>715</v>
      </c>
      <c r="C2" s="121" t="s">
        <v>1120</v>
      </c>
      <c r="D2" s="121" t="s">
        <v>716</v>
      </c>
      <c r="E2" s="121" t="s">
        <v>1122</v>
      </c>
      <c r="F2" s="121" t="s">
        <v>1123</v>
      </c>
      <c r="G2" s="37" t="s">
        <v>1124</v>
      </c>
      <c r="I2" s="121" t="s">
        <v>1125</v>
      </c>
      <c r="J2" s="121" t="s">
        <v>516</v>
      </c>
      <c r="K2" s="121" t="s">
        <v>717</v>
      </c>
      <c r="L2" s="37" t="s">
        <v>1128</v>
      </c>
      <c r="N2" s="37" t="s">
        <v>718</v>
      </c>
      <c r="O2" s="121" t="s">
        <v>112</v>
      </c>
      <c r="Q2" s="121" t="s">
        <v>1131</v>
      </c>
      <c r="R2" s="37" t="s">
        <v>1132</v>
      </c>
      <c r="S2" s="121" t="s">
        <v>719</v>
      </c>
      <c r="U2" s="63" t="s">
        <v>1358</v>
      </c>
      <c r="V2" s="37" t="s">
        <v>1359</v>
      </c>
    </row>
    <row r="3" spans="1:22">
      <c r="A3" s="121" t="s">
        <v>1134</v>
      </c>
      <c r="B3" s="121" t="s">
        <v>1135</v>
      </c>
      <c r="C3" s="68">
        <v>55</v>
      </c>
      <c r="D3" s="67">
        <v>1500</v>
      </c>
      <c r="E3" s="67">
        <f>C3*D3</f>
        <v>82500</v>
      </c>
      <c r="F3" s="121" t="s">
        <v>1136</v>
      </c>
      <c r="G3" s="121" t="str">
        <f t="shared" ref="G3:G24" si="0">TEXT(E3*VLOOKUP(C3,$A$27:$E$33,MATCH(F3,$C$27:$E$27,0)+2),"#,##0점")</f>
        <v>413점</v>
      </c>
      <c r="I3" s="121" t="s">
        <v>1137</v>
      </c>
      <c r="J3" s="121" t="s">
        <v>1138</v>
      </c>
      <c r="K3" s="68">
        <v>230</v>
      </c>
      <c r="L3" s="121" t="str">
        <f t="shared" ref="L3:L12" si="1">PROPER(HLOOKUP(K3,$J$15:$L$18,MATCH(J3,$I$17:$I$18,0)+2))</f>
        <v>Crystal Hall</v>
      </c>
      <c r="N3" s="121" t="str">
        <f>_xlfn.CONCAT(VLOOKUP(O3,$I$30:$J$32,2,FALSE),"-",ROW()-2)</f>
        <v>SB-1</v>
      </c>
      <c r="O3" s="121" t="s">
        <v>1139</v>
      </c>
      <c r="Q3" s="121" t="s">
        <v>1140</v>
      </c>
      <c r="R3" s="71" t="str">
        <f>REPLACE(Q3,2,0,"-"&amp;RIGHT(S3,2)&amp;"-")</f>
        <v>S-24-001</v>
      </c>
      <c r="S3" s="71">
        <v>2024</v>
      </c>
      <c r="U3" s="63" t="s">
        <v>1360</v>
      </c>
      <c r="V3" s="63" t="str">
        <f>IF(VALUE(MID(U3,3,4))=2025,SUBSTITUTE(U3,"C",""),SUBSTITUTE(U3,"2024","RE-"))</f>
        <v>TSRE-8818R</v>
      </c>
    </row>
    <row r="4" spans="1:22">
      <c r="A4" s="121" t="s">
        <v>1141</v>
      </c>
      <c r="B4" s="121" t="s">
        <v>1142</v>
      </c>
      <c r="C4" s="68">
        <v>20</v>
      </c>
      <c r="D4" s="67">
        <v>3000</v>
      </c>
      <c r="E4" s="67">
        <f t="shared" ref="E4:E24" si="2">C4*D4</f>
        <v>60000</v>
      </c>
      <c r="F4" s="121" t="s">
        <v>1143</v>
      </c>
      <c r="G4" s="121" t="str">
        <f t="shared" si="0"/>
        <v>90점</v>
      </c>
      <c r="I4" s="121" t="s">
        <v>1144</v>
      </c>
      <c r="J4" s="121" t="s">
        <v>1138</v>
      </c>
      <c r="K4" s="68">
        <v>390</v>
      </c>
      <c r="L4" s="121" t="str">
        <f t="shared" si="1"/>
        <v xml:space="preserve">Diamond Hall </v>
      </c>
      <c r="N4" s="123" t="str">
        <f t="shared" ref="N4:N29" si="3">_xlfn.CONCAT(VLOOKUP(O4,$I$30:$J$32,2,FALSE),"-",ROW()-2)</f>
        <v>KY-2</v>
      </c>
      <c r="O4" s="121" t="s">
        <v>1145</v>
      </c>
      <c r="Q4" s="121" t="s">
        <v>723</v>
      </c>
      <c r="R4" s="71" t="str">
        <f t="shared" ref="R4:R30" si="4">REPLACE(Q4,2,0,"-"&amp;RIGHT(S4,2)&amp;"-")</f>
        <v>S-24-002</v>
      </c>
      <c r="S4" s="121">
        <v>2024</v>
      </c>
      <c r="U4" s="63" t="s">
        <v>1368</v>
      </c>
      <c r="V4" s="63" t="str">
        <f t="shared" ref="V4:V18" si="5">IF(VALUE(MID(U4,3,4))=2025,SUBSTITUTE(U4,"C",""),SUBSTITUTE(U4,"2024","RE-"))</f>
        <v>PS20251709</v>
      </c>
    </row>
    <row r="5" spans="1:22">
      <c r="A5" s="121" t="s">
        <v>1146</v>
      </c>
      <c r="B5" s="121" t="s">
        <v>1147</v>
      </c>
      <c r="C5" s="68">
        <v>20</v>
      </c>
      <c r="D5" s="67">
        <v>2000</v>
      </c>
      <c r="E5" s="67">
        <f t="shared" si="2"/>
        <v>40000</v>
      </c>
      <c r="F5" s="121" t="s">
        <v>1148</v>
      </c>
      <c r="G5" s="121" t="str">
        <f t="shared" si="0"/>
        <v>20점</v>
      </c>
      <c r="I5" s="121" t="s">
        <v>1149</v>
      </c>
      <c r="J5" s="121" t="s">
        <v>1138</v>
      </c>
      <c r="K5" s="68">
        <v>120</v>
      </c>
      <c r="L5" s="121" t="str">
        <f t="shared" si="1"/>
        <v>Crystal Hall</v>
      </c>
      <c r="N5" s="123" t="str">
        <f t="shared" si="3"/>
        <v>KT-3</v>
      </c>
      <c r="O5" s="121" t="s">
        <v>1150</v>
      </c>
      <c r="Q5" s="121" t="s">
        <v>725</v>
      </c>
      <c r="R5" s="71" t="str">
        <f t="shared" si="4"/>
        <v>S-24-003</v>
      </c>
      <c r="S5" s="121">
        <v>2024</v>
      </c>
      <c r="U5" s="63" t="s">
        <v>1361</v>
      </c>
      <c r="V5" s="63" t="str">
        <f t="shared" si="5"/>
        <v>TSRE-8555R</v>
      </c>
    </row>
    <row r="6" spans="1:22">
      <c r="A6" s="121" t="s">
        <v>1151</v>
      </c>
      <c r="B6" s="121" t="s">
        <v>1152</v>
      </c>
      <c r="C6" s="68">
        <v>21</v>
      </c>
      <c r="D6" s="67">
        <v>5300</v>
      </c>
      <c r="E6" s="67">
        <f t="shared" si="2"/>
        <v>111300</v>
      </c>
      <c r="F6" s="121" t="s">
        <v>1148</v>
      </c>
      <c r="G6" s="121" t="str">
        <f t="shared" si="0"/>
        <v>56점</v>
      </c>
      <c r="I6" s="121" t="s">
        <v>1153</v>
      </c>
      <c r="J6" s="121" t="s">
        <v>1138</v>
      </c>
      <c r="K6" s="68">
        <v>350</v>
      </c>
      <c r="L6" s="121" t="str">
        <f t="shared" si="1"/>
        <v xml:space="preserve">Diamond Hall </v>
      </c>
      <c r="N6" s="123" t="str">
        <f t="shared" si="3"/>
        <v>SB-4</v>
      </c>
      <c r="O6" s="121" t="s">
        <v>1139</v>
      </c>
      <c r="Q6" s="121" t="s">
        <v>727</v>
      </c>
      <c r="R6" s="71" t="str">
        <f t="shared" si="4"/>
        <v>S-24-004</v>
      </c>
      <c r="S6" s="121">
        <v>2024</v>
      </c>
      <c r="U6" s="63" t="s">
        <v>1365</v>
      </c>
      <c r="V6" s="63" t="str">
        <f t="shared" si="5"/>
        <v>QSRE-3770R</v>
      </c>
    </row>
    <row r="7" spans="1:22">
      <c r="A7" s="121" t="s">
        <v>1154</v>
      </c>
      <c r="B7" s="121" t="s">
        <v>1142</v>
      </c>
      <c r="C7" s="68">
        <v>95</v>
      </c>
      <c r="D7" s="67">
        <v>3000</v>
      </c>
      <c r="E7" s="67">
        <f t="shared" si="2"/>
        <v>285000</v>
      </c>
      <c r="F7" s="121" t="s">
        <v>1148</v>
      </c>
      <c r="G7" s="121" t="str">
        <f t="shared" si="0"/>
        <v>855점</v>
      </c>
      <c r="I7" s="121" t="s">
        <v>1155</v>
      </c>
      <c r="J7" s="121" t="s">
        <v>1156</v>
      </c>
      <c r="K7" s="68">
        <v>150</v>
      </c>
      <c r="L7" s="121" t="str">
        <f t="shared" si="1"/>
        <v xml:space="preserve">Diamond Hall </v>
      </c>
      <c r="N7" s="123" t="str">
        <f t="shared" si="3"/>
        <v>SB-5</v>
      </c>
      <c r="O7" s="121" t="s">
        <v>1139</v>
      </c>
      <c r="Q7" s="121" t="s">
        <v>728</v>
      </c>
      <c r="R7" s="71" t="str">
        <f t="shared" si="4"/>
        <v>S-24-005</v>
      </c>
      <c r="S7" s="121">
        <v>2024</v>
      </c>
      <c r="U7" s="63" t="s">
        <v>1369</v>
      </c>
      <c r="V7" s="63" t="str">
        <f t="shared" si="5"/>
        <v>PS20252819</v>
      </c>
    </row>
    <row r="8" spans="1:22">
      <c r="A8" s="121" t="s">
        <v>1157</v>
      </c>
      <c r="B8" s="121" t="s">
        <v>1158</v>
      </c>
      <c r="C8" s="68">
        <v>120</v>
      </c>
      <c r="D8" s="67">
        <v>2500</v>
      </c>
      <c r="E8" s="67">
        <f t="shared" si="2"/>
        <v>300000</v>
      </c>
      <c r="F8" s="121" t="s">
        <v>1148</v>
      </c>
      <c r="G8" s="121" t="str">
        <f t="shared" si="0"/>
        <v>1,200점</v>
      </c>
      <c r="I8" s="121" t="s">
        <v>1159</v>
      </c>
      <c r="J8" s="121" t="s">
        <v>1138</v>
      </c>
      <c r="K8" s="68">
        <v>452</v>
      </c>
      <c r="L8" s="121" t="str">
        <f t="shared" si="1"/>
        <v xml:space="preserve">Ruby Hall </v>
      </c>
      <c r="N8" s="123" t="str">
        <f t="shared" si="3"/>
        <v>KY-6</v>
      </c>
      <c r="O8" s="121" t="s">
        <v>1145</v>
      </c>
      <c r="Q8" s="121" t="s">
        <v>730</v>
      </c>
      <c r="R8" s="71" t="str">
        <f t="shared" si="4"/>
        <v>S-24-006</v>
      </c>
      <c r="S8" s="121">
        <v>2024</v>
      </c>
      <c r="U8" s="63" t="s">
        <v>1370</v>
      </c>
      <c r="V8" s="63" t="str">
        <f t="shared" si="5"/>
        <v>TS20256472</v>
      </c>
    </row>
    <row r="9" spans="1:22">
      <c r="A9" s="121" t="s">
        <v>1160</v>
      </c>
      <c r="B9" s="121" t="s">
        <v>1147</v>
      </c>
      <c r="C9" s="68">
        <v>20</v>
      </c>
      <c r="D9" s="67">
        <v>2000</v>
      </c>
      <c r="E9" s="67">
        <f t="shared" si="2"/>
        <v>40000</v>
      </c>
      <c r="F9" s="121" t="s">
        <v>1143</v>
      </c>
      <c r="G9" s="121" t="str">
        <f t="shared" si="0"/>
        <v>60점</v>
      </c>
      <c r="I9" s="121" t="s">
        <v>1161</v>
      </c>
      <c r="J9" s="121" t="s">
        <v>1156</v>
      </c>
      <c r="K9" s="68">
        <v>210</v>
      </c>
      <c r="L9" s="121" t="str">
        <f t="shared" si="1"/>
        <v xml:space="preserve">Diamond Hall </v>
      </c>
      <c r="N9" s="123" t="str">
        <f t="shared" si="3"/>
        <v>KY-7</v>
      </c>
      <c r="O9" s="121" t="s">
        <v>1145</v>
      </c>
      <c r="Q9" s="121" t="s">
        <v>732</v>
      </c>
      <c r="R9" s="71" t="str">
        <f t="shared" si="4"/>
        <v>S-24-007</v>
      </c>
      <c r="S9" s="121">
        <v>2024</v>
      </c>
      <c r="U9" s="63" t="s">
        <v>1371</v>
      </c>
      <c r="V9" s="63" t="str">
        <f t="shared" si="5"/>
        <v>QS20255349</v>
      </c>
    </row>
    <row r="10" spans="1:22">
      <c r="A10" s="121" t="s">
        <v>1162</v>
      </c>
      <c r="B10" s="121" t="s">
        <v>1152</v>
      </c>
      <c r="C10" s="68">
        <v>25</v>
      </c>
      <c r="D10" s="67">
        <v>5300</v>
      </c>
      <c r="E10" s="67">
        <f t="shared" si="2"/>
        <v>132500</v>
      </c>
      <c r="F10" s="121" t="s">
        <v>1148</v>
      </c>
      <c r="G10" s="121" t="str">
        <f t="shared" si="0"/>
        <v>66점</v>
      </c>
      <c r="I10" s="121" t="s">
        <v>1200</v>
      </c>
      <c r="J10" s="121" t="s">
        <v>1156</v>
      </c>
      <c r="K10" s="68">
        <v>215</v>
      </c>
      <c r="L10" s="121" t="str">
        <f t="shared" si="1"/>
        <v xml:space="preserve">Diamond Hall </v>
      </c>
      <c r="N10" s="123" t="str">
        <f t="shared" si="3"/>
        <v>KT-8</v>
      </c>
      <c r="O10" s="121" t="s">
        <v>1150</v>
      </c>
      <c r="Q10" s="121" t="s">
        <v>733</v>
      </c>
      <c r="R10" s="71" t="str">
        <f t="shared" si="4"/>
        <v>S-24-008</v>
      </c>
      <c r="S10" s="121">
        <v>2024</v>
      </c>
      <c r="U10" s="63" t="s">
        <v>1366</v>
      </c>
      <c r="V10" s="63" t="str">
        <f t="shared" si="5"/>
        <v>QSRE-6813R</v>
      </c>
    </row>
    <row r="11" spans="1:22">
      <c r="A11" s="121" t="s">
        <v>1163</v>
      </c>
      <c r="B11" s="121" t="s">
        <v>1158</v>
      </c>
      <c r="C11" s="68">
        <v>90</v>
      </c>
      <c r="D11" s="67">
        <v>2500</v>
      </c>
      <c r="E11" s="67">
        <f t="shared" si="2"/>
        <v>225000</v>
      </c>
      <c r="F11" s="121" t="s">
        <v>721</v>
      </c>
      <c r="G11" s="121" t="str">
        <f t="shared" si="0"/>
        <v>1,350점</v>
      </c>
      <c r="I11" s="121" t="s">
        <v>1164</v>
      </c>
      <c r="J11" s="121" t="s">
        <v>1138</v>
      </c>
      <c r="K11" s="68">
        <v>153</v>
      </c>
      <c r="L11" s="121" t="str">
        <f t="shared" si="1"/>
        <v>Crystal Hall</v>
      </c>
      <c r="N11" s="123" t="str">
        <f t="shared" si="3"/>
        <v>KT-9</v>
      </c>
      <c r="O11" s="121" t="s">
        <v>1150</v>
      </c>
      <c r="Q11" s="121" t="s">
        <v>735</v>
      </c>
      <c r="R11" s="71" t="str">
        <f t="shared" si="4"/>
        <v>S-24-009</v>
      </c>
      <c r="S11" s="121">
        <v>2024</v>
      </c>
      <c r="U11" s="63" t="s">
        <v>1362</v>
      </c>
      <c r="V11" s="63" t="str">
        <f t="shared" si="5"/>
        <v>PSRE-4360R</v>
      </c>
    </row>
    <row r="12" spans="1:22">
      <c r="A12" s="121" t="s">
        <v>1165</v>
      </c>
      <c r="B12" s="121" t="s">
        <v>1158</v>
      </c>
      <c r="C12" s="68">
        <v>55</v>
      </c>
      <c r="D12" s="67">
        <v>2500</v>
      </c>
      <c r="E12" s="67">
        <f t="shared" si="2"/>
        <v>137500</v>
      </c>
      <c r="F12" s="121" t="s">
        <v>1136</v>
      </c>
      <c r="G12" s="121" t="str">
        <f t="shared" si="0"/>
        <v>688점</v>
      </c>
      <c r="I12" s="121" t="s">
        <v>1166</v>
      </c>
      <c r="J12" s="121" t="s">
        <v>1138</v>
      </c>
      <c r="K12" s="68">
        <v>412</v>
      </c>
      <c r="L12" s="121" t="str">
        <f t="shared" si="1"/>
        <v xml:space="preserve">Ruby Hall </v>
      </c>
      <c r="N12" s="123" t="str">
        <f t="shared" si="3"/>
        <v>KY-10</v>
      </c>
      <c r="O12" s="121" t="s">
        <v>405</v>
      </c>
      <c r="Q12" s="121" t="s">
        <v>736</v>
      </c>
      <c r="R12" s="71" t="str">
        <f t="shared" si="4"/>
        <v>S-24-010</v>
      </c>
      <c r="S12" s="121">
        <v>2024</v>
      </c>
      <c r="U12" s="63" t="s">
        <v>1372</v>
      </c>
      <c r="V12" s="63" t="str">
        <f t="shared" si="5"/>
        <v>QS20252319</v>
      </c>
    </row>
    <row r="13" spans="1:22">
      <c r="A13" s="121" t="s">
        <v>1167</v>
      </c>
      <c r="B13" s="121" t="s">
        <v>1147</v>
      </c>
      <c r="C13" s="68">
        <v>30</v>
      </c>
      <c r="D13" s="67">
        <v>2000</v>
      </c>
      <c r="E13" s="67">
        <f t="shared" si="2"/>
        <v>60000</v>
      </c>
      <c r="F13" s="121" t="s">
        <v>722</v>
      </c>
      <c r="G13" s="121" t="str">
        <f t="shared" si="0"/>
        <v>120점</v>
      </c>
      <c r="N13" s="123" t="str">
        <f t="shared" si="3"/>
        <v>KT-11</v>
      </c>
      <c r="O13" s="121" t="s">
        <v>1150</v>
      </c>
      <c r="Q13" s="121" t="s">
        <v>737</v>
      </c>
      <c r="R13" s="71" t="str">
        <f t="shared" si="4"/>
        <v>S-24-011</v>
      </c>
      <c r="S13" s="121">
        <v>2024</v>
      </c>
      <c r="U13" s="63" t="s">
        <v>1367</v>
      </c>
      <c r="V13" s="63" t="str">
        <f t="shared" si="5"/>
        <v>QSRE-1834R</v>
      </c>
    </row>
    <row r="14" spans="1:22">
      <c r="A14" s="121" t="s">
        <v>1168</v>
      </c>
      <c r="B14" s="121" t="s">
        <v>1152</v>
      </c>
      <c r="C14" s="68">
        <v>25</v>
      </c>
      <c r="D14" s="67">
        <v>5300</v>
      </c>
      <c r="E14" s="67">
        <f t="shared" si="2"/>
        <v>132500</v>
      </c>
      <c r="F14" s="121" t="s">
        <v>1143</v>
      </c>
      <c r="G14" s="121" t="str">
        <f t="shared" si="0"/>
        <v>199점</v>
      </c>
      <c r="I14" t="s">
        <v>1169</v>
      </c>
      <c r="N14" s="123" t="str">
        <f t="shared" si="3"/>
        <v>SB-12</v>
      </c>
      <c r="O14" s="121" t="s">
        <v>1139</v>
      </c>
      <c r="Q14" s="121" t="s">
        <v>738</v>
      </c>
      <c r="R14" s="71" t="str">
        <f t="shared" si="4"/>
        <v>S-24-012</v>
      </c>
      <c r="S14" s="121">
        <v>2024</v>
      </c>
      <c r="U14" s="63" t="s">
        <v>1363</v>
      </c>
      <c r="V14" s="63" t="str">
        <f t="shared" si="5"/>
        <v>PSRE-2576R</v>
      </c>
    </row>
    <row r="15" spans="1:22">
      <c r="A15" s="121" t="s">
        <v>739</v>
      </c>
      <c r="B15" s="121" t="s">
        <v>1147</v>
      </c>
      <c r="C15" s="68">
        <v>100</v>
      </c>
      <c r="D15" s="67">
        <v>2000</v>
      </c>
      <c r="E15" s="67">
        <f t="shared" si="2"/>
        <v>200000</v>
      </c>
      <c r="F15" s="121" t="s">
        <v>1143</v>
      </c>
      <c r="G15" s="121" t="str">
        <f t="shared" si="0"/>
        <v>900점</v>
      </c>
      <c r="I15" s="219"/>
      <c r="J15" s="72">
        <v>100</v>
      </c>
      <c r="K15" s="72">
        <v>300</v>
      </c>
      <c r="L15" s="72">
        <v>400</v>
      </c>
      <c r="N15" s="123" t="str">
        <f t="shared" si="3"/>
        <v>KY-13</v>
      </c>
      <c r="O15" s="121" t="s">
        <v>405</v>
      </c>
      <c r="Q15" s="121" t="s">
        <v>740</v>
      </c>
      <c r="R15" s="71" t="str">
        <f t="shared" si="4"/>
        <v>S-24-013</v>
      </c>
      <c r="S15" s="121">
        <v>2024</v>
      </c>
      <c r="U15" s="63" t="s">
        <v>1373</v>
      </c>
      <c r="V15" s="63" t="str">
        <f t="shared" si="5"/>
        <v>PS20252744</v>
      </c>
    </row>
    <row r="16" spans="1:22">
      <c r="A16" s="121" t="s">
        <v>1171</v>
      </c>
      <c r="B16" s="121" t="s">
        <v>726</v>
      </c>
      <c r="C16" s="68">
        <v>90</v>
      </c>
      <c r="D16" s="67">
        <v>5300</v>
      </c>
      <c r="E16" s="67">
        <f t="shared" si="2"/>
        <v>477000</v>
      </c>
      <c r="F16" s="121" t="s">
        <v>1148</v>
      </c>
      <c r="G16" s="121" t="str">
        <f t="shared" si="0"/>
        <v>1,431점</v>
      </c>
      <c r="I16" s="220"/>
      <c r="J16" s="73">
        <v>300</v>
      </c>
      <c r="K16" s="73">
        <v>400</v>
      </c>
      <c r="L16" s="73">
        <v>600</v>
      </c>
      <c r="N16" s="123" t="str">
        <f t="shared" si="3"/>
        <v>SB-14</v>
      </c>
      <c r="O16" s="121" t="s">
        <v>1139</v>
      </c>
      <c r="Q16" s="121" t="s">
        <v>741</v>
      </c>
      <c r="R16" s="71" t="str">
        <f t="shared" si="4"/>
        <v>S-24-014</v>
      </c>
      <c r="S16" s="121">
        <v>2024</v>
      </c>
      <c r="U16" s="63" t="s">
        <v>1374</v>
      </c>
      <c r="V16" s="63" t="str">
        <f t="shared" si="5"/>
        <v>QS20255155</v>
      </c>
    </row>
    <row r="17" spans="1:22">
      <c r="A17" s="121" t="s">
        <v>1172</v>
      </c>
      <c r="B17" s="121" t="s">
        <v>1142</v>
      </c>
      <c r="C17" s="68">
        <v>55</v>
      </c>
      <c r="D17" s="67">
        <v>3000</v>
      </c>
      <c r="E17" s="67">
        <f t="shared" si="2"/>
        <v>165000</v>
      </c>
      <c r="F17" s="121" t="s">
        <v>722</v>
      </c>
      <c r="G17" s="121" t="str">
        <f t="shared" si="0"/>
        <v>413점</v>
      </c>
      <c r="I17" s="63" t="s">
        <v>1138</v>
      </c>
      <c r="J17" s="63" t="s">
        <v>742</v>
      </c>
      <c r="K17" s="63" t="s">
        <v>743</v>
      </c>
      <c r="L17" s="63" t="s">
        <v>1175</v>
      </c>
      <c r="N17" s="123" t="str">
        <f t="shared" si="3"/>
        <v>KT-15</v>
      </c>
      <c r="O17" s="121" t="s">
        <v>1150</v>
      </c>
      <c r="Q17" s="121" t="s">
        <v>744</v>
      </c>
      <c r="R17" s="71" t="str">
        <f t="shared" si="4"/>
        <v>S-24-015</v>
      </c>
      <c r="S17" s="121">
        <v>2024</v>
      </c>
      <c r="U17" s="63" t="s">
        <v>1364</v>
      </c>
      <c r="V17" s="63" t="str">
        <f t="shared" si="5"/>
        <v>PSRE-4326R</v>
      </c>
    </row>
    <row r="18" spans="1:22">
      <c r="A18" s="121" t="s">
        <v>1176</v>
      </c>
      <c r="B18" s="121" t="s">
        <v>1152</v>
      </c>
      <c r="C18" s="68">
        <v>32</v>
      </c>
      <c r="D18" s="67">
        <v>5300</v>
      </c>
      <c r="E18" s="67">
        <f t="shared" si="2"/>
        <v>169600</v>
      </c>
      <c r="F18" s="121" t="s">
        <v>1148</v>
      </c>
      <c r="G18" s="121" t="str">
        <f t="shared" si="0"/>
        <v>170점</v>
      </c>
      <c r="I18" s="63" t="s">
        <v>1156</v>
      </c>
      <c r="J18" s="63" t="s">
        <v>1174</v>
      </c>
      <c r="K18" s="63" t="s">
        <v>1175</v>
      </c>
      <c r="L18" s="63" t="s">
        <v>1177</v>
      </c>
      <c r="N18" s="123" t="str">
        <f t="shared" si="3"/>
        <v>SB-16</v>
      </c>
      <c r="O18" s="121" t="s">
        <v>1139</v>
      </c>
      <c r="Q18" s="121" t="s">
        <v>745</v>
      </c>
      <c r="R18" s="71" t="str">
        <f t="shared" si="4"/>
        <v>S-24-016</v>
      </c>
      <c r="S18" s="121">
        <v>2024</v>
      </c>
      <c r="U18" s="63" t="s">
        <v>1375</v>
      </c>
      <c r="V18" s="63" t="str">
        <f t="shared" si="5"/>
        <v>PS20257761</v>
      </c>
    </row>
    <row r="19" spans="1:22">
      <c r="A19" s="121" t="s">
        <v>1178</v>
      </c>
      <c r="B19" s="121" t="s">
        <v>1201</v>
      </c>
      <c r="C19" s="68">
        <v>60</v>
      </c>
      <c r="D19" s="67">
        <v>1500</v>
      </c>
      <c r="E19" s="67">
        <f t="shared" si="2"/>
        <v>90000</v>
      </c>
      <c r="F19" s="121" t="s">
        <v>1202</v>
      </c>
      <c r="G19" s="121" t="str">
        <f t="shared" si="0"/>
        <v>225점</v>
      </c>
      <c r="N19" s="123" t="str">
        <f t="shared" si="3"/>
        <v>SB-17</v>
      </c>
      <c r="O19" s="121" t="s">
        <v>1139</v>
      </c>
      <c r="Q19" s="121" t="s">
        <v>746</v>
      </c>
      <c r="R19" s="71" t="str">
        <f t="shared" si="4"/>
        <v>S-24-017</v>
      </c>
      <c r="S19" s="121">
        <v>2024</v>
      </c>
    </row>
    <row r="20" spans="1:22">
      <c r="A20" s="121" t="s">
        <v>1203</v>
      </c>
      <c r="B20" s="121" t="s">
        <v>1204</v>
      </c>
      <c r="C20" s="68">
        <v>50</v>
      </c>
      <c r="D20" s="67">
        <v>3000</v>
      </c>
      <c r="E20" s="67">
        <f t="shared" si="2"/>
        <v>150000</v>
      </c>
      <c r="F20" s="121" t="s">
        <v>1205</v>
      </c>
      <c r="G20" s="121" t="str">
        <f t="shared" si="0"/>
        <v>750점</v>
      </c>
      <c r="I20" t="s">
        <v>1206</v>
      </c>
      <c r="N20" s="123" t="str">
        <f t="shared" si="3"/>
        <v>KT-18</v>
      </c>
      <c r="O20" s="121" t="s">
        <v>1207</v>
      </c>
      <c r="Q20" s="121" t="s">
        <v>747</v>
      </c>
      <c r="R20" s="71" t="str">
        <f t="shared" si="4"/>
        <v>S-24-018</v>
      </c>
      <c r="S20" s="121">
        <v>2024</v>
      </c>
    </row>
    <row r="21" spans="1:22">
      <c r="A21" s="121" t="s">
        <v>1208</v>
      </c>
      <c r="B21" s="121" t="s">
        <v>1204</v>
      </c>
      <c r="C21" s="68">
        <v>110</v>
      </c>
      <c r="D21" s="67">
        <v>3000</v>
      </c>
      <c r="E21" s="67">
        <f t="shared" si="2"/>
        <v>330000</v>
      </c>
      <c r="F21" s="121" t="s">
        <v>1205</v>
      </c>
      <c r="G21" s="121" t="str">
        <f t="shared" si="0"/>
        <v>2,310점</v>
      </c>
      <c r="I21" s="63" t="s">
        <v>1209</v>
      </c>
      <c r="J21" s="63" t="s">
        <v>1210</v>
      </c>
      <c r="K21" s="37" t="s">
        <v>1211</v>
      </c>
      <c r="N21" s="123" t="str">
        <f t="shared" si="3"/>
        <v>SB-19</v>
      </c>
      <c r="O21" s="121" t="s">
        <v>1212</v>
      </c>
      <c r="Q21" s="121" t="s">
        <v>749</v>
      </c>
      <c r="R21" s="71" t="str">
        <f t="shared" si="4"/>
        <v>S-24-019</v>
      </c>
      <c r="S21" s="121">
        <v>2024</v>
      </c>
    </row>
    <row r="22" spans="1:22">
      <c r="A22" s="121" t="s">
        <v>1213</v>
      </c>
      <c r="B22" s="121" t="s">
        <v>1201</v>
      </c>
      <c r="C22" s="68">
        <v>45</v>
      </c>
      <c r="D22" s="67">
        <v>1500</v>
      </c>
      <c r="E22" s="67">
        <f t="shared" si="2"/>
        <v>67500</v>
      </c>
      <c r="F22" s="121" t="s">
        <v>1202</v>
      </c>
      <c r="G22" s="121" t="str">
        <f t="shared" si="0"/>
        <v>135점</v>
      </c>
      <c r="I22" s="63" t="s">
        <v>1214</v>
      </c>
      <c r="J22" s="63" t="s">
        <v>1215</v>
      </c>
      <c r="K22" s="74" t="str">
        <f>_xlfn.CONCAT(VALUE(MID(J22,3,3)),"-",VALUE(MID(J22,6,3)))</f>
        <v>9-21</v>
      </c>
      <c r="N22" s="123" t="str">
        <f t="shared" si="3"/>
        <v>KY-20</v>
      </c>
      <c r="O22" s="121" t="s">
        <v>1216</v>
      </c>
      <c r="Q22" s="121" t="s">
        <v>750</v>
      </c>
      <c r="R22" s="71" t="str">
        <f t="shared" si="4"/>
        <v>S-25-020</v>
      </c>
      <c r="S22" s="121">
        <v>2025</v>
      </c>
    </row>
    <row r="23" spans="1:22">
      <c r="A23" s="121" t="s">
        <v>1217</v>
      </c>
      <c r="B23" s="121" t="s">
        <v>1218</v>
      </c>
      <c r="C23" s="68">
        <v>50</v>
      </c>
      <c r="D23" s="67">
        <v>2500</v>
      </c>
      <c r="E23" s="67">
        <f t="shared" si="2"/>
        <v>125000</v>
      </c>
      <c r="F23" s="121" t="s">
        <v>1205</v>
      </c>
      <c r="G23" s="121" t="str">
        <f t="shared" si="0"/>
        <v>625점</v>
      </c>
      <c r="I23" s="63" t="s">
        <v>1219</v>
      </c>
      <c r="J23" s="63" t="s">
        <v>1220</v>
      </c>
      <c r="K23" s="74" t="str">
        <f t="shared" ref="K23:K26" si="6">_xlfn.CONCAT(VALUE(MID(J23,3,3)),"-",VALUE(MID(J23,6,3)))</f>
        <v>12-19</v>
      </c>
      <c r="N23" s="123" t="str">
        <f t="shared" si="3"/>
        <v>KT-21</v>
      </c>
      <c r="O23" s="121" t="s">
        <v>1207</v>
      </c>
      <c r="Q23" s="121" t="s">
        <v>751</v>
      </c>
      <c r="R23" s="71" t="str">
        <f t="shared" si="4"/>
        <v>S-25-021</v>
      </c>
      <c r="S23" s="121">
        <v>2025</v>
      </c>
    </row>
    <row r="24" spans="1:22">
      <c r="A24" s="121" t="s">
        <v>1221</v>
      </c>
      <c r="B24" s="121" t="s">
        <v>1201</v>
      </c>
      <c r="C24" s="68">
        <v>80</v>
      </c>
      <c r="D24" s="67">
        <v>1500</v>
      </c>
      <c r="E24" s="67">
        <f t="shared" si="2"/>
        <v>120000</v>
      </c>
      <c r="F24" s="121" t="s">
        <v>1205</v>
      </c>
      <c r="G24" s="121" t="str">
        <f t="shared" si="0"/>
        <v>720점</v>
      </c>
      <c r="I24" s="63" t="s">
        <v>1222</v>
      </c>
      <c r="J24" s="63" t="s">
        <v>1223</v>
      </c>
      <c r="K24" s="74" t="str">
        <f t="shared" si="6"/>
        <v>10-3</v>
      </c>
      <c r="N24" s="123" t="str">
        <f t="shared" si="3"/>
        <v>SB-22</v>
      </c>
      <c r="O24" s="121" t="s">
        <v>1212</v>
      </c>
      <c r="Q24" s="121" t="s">
        <v>752</v>
      </c>
      <c r="R24" s="71" t="str">
        <f t="shared" si="4"/>
        <v>S-25-022</v>
      </c>
      <c r="S24" s="121">
        <v>2025</v>
      </c>
    </row>
    <row r="25" spans="1:22">
      <c r="F25" s="60"/>
      <c r="I25" s="63" t="s">
        <v>1224</v>
      </c>
      <c r="J25" s="63" t="s">
        <v>1225</v>
      </c>
      <c r="K25" s="74" t="str">
        <f t="shared" si="6"/>
        <v>7-29</v>
      </c>
      <c r="N25" s="123" t="str">
        <f t="shared" si="3"/>
        <v>KY-23</v>
      </c>
      <c r="O25" s="121" t="s">
        <v>1216</v>
      </c>
      <c r="Q25" s="121" t="s">
        <v>753</v>
      </c>
      <c r="R25" s="71" t="str">
        <f t="shared" si="4"/>
        <v>S-25-023</v>
      </c>
      <c r="S25" s="121">
        <v>2025</v>
      </c>
    </row>
    <row r="26" spans="1:22">
      <c r="A26" t="s">
        <v>1226</v>
      </c>
      <c r="I26" s="63" t="s">
        <v>1227</v>
      </c>
      <c r="J26" s="63" t="s">
        <v>1228</v>
      </c>
      <c r="K26" s="74" t="str">
        <f t="shared" si="6"/>
        <v>13-31</v>
      </c>
      <c r="N26" s="123" t="str">
        <f t="shared" si="3"/>
        <v>KT-24</v>
      </c>
      <c r="O26" s="121" t="s">
        <v>1207</v>
      </c>
      <c r="Q26" s="121" t="s">
        <v>754</v>
      </c>
      <c r="R26" s="71" t="str">
        <f t="shared" si="4"/>
        <v>S-25-024</v>
      </c>
      <c r="S26" s="121">
        <v>2025</v>
      </c>
    </row>
    <row r="27" spans="1:22">
      <c r="A27" s="221" t="s">
        <v>1229</v>
      </c>
      <c r="B27" s="222"/>
      <c r="C27" s="121" t="s">
        <v>1205</v>
      </c>
      <c r="D27" s="121" t="s">
        <v>1202</v>
      </c>
      <c r="E27" s="121" t="s">
        <v>1230</v>
      </c>
      <c r="N27" s="123" t="str">
        <f t="shared" si="3"/>
        <v>SB-25</v>
      </c>
      <c r="O27" s="121" t="s">
        <v>1212</v>
      </c>
      <c r="Q27" s="121" t="s">
        <v>755</v>
      </c>
      <c r="R27" s="71" t="str">
        <f t="shared" si="4"/>
        <v>S-25-025</v>
      </c>
      <c r="S27" s="121">
        <v>2025</v>
      </c>
    </row>
    <row r="28" spans="1:22">
      <c r="A28" s="75">
        <v>0</v>
      </c>
      <c r="B28" s="76">
        <v>10</v>
      </c>
      <c r="C28" s="77">
        <v>2E-3</v>
      </c>
      <c r="D28" s="77">
        <v>1E-3</v>
      </c>
      <c r="E28" s="77">
        <v>3.0000000000000003E-4</v>
      </c>
      <c r="I28" t="s">
        <v>1231</v>
      </c>
      <c r="N28" s="123" t="str">
        <f t="shared" si="3"/>
        <v>KY-26</v>
      </c>
      <c r="O28" s="121" t="s">
        <v>1216</v>
      </c>
      <c r="Q28" s="121" t="s">
        <v>756</v>
      </c>
      <c r="R28" s="71" t="str">
        <f t="shared" si="4"/>
        <v>S-25-026</v>
      </c>
      <c r="S28" s="121">
        <v>2025</v>
      </c>
    </row>
    <row r="29" spans="1:22" ht="16.5" customHeight="1">
      <c r="A29" s="75">
        <v>10</v>
      </c>
      <c r="B29" s="76">
        <v>30</v>
      </c>
      <c r="C29" s="77">
        <v>3.5000000000000001E-3</v>
      </c>
      <c r="D29" s="77">
        <v>1.5E-3</v>
      </c>
      <c r="E29" s="77">
        <v>5.0000000000000001E-4</v>
      </c>
      <c r="I29" s="121" t="s">
        <v>757</v>
      </c>
      <c r="J29" s="121" t="s">
        <v>297</v>
      </c>
      <c r="N29" s="123" t="str">
        <f t="shared" si="3"/>
        <v>KY-27</v>
      </c>
      <c r="O29" s="121" t="s">
        <v>1216</v>
      </c>
      <c r="Q29" s="121" t="s">
        <v>758</v>
      </c>
      <c r="R29" s="71" t="str">
        <f t="shared" si="4"/>
        <v>S-25-027</v>
      </c>
      <c r="S29" s="121">
        <v>2025</v>
      </c>
    </row>
    <row r="30" spans="1:22">
      <c r="A30" s="75">
        <v>30</v>
      </c>
      <c r="B30" s="76">
        <v>50</v>
      </c>
      <c r="C30" s="77">
        <v>5.0000000000000001E-3</v>
      </c>
      <c r="D30" s="77">
        <v>2E-3</v>
      </c>
      <c r="E30" s="77">
        <v>1E-3</v>
      </c>
      <c r="I30" s="78" t="s">
        <v>759</v>
      </c>
      <c r="J30" s="121" t="s">
        <v>760</v>
      </c>
      <c r="Q30" s="121" t="s">
        <v>761</v>
      </c>
      <c r="R30" s="71" t="str">
        <f t="shared" si="4"/>
        <v>S-25-028</v>
      </c>
      <c r="S30" s="121">
        <v>2025</v>
      </c>
    </row>
    <row r="31" spans="1:22">
      <c r="A31" s="75">
        <v>50</v>
      </c>
      <c r="B31" s="76">
        <v>70</v>
      </c>
      <c r="C31" s="77">
        <v>5.0000000000000001E-3</v>
      </c>
      <c r="D31" s="77">
        <v>2.5000000000000001E-3</v>
      </c>
      <c r="E31" s="77">
        <v>2E-3</v>
      </c>
      <c r="I31" s="78" t="s">
        <v>762</v>
      </c>
      <c r="J31" s="121" t="s">
        <v>763</v>
      </c>
    </row>
    <row r="32" spans="1:22">
      <c r="A32" s="75">
        <v>70</v>
      </c>
      <c r="B32" s="76">
        <v>100</v>
      </c>
      <c r="C32" s="77">
        <v>6.0000000000000001E-3</v>
      </c>
      <c r="D32" s="77">
        <v>3.5000000000000001E-3</v>
      </c>
      <c r="E32" s="77">
        <v>3.0000000000000001E-3</v>
      </c>
      <c r="I32" s="78" t="s">
        <v>764</v>
      </c>
      <c r="J32" s="121" t="s">
        <v>765</v>
      </c>
    </row>
    <row r="33" spans="1:5">
      <c r="A33" s="75">
        <v>100</v>
      </c>
      <c r="B33" s="120"/>
      <c r="C33" s="77">
        <v>7.0000000000000001E-3</v>
      </c>
      <c r="D33" s="77">
        <v>4.4999999999999997E-3</v>
      </c>
      <c r="E33" s="77">
        <v>4.0000000000000001E-3</v>
      </c>
    </row>
  </sheetData>
  <mergeCells count="2">
    <mergeCell ref="I15:I16"/>
    <mergeCell ref="A27:B27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9"/>
  <dimension ref="A1:K37"/>
  <sheetViews>
    <sheetView zoomScaleNormal="100" workbookViewId="0"/>
  </sheetViews>
  <sheetFormatPr defaultRowHeight="16.5"/>
  <cols>
    <col min="2" max="2" width="12.1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>
      <c r="A1" s="8" t="s">
        <v>2</v>
      </c>
      <c r="B1" s="9" t="s">
        <v>302</v>
      </c>
      <c r="C1" s="8"/>
      <c r="D1" s="8"/>
      <c r="E1" s="8"/>
      <c r="F1" s="8"/>
      <c r="G1" s="8" t="s">
        <v>4</v>
      </c>
      <c r="H1" s="19"/>
      <c r="I1" s="19"/>
      <c r="J1" s="19"/>
      <c r="K1" s="8"/>
    </row>
    <row r="2" spans="1:11">
      <c r="A2" s="124" t="s">
        <v>299</v>
      </c>
      <c r="B2" s="124" t="s">
        <v>114</v>
      </c>
      <c r="C2" s="124" t="s">
        <v>111</v>
      </c>
      <c r="D2" s="124" t="s">
        <v>277</v>
      </c>
      <c r="E2" s="125" t="s">
        <v>288</v>
      </c>
      <c r="F2" s="8"/>
      <c r="G2" s="124" t="s">
        <v>303</v>
      </c>
      <c r="H2" s="124" t="s">
        <v>304</v>
      </c>
      <c r="I2" s="124" t="s">
        <v>305</v>
      </c>
      <c r="J2" s="125" t="s">
        <v>306</v>
      </c>
      <c r="K2" s="8"/>
    </row>
    <row r="3" spans="1:11">
      <c r="A3" s="124">
        <v>1</v>
      </c>
      <c r="B3" s="124" t="s">
        <v>307</v>
      </c>
      <c r="C3" s="124" t="s">
        <v>125</v>
      </c>
      <c r="D3" s="124">
        <v>78</v>
      </c>
      <c r="E3" s="128"/>
      <c r="F3" s="8"/>
      <c r="G3" s="124" t="s">
        <v>308</v>
      </c>
      <c r="H3" s="124" t="s">
        <v>309</v>
      </c>
      <c r="I3" s="124" t="s">
        <v>310</v>
      </c>
      <c r="J3" s="128"/>
      <c r="K3" s="8"/>
    </row>
    <row r="4" spans="1:11">
      <c r="A4" s="124">
        <v>1</v>
      </c>
      <c r="B4" s="124" t="s">
        <v>311</v>
      </c>
      <c r="C4" s="124" t="s">
        <v>120</v>
      </c>
      <c r="D4" s="124">
        <v>86</v>
      </c>
      <c r="E4" s="128"/>
      <c r="F4" s="8"/>
      <c r="G4" s="124" t="s">
        <v>312</v>
      </c>
      <c r="H4" s="124" t="s">
        <v>313</v>
      </c>
      <c r="I4" s="124" t="s">
        <v>314</v>
      </c>
      <c r="J4" s="128"/>
      <c r="K4" s="8"/>
    </row>
    <row r="5" spans="1:11">
      <c r="A5" s="124">
        <v>1</v>
      </c>
      <c r="B5" s="124" t="s">
        <v>315</v>
      </c>
      <c r="C5" s="124" t="s">
        <v>120</v>
      </c>
      <c r="D5" s="124">
        <v>90</v>
      </c>
      <c r="E5" s="128"/>
      <c r="F5" s="8"/>
      <c r="G5" s="124" t="s">
        <v>316</v>
      </c>
      <c r="H5" s="124" t="s">
        <v>317</v>
      </c>
      <c r="I5" s="124" t="s">
        <v>318</v>
      </c>
      <c r="J5" s="128"/>
      <c r="K5" s="8"/>
    </row>
    <row r="6" spans="1:11">
      <c r="A6" s="124">
        <v>1</v>
      </c>
      <c r="B6" s="124" t="s">
        <v>319</v>
      </c>
      <c r="C6" s="124" t="s">
        <v>125</v>
      </c>
      <c r="D6" s="124">
        <v>91</v>
      </c>
      <c r="E6" s="128"/>
      <c r="F6" s="8"/>
      <c r="G6" s="124" t="s">
        <v>320</v>
      </c>
      <c r="H6" s="124" t="s">
        <v>321</v>
      </c>
      <c r="I6" s="124" t="s">
        <v>322</v>
      </c>
      <c r="J6" s="128"/>
      <c r="K6" s="8"/>
    </row>
    <row r="7" spans="1:11">
      <c r="A7" s="124">
        <v>2</v>
      </c>
      <c r="B7" s="124" t="s">
        <v>323</v>
      </c>
      <c r="C7" s="124" t="s">
        <v>125</v>
      </c>
      <c r="D7" s="124">
        <v>92</v>
      </c>
      <c r="E7" s="128"/>
      <c r="F7" s="8"/>
      <c r="G7" s="124" t="s">
        <v>324</v>
      </c>
      <c r="H7" s="124" t="s">
        <v>325</v>
      </c>
      <c r="I7" s="124" t="s">
        <v>326</v>
      </c>
      <c r="J7" s="128"/>
      <c r="K7" s="8"/>
    </row>
    <row r="8" spans="1:11">
      <c r="A8" s="124">
        <v>2</v>
      </c>
      <c r="B8" s="124" t="s">
        <v>327</v>
      </c>
      <c r="C8" s="124" t="s">
        <v>125</v>
      </c>
      <c r="D8" s="124">
        <v>82</v>
      </c>
      <c r="E8" s="128"/>
      <c r="F8" s="8"/>
      <c r="G8" s="124" t="s">
        <v>328</v>
      </c>
      <c r="H8" s="124" t="s">
        <v>329</v>
      </c>
      <c r="I8" s="124" t="s">
        <v>330</v>
      </c>
      <c r="J8" s="128"/>
      <c r="K8" s="8"/>
    </row>
    <row r="9" spans="1:11">
      <c r="A9" s="124">
        <v>2</v>
      </c>
      <c r="B9" s="124" t="s">
        <v>331</v>
      </c>
      <c r="C9" s="124" t="s">
        <v>120</v>
      </c>
      <c r="D9" s="124">
        <v>94</v>
      </c>
      <c r="E9" s="128"/>
      <c r="F9" s="8"/>
      <c r="G9" s="124" t="s">
        <v>332</v>
      </c>
      <c r="H9" s="124" t="s">
        <v>333</v>
      </c>
      <c r="I9" s="124" t="s">
        <v>334</v>
      </c>
      <c r="J9" s="128"/>
      <c r="K9" s="8"/>
    </row>
    <row r="10" spans="1:11">
      <c r="A10" s="124">
        <v>3</v>
      </c>
      <c r="B10" s="124" t="s">
        <v>335</v>
      </c>
      <c r="C10" s="124" t="s">
        <v>125</v>
      </c>
      <c r="D10" s="124">
        <v>89</v>
      </c>
      <c r="E10" s="128"/>
      <c r="F10" s="8"/>
      <c r="G10" s="124" t="s">
        <v>336</v>
      </c>
      <c r="H10" s="124" t="s">
        <v>337</v>
      </c>
      <c r="I10" s="124" t="s">
        <v>338</v>
      </c>
      <c r="J10" s="128"/>
      <c r="K10" s="8"/>
    </row>
    <row r="11" spans="1:11">
      <c r="A11" s="124">
        <v>3</v>
      </c>
      <c r="B11" s="124" t="s">
        <v>339</v>
      </c>
      <c r="C11" s="124" t="s">
        <v>120</v>
      </c>
      <c r="D11" s="124">
        <v>93</v>
      </c>
      <c r="E11" s="128"/>
      <c r="F11" s="8"/>
      <c r="G11" s="19"/>
      <c r="H11" s="19"/>
      <c r="I11" s="19"/>
      <c r="J11" s="19"/>
      <c r="K11" s="8"/>
    </row>
    <row r="12" spans="1:11">
      <c r="A12" s="124">
        <v>3</v>
      </c>
      <c r="B12" s="124" t="s">
        <v>340</v>
      </c>
      <c r="C12" s="124" t="s">
        <v>120</v>
      </c>
      <c r="D12" s="124">
        <v>87</v>
      </c>
      <c r="E12" s="128"/>
      <c r="F12" s="8"/>
      <c r="G12" s="124" t="s">
        <v>341</v>
      </c>
      <c r="H12" s="124" t="s">
        <v>342</v>
      </c>
      <c r="I12" s="124" t="s">
        <v>343</v>
      </c>
      <c r="J12" s="124" t="s">
        <v>344</v>
      </c>
      <c r="K12" s="8"/>
    </row>
    <row r="13" spans="1:11">
      <c r="A13" s="8"/>
      <c r="B13" s="8"/>
      <c r="C13" s="8"/>
      <c r="D13" s="8"/>
      <c r="E13" s="8"/>
      <c r="F13" s="8"/>
      <c r="G13" s="124" t="s">
        <v>345</v>
      </c>
      <c r="H13" s="124" t="s">
        <v>346</v>
      </c>
      <c r="I13" s="124" t="s">
        <v>347</v>
      </c>
      <c r="J13" s="124" t="s">
        <v>348</v>
      </c>
      <c r="K13" s="8"/>
    </row>
    <row r="14" spans="1:11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>
      <c r="A15" s="8" t="s">
        <v>49</v>
      </c>
      <c r="B15" s="9" t="s">
        <v>349</v>
      </c>
      <c r="C15" s="8"/>
      <c r="D15" s="8"/>
      <c r="E15" s="8"/>
      <c r="F15" s="8"/>
      <c r="G15" s="8" t="s">
        <v>51</v>
      </c>
      <c r="H15" s="19"/>
      <c r="I15" s="19"/>
      <c r="J15" s="19"/>
      <c r="K15" s="19"/>
    </row>
    <row r="16" spans="1:11">
      <c r="A16" s="124" t="s">
        <v>57</v>
      </c>
      <c r="B16" s="124" t="s">
        <v>13</v>
      </c>
      <c r="C16" s="124" t="s">
        <v>14</v>
      </c>
      <c r="D16" s="125" t="s">
        <v>288</v>
      </c>
      <c r="E16" s="8"/>
      <c r="F16" s="8"/>
      <c r="G16" s="124" t="s">
        <v>232</v>
      </c>
      <c r="H16" s="127" t="s">
        <v>350</v>
      </c>
      <c r="I16" s="127" t="s">
        <v>351</v>
      </c>
      <c r="J16" s="124" t="s">
        <v>118</v>
      </c>
      <c r="K16" s="26" t="s">
        <v>352</v>
      </c>
    </row>
    <row r="17" spans="1:11">
      <c r="A17" s="124" t="s">
        <v>353</v>
      </c>
      <c r="B17" s="126">
        <v>642</v>
      </c>
      <c r="C17" s="126">
        <v>8025000</v>
      </c>
      <c r="D17" s="128"/>
      <c r="E17" s="8"/>
      <c r="F17" s="8"/>
      <c r="G17" s="124" t="s">
        <v>354</v>
      </c>
      <c r="H17" s="127">
        <v>82</v>
      </c>
      <c r="I17" s="127">
        <v>94</v>
      </c>
      <c r="J17" s="124">
        <f t="shared" ref="J17:J24" si="0">SUM(H17:I17)</f>
        <v>176</v>
      </c>
      <c r="K17" s="1"/>
    </row>
    <row r="18" spans="1:11">
      <c r="A18" s="124" t="s">
        <v>355</v>
      </c>
      <c r="B18" s="126">
        <v>241</v>
      </c>
      <c r="C18" s="126">
        <v>3012500</v>
      </c>
      <c r="D18" s="128"/>
      <c r="E18" s="8"/>
      <c r="F18" s="8"/>
      <c r="G18" s="124" t="s">
        <v>356</v>
      </c>
      <c r="H18" s="127">
        <v>63</v>
      </c>
      <c r="I18" s="127">
        <v>83</v>
      </c>
      <c r="J18" s="124">
        <f t="shared" si="0"/>
        <v>146</v>
      </c>
      <c r="K18" s="124"/>
    </row>
    <row r="19" spans="1:11">
      <c r="A19" s="124" t="s">
        <v>357</v>
      </c>
      <c r="B19" s="126">
        <v>289</v>
      </c>
      <c r="C19" s="126">
        <v>3612500</v>
      </c>
      <c r="D19" s="128"/>
      <c r="E19" s="8"/>
      <c r="F19" s="8"/>
      <c r="G19" s="124" t="s">
        <v>358</v>
      </c>
      <c r="H19" s="127">
        <v>76</v>
      </c>
      <c r="I19" s="127">
        <v>86</v>
      </c>
      <c r="J19" s="124">
        <f t="shared" si="0"/>
        <v>162</v>
      </c>
      <c r="K19" s="124"/>
    </row>
    <row r="20" spans="1:11">
      <c r="A20" s="124" t="s">
        <v>359</v>
      </c>
      <c r="B20" s="126">
        <v>685</v>
      </c>
      <c r="C20" s="126">
        <v>8562500</v>
      </c>
      <c r="D20" s="128"/>
      <c r="E20" s="8"/>
      <c r="F20" s="8"/>
      <c r="G20" s="124" t="s">
        <v>360</v>
      </c>
      <c r="H20" s="127">
        <v>62</v>
      </c>
      <c r="I20" s="127">
        <v>88</v>
      </c>
      <c r="J20" s="124">
        <f t="shared" si="0"/>
        <v>150</v>
      </c>
      <c r="K20" s="124"/>
    </row>
    <row r="21" spans="1:11">
      <c r="A21" s="124" t="s">
        <v>361</v>
      </c>
      <c r="B21" s="126">
        <v>917</v>
      </c>
      <c r="C21" s="126">
        <v>11462500</v>
      </c>
      <c r="D21" s="128"/>
      <c r="E21" s="8"/>
      <c r="F21" s="8"/>
      <c r="G21" s="124" t="s">
        <v>362</v>
      </c>
      <c r="H21" s="127">
        <v>92</v>
      </c>
      <c r="I21" s="127">
        <v>96</v>
      </c>
      <c r="J21" s="124">
        <f t="shared" si="0"/>
        <v>188</v>
      </c>
      <c r="K21" s="124"/>
    </row>
    <row r="22" spans="1:11">
      <c r="A22" s="124" t="s">
        <v>363</v>
      </c>
      <c r="B22" s="126">
        <v>862</v>
      </c>
      <c r="C22" s="126">
        <v>10775000</v>
      </c>
      <c r="D22" s="128"/>
      <c r="E22" s="8"/>
      <c r="F22" s="8"/>
      <c r="G22" s="124" t="s">
        <v>364</v>
      </c>
      <c r="H22" s="127">
        <v>85</v>
      </c>
      <c r="I22" s="127">
        <v>80</v>
      </c>
      <c r="J22" s="124">
        <f t="shared" si="0"/>
        <v>165</v>
      </c>
      <c r="K22" s="124"/>
    </row>
    <row r="23" spans="1:11">
      <c r="A23" s="124" t="s">
        <v>365</v>
      </c>
      <c r="B23" s="126">
        <v>571</v>
      </c>
      <c r="C23" s="126">
        <v>7137500</v>
      </c>
      <c r="D23" s="128"/>
      <c r="E23" s="8"/>
      <c r="F23" s="8"/>
      <c r="G23" s="124" t="s">
        <v>366</v>
      </c>
      <c r="H23" s="127">
        <v>62</v>
      </c>
      <c r="I23" s="127">
        <v>77</v>
      </c>
      <c r="J23" s="124">
        <f t="shared" si="0"/>
        <v>139</v>
      </c>
      <c r="K23" s="124"/>
    </row>
    <row r="24" spans="1:11">
      <c r="A24" s="124" t="s">
        <v>367</v>
      </c>
      <c r="B24" s="126">
        <v>295</v>
      </c>
      <c r="C24" s="126">
        <v>3687500</v>
      </c>
      <c r="D24" s="128"/>
      <c r="E24" s="8"/>
      <c r="F24" s="8"/>
      <c r="G24" s="124" t="s">
        <v>368</v>
      </c>
      <c r="H24" s="127">
        <v>73</v>
      </c>
      <c r="I24" s="127">
        <v>68</v>
      </c>
      <c r="J24" s="124">
        <f t="shared" si="0"/>
        <v>141</v>
      </c>
      <c r="K24" s="124"/>
    </row>
    <row r="25" spans="1:11">
      <c r="A25" s="124" t="s">
        <v>369</v>
      </c>
      <c r="B25" s="126">
        <v>384</v>
      </c>
      <c r="C25" s="126">
        <v>4800000</v>
      </c>
      <c r="D25" s="128"/>
      <c r="E25" s="8"/>
      <c r="F25" s="8"/>
      <c r="G25" s="8"/>
      <c r="H25" s="8"/>
      <c r="I25" s="8"/>
      <c r="J25" s="8"/>
      <c r="K25" s="8"/>
    </row>
    <row r="26" spans="1:11">
      <c r="A26" s="124" t="s">
        <v>370</v>
      </c>
      <c r="B26" s="126">
        <v>166</v>
      </c>
      <c r="C26" s="126">
        <v>2075000</v>
      </c>
      <c r="D26" s="128"/>
      <c r="E26" s="8"/>
      <c r="F26" s="8"/>
      <c r="G26" s="8"/>
      <c r="H26" s="8"/>
      <c r="I26" s="8"/>
      <c r="J26" s="8"/>
      <c r="K26" s="8"/>
    </row>
    <row r="28" spans="1:11">
      <c r="A28" s="35" t="s">
        <v>106</v>
      </c>
      <c r="B28" s="99"/>
      <c r="C28" s="35"/>
      <c r="D28" s="35"/>
      <c r="G28" s="35" t="s">
        <v>108</v>
      </c>
      <c r="H28" s="99" t="s">
        <v>202</v>
      </c>
      <c r="I28" s="35"/>
      <c r="J28" s="35"/>
    </row>
    <row r="29" spans="1:11">
      <c r="A29" s="128" t="s">
        <v>1232</v>
      </c>
      <c r="B29" s="128" t="s">
        <v>1233</v>
      </c>
      <c r="C29" s="128" t="s">
        <v>1234</v>
      </c>
      <c r="D29" s="125" t="s">
        <v>1235</v>
      </c>
      <c r="G29" s="128" t="s">
        <v>1236</v>
      </c>
      <c r="H29" s="128" t="s">
        <v>111</v>
      </c>
      <c r="I29" s="128" t="s">
        <v>1237</v>
      </c>
      <c r="J29" s="125" t="s">
        <v>53</v>
      </c>
    </row>
    <row r="30" spans="1:11">
      <c r="A30" s="128">
        <v>50123</v>
      </c>
      <c r="B30" s="129">
        <v>45933</v>
      </c>
      <c r="C30" s="126">
        <v>120000</v>
      </c>
      <c r="D30" s="128"/>
      <c r="G30" s="128" t="s">
        <v>1238</v>
      </c>
      <c r="H30" s="128" t="s">
        <v>120</v>
      </c>
      <c r="I30" s="128" t="s">
        <v>209</v>
      </c>
      <c r="J30" s="128"/>
    </row>
    <row r="31" spans="1:11">
      <c r="A31" s="128">
        <v>50124</v>
      </c>
      <c r="B31" s="129">
        <v>45936</v>
      </c>
      <c r="C31" s="126">
        <v>320000</v>
      </c>
      <c r="D31" s="128"/>
      <c r="G31" s="128" t="s">
        <v>1239</v>
      </c>
      <c r="H31" s="128" t="s">
        <v>120</v>
      </c>
      <c r="I31" s="128" t="s">
        <v>209</v>
      </c>
      <c r="J31" s="128"/>
    </row>
    <row r="32" spans="1:11">
      <c r="A32" s="128">
        <v>50125</v>
      </c>
      <c r="B32" s="129">
        <v>45948</v>
      </c>
      <c r="C32" s="126">
        <v>180000</v>
      </c>
      <c r="D32" s="128"/>
      <c r="G32" s="128" t="s">
        <v>1240</v>
      </c>
      <c r="H32" s="128" t="s">
        <v>125</v>
      </c>
      <c r="I32" s="128" t="s">
        <v>209</v>
      </c>
      <c r="J32" s="128"/>
    </row>
    <row r="33" spans="1:10">
      <c r="A33" s="128">
        <v>50126</v>
      </c>
      <c r="B33" s="129">
        <v>45952</v>
      </c>
      <c r="C33" s="126">
        <v>150000</v>
      </c>
      <c r="D33" s="128"/>
      <c r="G33" s="128" t="s">
        <v>1241</v>
      </c>
      <c r="H33" s="128" t="s">
        <v>125</v>
      </c>
      <c r="I33" s="128" t="s">
        <v>165</v>
      </c>
      <c r="J33" s="128"/>
    </row>
    <row r="34" spans="1:10">
      <c r="A34" s="128">
        <v>50127</v>
      </c>
      <c r="B34" s="129">
        <v>45961</v>
      </c>
      <c r="C34" s="126">
        <v>510000</v>
      </c>
      <c r="D34" s="128"/>
      <c r="G34" s="128" t="s">
        <v>1242</v>
      </c>
      <c r="H34" s="128" t="s">
        <v>120</v>
      </c>
      <c r="I34" s="128" t="s">
        <v>165</v>
      </c>
      <c r="J34" s="128"/>
    </row>
    <row r="35" spans="1:10">
      <c r="A35" s="128">
        <v>50128</v>
      </c>
      <c r="B35" s="129">
        <v>45965</v>
      </c>
      <c r="C35" s="126">
        <v>420000</v>
      </c>
      <c r="D35" s="128"/>
      <c r="G35" s="128" t="s">
        <v>1243</v>
      </c>
      <c r="H35" s="128" t="s">
        <v>125</v>
      </c>
      <c r="I35" s="128" t="s">
        <v>170</v>
      </c>
      <c r="J35" s="128"/>
    </row>
    <row r="36" spans="1:10">
      <c r="A36" s="128">
        <v>50129</v>
      </c>
      <c r="B36" s="129">
        <v>45970</v>
      </c>
      <c r="C36" s="126">
        <v>740000</v>
      </c>
      <c r="D36" s="128"/>
      <c r="G36" s="128" t="s">
        <v>1244</v>
      </c>
      <c r="H36" s="128" t="s">
        <v>120</v>
      </c>
      <c r="I36" s="128" t="s">
        <v>170</v>
      </c>
      <c r="J36" s="128"/>
    </row>
    <row r="37" spans="1:10">
      <c r="A37" s="128">
        <v>50130</v>
      </c>
      <c r="B37" s="129">
        <v>45981</v>
      </c>
      <c r="C37" s="126">
        <v>654000</v>
      </c>
      <c r="D37" s="128"/>
      <c r="G37" s="128" t="s">
        <v>1245</v>
      </c>
      <c r="H37" s="128" t="s">
        <v>120</v>
      </c>
      <c r="I37" s="128" t="s">
        <v>170</v>
      </c>
      <c r="J37" s="128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0"/>
  <dimension ref="A1:K37"/>
  <sheetViews>
    <sheetView topLeftCell="A10" workbookViewId="0"/>
  </sheetViews>
  <sheetFormatPr defaultRowHeight="16.5"/>
  <cols>
    <col min="2" max="2" width="10.7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>
      <c r="A1" s="8" t="s">
        <v>2</v>
      </c>
      <c r="B1" s="9" t="s">
        <v>302</v>
      </c>
      <c r="C1" s="8"/>
      <c r="D1" s="8"/>
      <c r="E1" s="8"/>
      <c r="F1" s="8"/>
      <c r="G1" s="8" t="s">
        <v>4</v>
      </c>
      <c r="H1" s="19"/>
      <c r="I1" s="19"/>
      <c r="J1" s="19"/>
      <c r="K1" s="8"/>
    </row>
    <row r="2" spans="1:11">
      <c r="A2" s="23" t="s">
        <v>299</v>
      </c>
      <c r="B2" s="23" t="s">
        <v>114</v>
      </c>
      <c r="C2" s="23" t="s">
        <v>111</v>
      </c>
      <c r="D2" s="23" t="s">
        <v>277</v>
      </c>
      <c r="E2" s="27" t="s">
        <v>288</v>
      </c>
      <c r="F2" s="8"/>
      <c r="G2" s="23" t="s">
        <v>303</v>
      </c>
      <c r="H2" s="23" t="s">
        <v>304</v>
      </c>
      <c r="I2" s="23" t="s">
        <v>305</v>
      </c>
      <c r="J2" s="27" t="s">
        <v>306</v>
      </c>
      <c r="K2" s="8"/>
    </row>
    <row r="3" spans="1:11">
      <c r="A3" s="23">
        <v>1</v>
      </c>
      <c r="B3" s="23" t="s">
        <v>307</v>
      </c>
      <c r="C3" s="23" t="s">
        <v>125</v>
      </c>
      <c r="D3" s="23">
        <v>78</v>
      </c>
      <c r="E3" s="29" t="str">
        <f>IFERROR(CHOOSE(_xlfn.RANK.EQ(D3,$D$3:$D$12),"대상","금상","은상","동상"),"")</f>
        <v/>
      </c>
      <c r="F3" s="8"/>
      <c r="G3" s="23" t="s">
        <v>308</v>
      </c>
      <c r="H3" s="23" t="s">
        <v>309</v>
      </c>
      <c r="I3" s="23" t="s">
        <v>310</v>
      </c>
      <c r="J3" s="29" t="str">
        <f>IFERROR(HLOOKUP(LEFT(G3,1),$H$12:$J$13,2,FALSE),"코드오류")</f>
        <v>멀티미디어</v>
      </c>
      <c r="K3" s="8"/>
    </row>
    <row r="4" spans="1:11">
      <c r="A4" s="23">
        <v>1</v>
      </c>
      <c r="B4" s="23" t="s">
        <v>311</v>
      </c>
      <c r="C4" s="23" t="s">
        <v>120</v>
      </c>
      <c r="D4" s="23">
        <v>86</v>
      </c>
      <c r="E4" s="119" t="str">
        <f t="shared" ref="E4:E12" si="0">IFERROR(CHOOSE(_xlfn.RANK.EQ(D4,$D$3:$D$12),"대상","금상","은상","동상"),"")</f>
        <v/>
      </c>
      <c r="F4" s="8"/>
      <c r="G4" s="23" t="s">
        <v>312</v>
      </c>
      <c r="H4" s="23" t="s">
        <v>313</v>
      </c>
      <c r="I4" s="23" t="s">
        <v>314</v>
      </c>
      <c r="J4" s="29" t="str">
        <f t="shared" ref="J4:J10" si="1">IFERROR(HLOOKUP(LEFT(G4,1),$H$12:$J$13,2,FALSE),"코드오류")</f>
        <v>네트워크</v>
      </c>
      <c r="K4" s="8"/>
    </row>
    <row r="5" spans="1:11">
      <c r="A5" s="23">
        <v>1</v>
      </c>
      <c r="B5" s="23" t="s">
        <v>315</v>
      </c>
      <c r="C5" s="23" t="s">
        <v>120</v>
      </c>
      <c r="D5" s="23">
        <v>90</v>
      </c>
      <c r="E5" s="119" t="str">
        <f t="shared" si="0"/>
        <v/>
      </c>
      <c r="F5" s="8"/>
      <c r="G5" s="23" t="s">
        <v>316</v>
      </c>
      <c r="H5" s="23" t="s">
        <v>317</v>
      </c>
      <c r="I5" s="23" t="s">
        <v>318</v>
      </c>
      <c r="J5" s="29" t="str">
        <f t="shared" si="1"/>
        <v>소프트웨어</v>
      </c>
      <c r="K5" s="8"/>
    </row>
    <row r="6" spans="1:11">
      <c r="A6" s="23">
        <v>1</v>
      </c>
      <c r="B6" s="23" t="s">
        <v>319</v>
      </c>
      <c r="C6" s="23" t="s">
        <v>125</v>
      </c>
      <c r="D6" s="23">
        <v>91</v>
      </c>
      <c r="E6" s="119" t="str">
        <f t="shared" si="0"/>
        <v>동상</v>
      </c>
      <c r="F6" s="8"/>
      <c r="G6" s="23" t="s">
        <v>320</v>
      </c>
      <c r="H6" s="23" t="s">
        <v>321</v>
      </c>
      <c r="I6" s="23" t="s">
        <v>322</v>
      </c>
      <c r="J6" s="29" t="str">
        <f t="shared" si="1"/>
        <v>멀티미디어</v>
      </c>
      <c r="K6" s="8"/>
    </row>
    <row r="7" spans="1:11">
      <c r="A7" s="23">
        <v>2</v>
      </c>
      <c r="B7" s="23" t="s">
        <v>323</v>
      </c>
      <c r="C7" s="23" t="s">
        <v>125</v>
      </c>
      <c r="D7" s="23">
        <v>92</v>
      </c>
      <c r="E7" s="119" t="str">
        <f t="shared" si="0"/>
        <v>은상</v>
      </c>
      <c r="F7" s="8"/>
      <c r="G7" s="23" t="s">
        <v>324</v>
      </c>
      <c r="H7" s="23" t="s">
        <v>325</v>
      </c>
      <c r="I7" s="23" t="s">
        <v>326</v>
      </c>
      <c r="J7" s="29" t="str">
        <f t="shared" si="1"/>
        <v>소프트웨어</v>
      </c>
      <c r="K7" s="8"/>
    </row>
    <row r="8" spans="1:11">
      <c r="A8" s="23">
        <v>2</v>
      </c>
      <c r="B8" s="23" t="s">
        <v>327</v>
      </c>
      <c r="C8" s="23" t="s">
        <v>125</v>
      </c>
      <c r="D8" s="23">
        <v>82</v>
      </c>
      <c r="E8" s="119" t="str">
        <f t="shared" si="0"/>
        <v/>
      </c>
      <c r="F8" s="8"/>
      <c r="G8" s="23" t="s">
        <v>328</v>
      </c>
      <c r="H8" s="23" t="s">
        <v>329</v>
      </c>
      <c r="I8" s="23" t="s">
        <v>330</v>
      </c>
      <c r="J8" s="29" t="str">
        <f t="shared" si="1"/>
        <v>네트워크</v>
      </c>
      <c r="K8" s="8"/>
    </row>
    <row r="9" spans="1:11">
      <c r="A9" s="23">
        <v>2</v>
      </c>
      <c r="B9" s="23" t="s">
        <v>331</v>
      </c>
      <c r="C9" s="23" t="s">
        <v>120</v>
      </c>
      <c r="D9" s="23">
        <v>94</v>
      </c>
      <c r="E9" s="119" t="str">
        <f t="shared" si="0"/>
        <v>대상</v>
      </c>
      <c r="F9" s="8"/>
      <c r="G9" s="23" t="s">
        <v>332</v>
      </c>
      <c r="H9" s="23" t="s">
        <v>333</v>
      </c>
      <c r="I9" s="23" t="s">
        <v>334</v>
      </c>
      <c r="J9" s="29" t="str">
        <f t="shared" si="1"/>
        <v>멀티미디어</v>
      </c>
      <c r="K9" s="8"/>
    </row>
    <row r="10" spans="1:11">
      <c r="A10" s="23">
        <v>3</v>
      </c>
      <c r="B10" s="23" t="s">
        <v>335</v>
      </c>
      <c r="C10" s="23" t="s">
        <v>125</v>
      </c>
      <c r="D10" s="23">
        <v>89</v>
      </c>
      <c r="E10" s="119" t="str">
        <f t="shared" si="0"/>
        <v/>
      </c>
      <c r="F10" s="8"/>
      <c r="G10" s="23" t="s">
        <v>336</v>
      </c>
      <c r="H10" s="23" t="s">
        <v>337</v>
      </c>
      <c r="I10" s="23" t="s">
        <v>338</v>
      </c>
      <c r="J10" s="29" t="str">
        <f t="shared" si="1"/>
        <v>코드오류</v>
      </c>
      <c r="K10" s="8"/>
    </row>
    <row r="11" spans="1:11">
      <c r="A11" s="23">
        <v>3</v>
      </c>
      <c r="B11" s="23" t="s">
        <v>339</v>
      </c>
      <c r="C11" s="23" t="s">
        <v>120</v>
      </c>
      <c r="D11" s="23">
        <v>93</v>
      </c>
      <c r="E11" s="119" t="str">
        <f t="shared" si="0"/>
        <v>금상</v>
      </c>
      <c r="F11" s="8"/>
      <c r="G11" s="19"/>
      <c r="H11" s="19"/>
      <c r="I11" s="19"/>
      <c r="J11" s="19"/>
      <c r="K11" s="8"/>
    </row>
    <row r="12" spans="1:11">
      <c r="A12" s="23">
        <v>3</v>
      </c>
      <c r="B12" s="23" t="s">
        <v>340</v>
      </c>
      <c r="C12" s="23" t="s">
        <v>120</v>
      </c>
      <c r="D12" s="23">
        <v>87</v>
      </c>
      <c r="E12" s="119" t="str">
        <f t="shared" si="0"/>
        <v/>
      </c>
      <c r="F12" s="8"/>
      <c r="G12" s="23" t="s">
        <v>341</v>
      </c>
      <c r="H12" s="23" t="s">
        <v>342</v>
      </c>
      <c r="I12" s="23" t="s">
        <v>343</v>
      </c>
      <c r="J12" s="23" t="s">
        <v>344</v>
      </c>
      <c r="K12" s="8"/>
    </row>
    <row r="13" spans="1:11">
      <c r="A13" s="8"/>
      <c r="B13" s="8"/>
      <c r="C13" s="8"/>
      <c r="D13" s="8"/>
      <c r="E13" s="8"/>
      <c r="F13" s="8"/>
      <c r="G13" s="23" t="s">
        <v>345</v>
      </c>
      <c r="H13" s="23" t="s">
        <v>346</v>
      </c>
      <c r="I13" s="23" t="s">
        <v>347</v>
      </c>
      <c r="J13" s="23" t="s">
        <v>348</v>
      </c>
      <c r="K13" s="8"/>
    </row>
    <row r="14" spans="1:11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>
      <c r="A15" s="8" t="s">
        <v>49</v>
      </c>
      <c r="B15" s="9" t="s">
        <v>349</v>
      </c>
      <c r="C15" s="8"/>
      <c r="D15" s="8"/>
      <c r="E15" s="8"/>
      <c r="F15" s="8"/>
      <c r="G15" s="8" t="s">
        <v>51</v>
      </c>
      <c r="H15" s="19"/>
      <c r="I15" s="19"/>
      <c r="J15" s="19"/>
      <c r="K15" s="19"/>
    </row>
    <row r="16" spans="1:11">
      <c r="A16" s="23" t="s">
        <v>57</v>
      </c>
      <c r="B16" s="23" t="s">
        <v>13</v>
      </c>
      <c r="C16" s="23" t="s">
        <v>14</v>
      </c>
      <c r="D16" s="27" t="s">
        <v>288</v>
      </c>
      <c r="E16" s="8"/>
      <c r="F16" s="8"/>
      <c r="G16" s="23" t="s">
        <v>232</v>
      </c>
      <c r="H16" s="25" t="s">
        <v>350</v>
      </c>
      <c r="I16" s="25" t="s">
        <v>351</v>
      </c>
      <c r="J16" s="23" t="s">
        <v>118</v>
      </c>
      <c r="K16" s="27" t="s">
        <v>277</v>
      </c>
    </row>
    <row r="17" spans="1:11">
      <c r="A17" s="23" t="s">
        <v>353</v>
      </c>
      <c r="B17" s="24">
        <v>642</v>
      </c>
      <c r="C17" s="24">
        <v>8025000</v>
      </c>
      <c r="D17" s="29" t="str">
        <f>IF(C17&gt;=LARGE($C$17:$C$26,5),"재생산","생산중단")</f>
        <v>재생산</v>
      </c>
      <c r="E17" s="8"/>
      <c r="F17" s="8"/>
      <c r="G17" s="23" t="s">
        <v>354</v>
      </c>
      <c r="H17" s="25">
        <v>82</v>
      </c>
      <c r="I17" s="25">
        <v>94</v>
      </c>
      <c r="J17" s="23">
        <f t="shared" ref="J17:J24" si="2">SUM(H17:I17)</f>
        <v>176</v>
      </c>
      <c r="K17" s="29" t="str" cm="1">
        <f t="array" ref="K17">_xlfn.IFS(J17=MAX($J$17:$J$24),"최고점수",J17=MIN($J$17:$J$24),"최저점수",TRUE,"")</f>
        <v/>
      </c>
    </row>
    <row r="18" spans="1:11">
      <c r="A18" s="23" t="s">
        <v>355</v>
      </c>
      <c r="B18" s="24">
        <v>241</v>
      </c>
      <c r="C18" s="24">
        <v>3012500</v>
      </c>
      <c r="D18" s="29" t="str">
        <f t="shared" ref="D18:D26" si="3">IF(C18&gt;=LARGE($C$17:$C$26,5),"재생산","생산중단")</f>
        <v>생산중단</v>
      </c>
      <c r="E18" s="8"/>
      <c r="F18" s="8"/>
      <c r="G18" s="23" t="s">
        <v>356</v>
      </c>
      <c r="H18" s="25">
        <v>63</v>
      </c>
      <c r="I18" s="25">
        <v>83</v>
      </c>
      <c r="J18" s="23">
        <f t="shared" si="2"/>
        <v>146</v>
      </c>
      <c r="K18" s="128" t="str" cm="1">
        <f t="array" ref="K18">_xlfn.IFS(J18=MAX($J$17:$J$24),"최고점수",J18=MIN($J$17:$J$24),"최저점수",TRUE,"")</f>
        <v/>
      </c>
    </row>
    <row r="19" spans="1:11">
      <c r="A19" s="23" t="s">
        <v>357</v>
      </c>
      <c r="B19" s="24">
        <v>289</v>
      </c>
      <c r="C19" s="24">
        <v>3612500</v>
      </c>
      <c r="D19" s="29" t="str">
        <f t="shared" si="3"/>
        <v>생산중단</v>
      </c>
      <c r="E19" s="8"/>
      <c r="F19" s="8"/>
      <c r="G19" s="23" t="s">
        <v>358</v>
      </c>
      <c r="H19" s="25">
        <v>76</v>
      </c>
      <c r="I19" s="25">
        <v>86</v>
      </c>
      <c r="J19" s="23">
        <f t="shared" si="2"/>
        <v>162</v>
      </c>
      <c r="K19" s="128" t="str" cm="1">
        <f t="array" ref="K19">_xlfn.IFS(J19=MAX($J$17:$J$24),"최고점수",J19=MIN($J$17:$J$24),"최저점수",TRUE,"")</f>
        <v/>
      </c>
    </row>
    <row r="20" spans="1:11">
      <c r="A20" s="23" t="s">
        <v>359</v>
      </c>
      <c r="B20" s="24">
        <v>685</v>
      </c>
      <c r="C20" s="24">
        <v>8562500</v>
      </c>
      <c r="D20" s="29" t="str">
        <f t="shared" si="3"/>
        <v>재생산</v>
      </c>
      <c r="E20" s="8"/>
      <c r="F20" s="8"/>
      <c r="G20" s="23" t="s">
        <v>360</v>
      </c>
      <c r="H20" s="25">
        <v>62</v>
      </c>
      <c r="I20" s="25">
        <v>88</v>
      </c>
      <c r="J20" s="23">
        <f t="shared" si="2"/>
        <v>150</v>
      </c>
      <c r="K20" s="128" t="str" cm="1">
        <f t="array" ref="K20">_xlfn.IFS(J20=MAX($J$17:$J$24),"최고점수",J20=MIN($J$17:$J$24),"최저점수",TRUE,"")</f>
        <v/>
      </c>
    </row>
    <row r="21" spans="1:11">
      <c r="A21" s="23" t="s">
        <v>361</v>
      </c>
      <c r="B21" s="24">
        <v>917</v>
      </c>
      <c r="C21" s="24">
        <v>11462500</v>
      </c>
      <c r="D21" s="29" t="str">
        <f t="shared" si="3"/>
        <v>재생산</v>
      </c>
      <c r="E21" s="8"/>
      <c r="F21" s="8"/>
      <c r="G21" s="23" t="s">
        <v>362</v>
      </c>
      <c r="H21" s="25">
        <v>92</v>
      </c>
      <c r="I21" s="25">
        <v>96</v>
      </c>
      <c r="J21" s="23">
        <f t="shared" si="2"/>
        <v>188</v>
      </c>
      <c r="K21" s="128" t="str" cm="1">
        <f t="array" ref="K21">_xlfn.IFS(J21=MAX($J$17:$J$24),"최고점수",J21=MIN($J$17:$J$24),"최저점수",TRUE,"")</f>
        <v>최고점수</v>
      </c>
    </row>
    <row r="22" spans="1:11">
      <c r="A22" s="23" t="s">
        <v>363</v>
      </c>
      <c r="B22" s="24">
        <v>862</v>
      </c>
      <c r="C22" s="24">
        <v>10775000</v>
      </c>
      <c r="D22" s="29" t="str">
        <f t="shared" si="3"/>
        <v>재생산</v>
      </c>
      <c r="E22" s="8"/>
      <c r="F22" s="8"/>
      <c r="G22" s="23" t="s">
        <v>364</v>
      </c>
      <c r="H22" s="25">
        <v>85</v>
      </c>
      <c r="I22" s="25">
        <v>80</v>
      </c>
      <c r="J22" s="23">
        <f t="shared" si="2"/>
        <v>165</v>
      </c>
      <c r="K22" s="128" t="str" cm="1">
        <f t="array" ref="K22">_xlfn.IFS(J22=MAX($J$17:$J$24),"최고점수",J22=MIN($J$17:$J$24),"최저점수",TRUE,"")</f>
        <v/>
      </c>
    </row>
    <row r="23" spans="1:11">
      <c r="A23" s="23" t="s">
        <v>365</v>
      </c>
      <c r="B23" s="24">
        <v>571</v>
      </c>
      <c r="C23" s="24">
        <v>7137500</v>
      </c>
      <c r="D23" s="29" t="str">
        <f t="shared" si="3"/>
        <v>재생산</v>
      </c>
      <c r="E23" s="8"/>
      <c r="F23" s="8"/>
      <c r="G23" s="23" t="s">
        <v>366</v>
      </c>
      <c r="H23" s="25">
        <v>62</v>
      </c>
      <c r="I23" s="25">
        <v>77</v>
      </c>
      <c r="J23" s="23">
        <f t="shared" si="2"/>
        <v>139</v>
      </c>
      <c r="K23" s="128" t="str" cm="1">
        <f t="array" ref="K23">_xlfn.IFS(J23=MAX($J$17:$J$24),"최고점수",J23=MIN($J$17:$J$24),"최저점수",TRUE,"")</f>
        <v>최저점수</v>
      </c>
    </row>
    <row r="24" spans="1:11">
      <c r="A24" s="23" t="s">
        <v>367</v>
      </c>
      <c r="B24" s="24">
        <v>295</v>
      </c>
      <c r="C24" s="24">
        <v>3687500</v>
      </c>
      <c r="D24" s="29" t="str">
        <f t="shared" si="3"/>
        <v>생산중단</v>
      </c>
      <c r="E24" s="8"/>
      <c r="F24" s="8"/>
      <c r="G24" s="23" t="s">
        <v>368</v>
      </c>
      <c r="H24" s="25">
        <v>73</v>
      </c>
      <c r="I24" s="25">
        <v>68</v>
      </c>
      <c r="J24" s="23">
        <f t="shared" si="2"/>
        <v>141</v>
      </c>
      <c r="K24" s="128" t="str" cm="1">
        <f t="array" ref="K24">_xlfn.IFS(J24=MAX($J$17:$J$24),"최고점수",J24=MIN($J$17:$J$24),"최저점수",TRUE,"")</f>
        <v/>
      </c>
    </row>
    <row r="25" spans="1:11">
      <c r="A25" s="23" t="s">
        <v>369</v>
      </c>
      <c r="B25" s="24">
        <v>384</v>
      </c>
      <c r="C25" s="24">
        <v>4800000</v>
      </c>
      <c r="D25" s="29" t="str">
        <f t="shared" si="3"/>
        <v>생산중단</v>
      </c>
      <c r="E25" s="8"/>
      <c r="F25" s="8"/>
      <c r="G25" s="8"/>
      <c r="H25" s="8"/>
      <c r="I25" s="8"/>
      <c r="J25" s="8"/>
      <c r="K25" s="8"/>
    </row>
    <row r="26" spans="1:11">
      <c r="A26" s="23" t="s">
        <v>370</v>
      </c>
      <c r="B26" s="24">
        <v>166</v>
      </c>
      <c r="C26" s="24">
        <v>2075000</v>
      </c>
      <c r="D26" s="29" t="str">
        <f t="shared" si="3"/>
        <v>생산중단</v>
      </c>
      <c r="E26" s="8"/>
      <c r="F26" s="8"/>
      <c r="G26" s="8"/>
      <c r="H26" s="8"/>
      <c r="I26" s="8"/>
      <c r="J26" s="8"/>
      <c r="K26" s="8"/>
    </row>
    <row r="28" spans="1:11">
      <c r="A28" s="35" t="s">
        <v>106</v>
      </c>
      <c r="B28" s="99"/>
      <c r="C28" s="35"/>
      <c r="D28" s="35"/>
      <c r="G28" s="35" t="s">
        <v>108</v>
      </c>
      <c r="H28" s="99" t="s">
        <v>202</v>
      </c>
      <c r="I28" s="35"/>
      <c r="J28" s="35"/>
    </row>
    <row r="29" spans="1:11">
      <c r="A29" s="128" t="s">
        <v>1232</v>
      </c>
      <c r="B29" s="128" t="s">
        <v>1233</v>
      </c>
      <c r="C29" s="128" t="s">
        <v>1234</v>
      </c>
      <c r="D29" s="125" t="s">
        <v>1235</v>
      </c>
      <c r="G29" s="128" t="s">
        <v>1236</v>
      </c>
      <c r="H29" s="128" t="s">
        <v>111</v>
      </c>
      <c r="I29" s="128" t="s">
        <v>1237</v>
      </c>
      <c r="J29" s="125" t="s">
        <v>53</v>
      </c>
    </row>
    <row r="30" spans="1:11">
      <c r="A30" s="128">
        <v>50123</v>
      </c>
      <c r="B30" s="129">
        <v>45933</v>
      </c>
      <c r="C30" s="126">
        <v>120000</v>
      </c>
      <c r="D30" s="128" t="str" cm="1">
        <f t="array" ref="D30">_xlfn.SWITCH(WEEKDAY(B30,2),1,"월",2,"화",3,"수",4,"목",5,"금",6,"토",7,"일")</f>
        <v>금</v>
      </c>
      <c r="G30" s="128" t="s">
        <v>1238</v>
      </c>
      <c r="H30" s="128" t="s">
        <v>120</v>
      </c>
      <c r="I30" s="128" t="s">
        <v>209</v>
      </c>
      <c r="J30" s="128" t="str" cm="1">
        <f t="array" ref="J30">_xlfn.IFS(LEFT(G30,1)="P","생산부",LEFT(G30,1)="B","영업부",LEFT(G30,1)="E","관리부")</f>
        <v>생산부</v>
      </c>
    </row>
    <row r="31" spans="1:11">
      <c r="A31" s="128">
        <v>50124</v>
      </c>
      <c r="B31" s="129">
        <v>45936</v>
      </c>
      <c r="C31" s="126">
        <v>320000</v>
      </c>
      <c r="D31" s="128" t="str" cm="1">
        <f t="array" ref="D31">_xlfn.SWITCH(WEEKDAY(B31,2),1,"월",2,"화",3,"수",4,"목",5,"금",6,"토",7,"일")</f>
        <v>월</v>
      </c>
      <c r="G31" s="128" t="s">
        <v>1239</v>
      </c>
      <c r="H31" s="128" t="s">
        <v>120</v>
      </c>
      <c r="I31" s="128" t="s">
        <v>209</v>
      </c>
      <c r="J31" s="128" t="str" cm="1">
        <f t="array" ref="J31">_xlfn.IFS(LEFT(G31,1)="P","생산부",LEFT(G31,1)="B","영업부",LEFT(G31,1)="E","관리부")</f>
        <v>관리부</v>
      </c>
    </row>
    <row r="32" spans="1:11">
      <c r="A32" s="128">
        <v>50125</v>
      </c>
      <c r="B32" s="129">
        <v>45948</v>
      </c>
      <c r="C32" s="126">
        <v>180000</v>
      </c>
      <c r="D32" s="128" t="str" cm="1">
        <f t="array" ref="D32">_xlfn.SWITCH(WEEKDAY(B32,2),1,"월",2,"화",3,"수",4,"목",5,"금",6,"토",7,"일")</f>
        <v>토</v>
      </c>
      <c r="G32" s="128" t="s">
        <v>1240</v>
      </c>
      <c r="H32" s="128" t="s">
        <v>125</v>
      </c>
      <c r="I32" s="128" t="s">
        <v>209</v>
      </c>
      <c r="J32" s="128" t="str" cm="1">
        <f t="array" ref="J32">_xlfn.IFS(LEFT(G32,1)="P","생산부",LEFT(G32,1)="B","영업부",LEFT(G32,1)="E","관리부")</f>
        <v>영업부</v>
      </c>
    </row>
    <row r="33" spans="1:10">
      <c r="A33" s="128">
        <v>50126</v>
      </c>
      <c r="B33" s="129">
        <v>45952</v>
      </c>
      <c r="C33" s="126">
        <v>150000</v>
      </c>
      <c r="D33" s="128" t="str" cm="1">
        <f t="array" ref="D33">_xlfn.SWITCH(WEEKDAY(B33,2),1,"월",2,"화",3,"수",4,"목",5,"금",6,"토",7,"일")</f>
        <v>수</v>
      </c>
      <c r="G33" s="128" t="s">
        <v>1241</v>
      </c>
      <c r="H33" s="128" t="s">
        <v>125</v>
      </c>
      <c r="I33" s="128" t="s">
        <v>165</v>
      </c>
      <c r="J33" s="128" t="str" cm="1">
        <f t="array" ref="J33">_xlfn.IFS(LEFT(G33,1)="P","생산부",LEFT(G33,1)="B","영업부",LEFT(G33,1)="E","관리부")</f>
        <v>생산부</v>
      </c>
    </row>
    <row r="34" spans="1:10">
      <c r="A34" s="128">
        <v>50127</v>
      </c>
      <c r="B34" s="129">
        <v>45961</v>
      </c>
      <c r="C34" s="126">
        <v>510000</v>
      </c>
      <c r="D34" s="128" t="str" cm="1">
        <f t="array" ref="D34">_xlfn.SWITCH(WEEKDAY(B34,2),1,"월",2,"화",3,"수",4,"목",5,"금",6,"토",7,"일")</f>
        <v>금</v>
      </c>
      <c r="G34" s="128" t="s">
        <v>1242</v>
      </c>
      <c r="H34" s="128" t="s">
        <v>120</v>
      </c>
      <c r="I34" s="128" t="s">
        <v>165</v>
      </c>
      <c r="J34" s="128" t="str" cm="1">
        <f t="array" ref="J34">_xlfn.IFS(LEFT(G34,1)="P","생산부",LEFT(G34,1)="B","영업부",LEFT(G34,1)="E","관리부")</f>
        <v>영업부</v>
      </c>
    </row>
    <row r="35" spans="1:10">
      <c r="A35" s="128">
        <v>50128</v>
      </c>
      <c r="B35" s="129">
        <v>45965</v>
      </c>
      <c r="C35" s="126">
        <v>420000</v>
      </c>
      <c r="D35" s="128" t="str" cm="1">
        <f t="array" ref="D35">_xlfn.SWITCH(WEEKDAY(B35,2),1,"월",2,"화",3,"수",4,"목",5,"금",6,"토",7,"일")</f>
        <v>화</v>
      </c>
      <c r="G35" s="128" t="s">
        <v>1243</v>
      </c>
      <c r="H35" s="128" t="s">
        <v>125</v>
      </c>
      <c r="I35" s="128" t="s">
        <v>170</v>
      </c>
      <c r="J35" s="128" t="str" cm="1">
        <f t="array" ref="J35">_xlfn.IFS(LEFT(G35,1)="P","생산부",LEFT(G35,1)="B","영업부",LEFT(G35,1)="E","관리부")</f>
        <v>영업부</v>
      </c>
    </row>
    <row r="36" spans="1:10">
      <c r="A36" s="128">
        <v>50129</v>
      </c>
      <c r="B36" s="129">
        <v>45970</v>
      </c>
      <c r="C36" s="126">
        <v>740000</v>
      </c>
      <c r="D36" s="128" t="str" cm="1">
        <f t="array" ref="D36">_xlfn.SWITCH(WEEKDAY(B36,2),1,"월",2,"화",3,"수",4,"목",5,"금",6,"토",7,"일")</f>
        <v>일</v>
      </c>
      <c r="G36" s="128" t="s">
        <v>1244</v>
      </c>
      <c r="H36" s="128" t="s">
        <v>120</v>
      </c>
      <c r="I36" s="128" t="s">
        <v>170</v>
      </c>
      <c r="J36" s="128" t="str" cm="1">
        <f t="array" ref="J36">_xlfn.IFS(LEFT(G36,1)="P","생산부",LEFT(G36,1)="B","영업부",LEFT(G36,1)="E","관리부")</f>
        <v>관리부</v>
      </c>
    </row>
    <row r="37" spans="1:10">
      <c r="A37" s="128">
        <v>50130</v>
      </c>
      <c r="B37" s="129">
        <v>45981</v>
      </c>
      <c r="C37" s="126">
        <v>654000</v>
      </c>
      <c r="D37" s="128" t="str" cm="1">
        <f t="array" ref="D37">_xlfn.SWITCH(WEEKDAY(B37,2),1,"월",2,"화",3,"수",4,"목",5,"금",6,"토",7,"일")</f>
        <v>목</v>
      </c>
      <c r="G37" s="128" t="s">
        <v>1245</v>
      </c>
      <c r="H37" s="128" t="s">
        <v>120</v>
      </c>
      <c r="I37" s="128" t="s">
        <v>170</v>
      </c>
      <c r="J37" s="128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4"/>
  <dimension ref="A1:N30"/>
  <sheetViews>
    <sheetView zoomScaleNormal="100" workbookViewId="0"/>
  </sheetViews>
  <sheetFormatPr defaultRowHeight="16.5"/>
  <cols>
    <col min="2" max="2" width="9.375" bestFit="1" customWidth="1"/>
    <col min="3" max="3" width="1.625" customWidth="1"/>
    <col min="4" max="4" width="12.625" bestFit="1" customWidth="1"/>
    <col min="5" max="5" width="10.875" bestFit="1" customWidth="1"/>
    <col min="6" max="6" width="1.625" customWidth="1"/>
    <col min="8" max="8" width="11" bestFit="1" customWidth="1"/>
    <col min="10" max="10" width="11" bestFit="1" customWidth="1"/>
    <col min="11" max="11" width="34.25" bestFit="1" customWidth="1"/>
    <col min="12" max="12" width="1.625" customWidth="1"/>
    <col min="13" max="13" width="13" bestFit="1" customWidth="1"/>
    <col min="14" max="14" width="15.25" bestFit="1" customWidth="1"/>
  </cols>
  <sheetData>
    <row r="1" spans="1:14">
      <c r="A1" t="s">
        <v>766</v>
      </c>
      <c r="D1" t="s">
        <v>767</v>
      </c>
      <c r="G1" t="s">
        <v>768</v>
      </c>
      <c r="M1" t="s">
        <v>769</v>
      </c>
    </row>
    <row r="2" spans="1:14">
      <c r="A2" s="41" t="s">
        <v>770</v>
      </c>
      <c r="B2" s="37" t="s">
        <v>771</v>
      </c>
      <c r="D2" s="80" t="s">
        <v>772</v>
      </c>
      <c r="E2" s="37" t="s">
        <v>773</v>
      </c>
      <c r="G2" s="36" t="s">
        <v>774</v>
      </c>
      <c r="H2" s="36" t="s">
        <v>776</v>
      </c>
      <c r="I2" s="36" t="s">
        <v>777</v>
      </c>
      <c r="J2" s="36" t="s">
        <v>778</v>
      </c>
      <c r="K2" s="37" t="s">
        <v>779</v>
      </c>
      <c r="M2" s="36" t="s">
        <v>781</v>
      </c>
      <c r="N2" s="37" t="s">
        <v>782</v>
      </c>
    </row>
    <row r="3" spans="1:14">
      <c r="A3" s="36" t="s">
        <v>783</v>
      </c>
      <c r="B3" s="59"/>
      <c r="D3" s="68">
        <v>152</v>
      </c>
      <c r="E3" s="36"/>
      <c r="G3" s="36" t="s">
        <v>784</v>
      </c>
      <c r="H3" s="68">
        <v>6</v>
      </c>
      <c r="I3" s="68">
        <v>120</v>
      </c>
      <c r="J3" s="68">
        <v>8</v>
      </c>
      <c r="K3" s="68"/>
      <c r="M3" s="36" t="s">
        <v>785</v>
      </c>
      <c r="N3" s="36"/>
    </row>
    <row r="4" spans="1:14">
      <c r="A4" s="36" t="s">
        <v>787</v>
      </c>
      <c r="B4" s="59"/>
      <c r="D4" s="68">
        <v>105</v>
      </c>
      <c r="E4" s="36"/>
      <c r="G4" s="36" t="s">
        <v>723</v>
      </c>
      <c r="H4" s="68">
        <v>1</v>
      </c>
      <c r="I4" s="68">
        <v>15</v>
      </c>
      <c r="J4" s="68"/>
      <c r="K4" s="68"/>
      <c r="M4" s="36" t="s">
        <v>789</v>
      </c>
      <c r="N4" s="36"/>
    </row>
    <row r="5" spans="1:14">
      <c r="A5" s="36" t="s">
        <v>790</v>
      </c>
      <c r="B5" s="59"/>
      <c r="D5" s="68">
        <v>228</v>
      </c>
      <c r="E5" s="36"/>
      <c r="G5" s="36" t="s">
        <v>725</v>
      </c>
      <c r="H5" s="68">
        <v>4</v>
      </c>
      <c r="I5" s="68">
        <v>230</v>
      </c>
      <c r="J5" s="68">
        <v>3</v>
      </c>
      <c r="K5" s="68"/>
      <c r="M5" s="36" t="s">
        <v>791</v>
      </c>
      <c r="N5" s="36"/>
    </row>
    <row r="6" spans="1:14">
      <c r="A6" s="36" t="s">
        <v>792</v>
      </c>
      <c r="B6" s="59"/>
      <c r="D6" s="68">
        <v>144</v>
      </c>
      <c r="E6" s="36"/>
      <c r="G6" s="36" t="s">
        <v>727</v>
      </c>
      <c r="H6" s="68">
        <v>8</v>
      </c>
      <c r="I6" s="68">
        <v>131</v>
      </c>
      <c r="J6" s="68">
        <v>9</v>
      </c>
      <c r="K6" s="68"/>
      <c r="M6" s="36" t="s">
        <v>793</v>
      </c>
      <c r="N6" s="36"/>
    </row>
    <row r="7" spans="1:14">
      <c r="A7" s="36" t="s">
        <v>794</v>
      </c>
      <c r="B7" s="59"/>
      <c r="D7" s="68">
        <v>152</v>
      </c>
      <c r="E7" s="36"/>
      <c r="G7" s="36" t="s">
        <v>728</v>
      </c>
      <c r="H7" s="68">
        <v>5</v>
      </c>
      <c r="I7" s="68">
        <v>155</v>
      </c>
      <c r="J7" s="68">
        <v>7</v>
      </c>
      <c r="K7" s="68"/>
      <c r="M7" s="36" t="s">
        <v>795</v>
      </c>
      <c r="N7" s="36"/>
    </row>
    <row r="8" spans="1:14">
      <c r="A8" s="36" t="s">
        <v>796</v>
      </c>
      <c r="B8" s="59"/>
      <c r="D8" s="68">
        <v>152</v>
      </c>
      <c r="E8" s="36"/>
      <c r="G8" s="36" t="s">
        <v>730</v>
      </c>
      <c r="H8" s="68">
        <v>5</v>
      </c>
      <c r="I8" s="68">
        <v>75</v>
      </c>
      <c r="J8" s="68">
        <v>6</v>
      </c>
      <c r="K8" s="68"/>
      <c r="M8" s="36" t="s">
        <v>797</v>
      </c>
      <c r="N8" s="36"/>
    </row>
    <row r="9" spans="1:14">
      <c r="A9" s="36" t="s">
        <v>790</v>
      </c>
      <c r="B9" s="59"/>
      <c r="D9" s="68">
        <v>144</v>
      </c>
      <c r="E9" s="36"/>
      <c r="G9" s="36" t="s">
        <v>732</v>
      </c>
      <c r="H9" s="68">
        <v>6</v>
      </c>
      <c r="I9" s="68">
        <v>229</v>
      </c>
      <c r="J9" s="68">
        <v>5</v>
      </c>
      <c r="K9" s="68"/>
      <c r="M9" s="36" t="s">
        <v>798</v>
      </c>
      <c r="N9" s="36"/>
    </row>
    <row r="10" spans="1:14">
      <c r="A10" s="36" t="s">
        <v>796</v>
      </c>
      <c r="B10" s="59"/>
      <c r="D10" s="68">
        <v>105</v>
      </c>
      <c r="E10" s="36"/>
      <c r="G10" s="36" t="s">
        <v>733</v>
      </c>
      <c r="H10" s="68">
        <v>5</v>
      </c>
      <c r="I10" s="68">
        <v>89</v>
      </c>
      <c r="J10" s="68">
        <v>7</v>
      </c>
      <c r="K10" s="68"/>
      <c r="M10" s="36" t="s">
        <v>799</v>
      </c>
      <c r="N10" s="36"/>
    </row>
    <row r="11" spans="1:14">
      <c r="A11" s="36" t="s">
        <v>800</v>
      </c>
      <c r="B11" s="59"/>
      <c r="D11" s="68">
        <v>144</v>
      </c>
      <c r="E11" s="36"/>
      <c r="G11" s="36" t="s">
        <v>735</v>
      </c>
      <c r="H11" s="68">
        <v>3</v>
      </c>
      <c r="I11" s="68">
        <v>49</v>
      </c>
      <c r="J11" s="68">
        <v>5</v>
      </c>
      <c r="K11" s="68"/>
      <c r="M11" s="36" t="s">
        <v>801</v>
      </c>
      <c r="N11" s="36"/>
    </row>
    <row r="12" spans="1:14">
      <c r="A12" s="36" t="s">
        <v>792</v>
      </c>
      <c r="B12" s="59"/>
      <c r="D12" s="68">
        <v>152</v>
      </c>
      <c r="E12" s="36"/>
      <c r="G12" s="36" t="s">
        <v>736</v>
      </c>
      <c r="H12" s="68">
        <v>2</v>
      </c>
      <c r="I12" s="68">
        <v>50</v>
      </c>
      <c r="J12" s="68"/>
      <c r="K12" s="68"/>
      <c r="M12" s="36" t="s">
        <v>802</v>
      </c>
      <c r="N12" s="36"/>
    </row>
    <row r="13" spans="1:14">
      <c r="A13" s="36" t="s">
        <v>783</v>
      </c>
      <c r="B13" s="59"/>
      <c r="D13" s="68">
        <v>113</v>
      </c>
      <c r="E13" s="36"/>
      <c r="G13" s="36" t="s">
        <v>737</v>
      </c>
      <c r="H13" s="68">
        <v>4</v>
      </c>
      <c r="I13" s="68">
        <v>70</v>
      </c>
      <c r="J13" s="68">
        <v>3</v>
      </c>
      <c r="K13" s="68"/>
    </row>
    <row r="14" spans="1:14">
      <c r="A14" s="36" t="s">
        <v>787</v>
      </c>
      <c r="B14" s="59"/>
      <c r="D14" s="68">
        <v>105</v>
      </c>
      <c r="E14" s="36"/>
      <c r="G14" s="36" t="s">
        <v>738</v>
      </c>
      <c r="H14" s="68">
        <v>3</v>
      </c>
      <c r="I14" s="68">
        <v>42</v>
      </c>
      <c r="J14" s="68">
        <v>6</v>
      </c>
      <c r="K14" s="68"/>
      <c r="M14" t="s">
        <v>803</v>
      </c>
    </row>
    <row r="15" spans="1:14">
      <c r="A15" s="36" t="s">
        <v>804</v>
      </c>
      <c r="B15" s="59"/>
      <c r="D15" s="68">
        <v>152</v>
      </c>
      <c r="E15" s="36"/>
      <c r="G15" s="36" t="s">
        <v>740</v>
      </c>
      <c r="H15" s="68">
        <v>2</v>
      </c>
      <c r="I15" s="68">
        <v>32</v>
      </c>
      <c r="J15" s="68">
        <v>5</v>
      </c>
      <c r="K15" s="68"/>
      <c r="M15" s="36" t="s">
        <v>781</v>
      </c>
      <c r="N15" s="36" t="s">
        <v>782</v>
      </c>
    </row>
    <row r="16" spans="1:14">
      <c r="A16" s="36" t="s">
        <v>805</v>
      </c>
      <c r="B16" s="59"/>
      <c r="D16" s="68">
        <v>113</v>
      </c>
      <c r="E16" s="36"/>
      <c r="G16" s="36" t="s">
        <v>741</v>
      </c>
      <c r="H16" s="68">
        <v>6</v>
      </c>
      <c r="I16" s="68">
        <v>350</v>
      </c>
      <c r="J16" s="68">
        <v>5</v>
      </c>
      <c r="K16" s="68"/>
      <c r="M16" s="36" t="s">
        <v>806</v>
      </c>
      <c r="N16" s="36" t="s">
        <v>807</v>
      </c>
    </row>
    <row r="17" spans="1:14">
      <c r="A17" s="36" t="s">
        <v>787</v>
      </c>
      <c r="B17" s="59"/>
      <c r="D17" s="68">
        <v>228</v>
      </c>
      <c r="E17" s="36"/>
      <c r="G17" s="36" t="s">
        <v>744</v>
      </c>
      <c r="H17" s="68">
        <v>2</v>
      </c>
      <c r="I17" s="68">
        <v>37</v>
      </c>
      <c r="J17" s="68">
        <v>2</v>
      </c>
      <c r="K17" s="68"/>
      <c r="M17" s="36" t="s">
        <v>793</v>
      </c>
      <c r="N17" s="36" t="s">
        <v>808</v>
      </c>
    </row>
    <row r="18" spans="1:14">
      <c r="A18" s="36" t="s">
        <v>790</v>
      </c>
      <c r="B18" s="59"/>
      <c r="G18" s="36" t="s">
        <v>745</v>
      </c>
      <c r="H18" s="68">
        <v>3</v>
      </c>
      <c r="I18" s="68">
        <v>69</v>
      </c>
      <c r="J18" s="68">
        <v>9</v>
      </c>
      <c r="K18" s="68"/>
      <c r="M18" s="36" t="s">
        <v>789</v>
      </c>
      <c r="N18" s="36" t="s">
        <v>809</v>
      </c>
    </row>
    <row r="19" spans="1:14">
      <c r="A19" s="36" t="s">
        <v>783</v>
      </c>
      <c r="B19" s="59"/>
      <c r="G19" s="36" t="s">
        <v>746</v>
      </c>
      <c r="H19" s="68">
        <v>5</v>
      </c>
      <c r="I19" s="68">
        <v>53</v>
      </c>
      <c r="J19" s="68">
        <v>5</v>
      </c>
      <c r="K19" s="68"/>
      <c r="M19" s="36" t="s">
        <v>791</v>
      </c>
      <c r="N19" s="36" t="s">
        <v>810</v>
      </c>
    </row>
    <row r="20" spans="1:14">
      <c r="A20" s="36" t="s">
        <v>811</v>
      </c>
      <c r="B20" s="59"/>
      <c r="G20" s="36" t="s">
        <v>747</v>
      </c>
      <c r="H20" s="68">
        <v>1</v>
      </c>
      <c r="I20" s="68">
        <v>28</v>
      </c>
      <c r="J20" s="68">
        <v>8</v>
      </c>
      <c r="K20" s="68"/>
      <c r="M20" s="36" t="s">
        <v>795</v>
      </c>
      <c r="N20" s="36" t="s">
        <v>812</v>
      </c>
    </row>
    <row r="21" spans="1:14">
      <c r="A21" s="36" t="s">
        <v>804</v>
      </c>
      <c r="B21" s="59"/>
      <c r="G21" s="36" t="s">
        <v>749</v>
      </c>
      <c r="H21" s="68">
        <v>1</v>
      </c>
      <c r="I21" s="68">
        <v>23</v>
      </c>
      <c r="J21" s="68"/>
      <c r="K21" s="68"/>
    </row>
    <row r="22" spans="1:14">
      <c r="A22" s="36" t="s">
        <v>813</v>
      </c>
      <c r="B22" s="59"/>
      <c r="G22" s="36" t="s">
        <v>750</v>
      </c>
      <c r="H22" s="68">
        <v>5</v>
      </c>
      <c r="I22" s="68">
        <v>45</v>
      </c>
      <c r="J22" s="68">
        <v>4</v>
      </c>
      <c r="K22" s="68"/>
    </row>
    <row r="23" spans="1:14">
      <c r="A23" s="36" t="s">
        <v>796</v>
      </c>
      <c r="B23" s="59"/>
      <c r="G23" s="36" t="s">
        <v>751</v>
      </c>
      <c r="H23" s="68">
        <v>4</v>
      </c>
      <c r="I23" s="68">
        <v>64</v>
      </c>
      <c r="J23" s="68">
        <v>5</v>
      </c>
      <c r="K23" s="68"/>
    </row>
    <row r="24" spans="1:14">
      <c r="A24" s="36" t="s">
        <v>790</v>
      </c>
      <c r="B24" s="59"/>
      <c r="G24" s="36" t="s">
        <v>752</v>
      </c>
      <c r="H24" s="68">
        <v>4</v>
      </c>
      <c r="I24" s="68">
        <v>79</v>
      </c>
      <c r="J24" s="68">
        <v>5</v>
      </c>
      <c r="K24" s="68"/>
    </row>
    <row r="25" spans="1:14">
      <c r="A25" s="36" t="s">
        <v>814</v>
      </c>
      <c r="B25" s="59"/>
      <c r="G25" s="36" t="s">
        <v>753</v>
      </c>
      <c r="H25" s="68">
        <v>3</v>
      </c>
      <c r="I25" s="68">
        <v>36</v>
      </c>
      <c r="J25" s="68">
        <v>3</v>
      </c>
      <c r="K25" s="68"/>
    </row>
    <row r="26" spans="1:14">
      <c r="G26" s="36" t="s">
        <v>754</v>
      </c>
      <c r="H26" s="68">
        <v>6</v>
      </c>
      <c r="I26" s="68">
        <v>109</v>
      </c>
      <c r="J26" s="68">
        <v>5</v>
      </c>
      <c r="K26" s="68"/>
    </row>
    <row r="27" spans="1:14">
      <c r="G27" s="36" t="s">
        <v>755</v>
      </c>
      <c r="H27" s="68">
        <v>2</v>
      </c>
      <c r="I27" s="68">
        <v>33</v>
      </c>
      <c r="J27" s="68">
        <v>5</v>
      </c>
      <c r="K27" s="68"/>
    </row>
    <row r="28" spans="1:14">
      <c r="G28" s="36" t="s">
        <v>756</v>
      </c>
      <c r="H28" s="68">
        <v>1</v>
      </c>
      <c r="I28" s="68">
        <v>29</v>
      </c>
      <c r="J28" s="68">
        <v>4</v>
      </c>
      <c r="K28" s="68"/>
    </row>
    <row r="29" spans="1:14">
      <c r="G29" s="36" t="s">
        <v>758</v>
      </c>
      <c r="H29" s="68">
        <v>5</v>
      </c>
      <c r="I29" s="68">
        <v>37</v>
      </c>
      <c r="J29" s="68">
        <v>6</v>
      </c>
      <c r="K29" s="68"/>
    </row>
    <row r="30" spans="1:14">
      <c r="G30" s="36" t="s">
        <v>761</v>
      </c>
      <c r="H30" s="68">
        <v>6</v>
      </c>
      <c r="I30" s="68">
        <v>199</v>
      </c>
      <c r="J30" s="68">
        <v>7</v>
      </c>
      <c r="K30" s="68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5"/>
  <dimension ref="A1:N30"/>
  <sheetViews>
    <sheetView workbookViewId="0"/>
  </sheetViews>
  <sheetFormatPr defaultColWidth="9" defaultRowHeight="16.5"/>
  <cols>
    <col min="2" max="2" width="9.375" bestFit="1" customWidth="1"/>
    <col min="3" max="3" width="1.625" customWidth="1"/>
    <col min="4" max="4" width="12.625" bestFit="1" customWidth="1"/>
    <col min="5" max="5" width="10.875" bestFit="1" customWidth="1"/>
    <col min="6" max="6" width="1.625" customWidth="1"/>
    <col min="8" max="8" width="11" bestFit="1" customWidth="1"/>
    <col min="10" max="10" width="11" bestFit="1" customWidth="1"/>
    <col min="11" max="11" width="34.25" bestFit="1" customWidth="1"/>
    <col min="12" max="12" width="1.625" customWidth="1"/>
    <col min="13" max="13" width="13" bestFit="1" customWidth="1"/>
    <col min="14" max="14" width="15.25" bestFit="1" customWidth="1"/>
  </cols>
  <sheetData>
    <row r="1" spans="1:14">
      <c r="A1" t="s">
        <v>2</v>
      </c>
      <c r="D1" t="s">
        <v>767</v>
      </c>
      <c r="G1" t="s">
        <v>768</v>
      </c>
      <c r="M1" t="s">
        <v>769</v>
      </c>
    </row>
    <row r="2" spans="1:14">
      <c r="A2" s="41" t="s">
        <v>377</v>
      </c>
      <c r="B2" s="37" t="s">
        <v>771</v>
      </c>
      <c r="D2" s="80" t="s">
        <v>772</v>
      </c>
      <c r="E2" s="37" t="s">
        <v>816</v>
      </c>
      <c r="G2" s="36" t="s">
        <v>774</v>
      </c>
      <c r="H2" s="36" t="s">
        <v>775</v>
      </c>
      <c r="I2" s="36" t="s">
        <v>777</v>
      </c>
      <c r="J2" s="36" t="s">
        <v>778</v>
      </c>
      <c r="K2" s="37" t="s">
        <v>779</v>
      </c>
      <c r="M2" s="36" t="s">
        <v>780</v>
      </c>
      <c r="N2" s="37" t="s">
        <v>782</v>
      </c>
    </row>
    <row r="3" spans="1:14">
      <c r="A3" s="36" t="s">
        <v>783</v>
      </c>
      <c r="B3" s="59" t="str">
        <f>IF(LEFT(A3,1)="T","전화(",IF(LEFT(A3,1)="C","온라인(","방문("))&amp;COUNTIF($A$3:A3,LEFT(A3,1)&amp;"*")&amp;")"</f>
        <v>전화(1)</v>
      </c>
      <c r="D3" s="68">
        <v>152</v>
      </c>
      <c r="E3" s="36" t="str">
        <f>IF(D3&lt;120,TEXT(ROUNDUP(D3/60,0),"0시간"),TEXT((D3-MOD(D3,60))/60,"0시간")&amp;TEXT(MOD(D3,60),"0분"))</f>
        <v>2시간32분</v>
      </c>
      <c r="G3" s="36" t="s">
        <v>784</v>
      </c>
      <c r="H3" s="68">
        <v>6</v>
      </c>
      <c r="I3" s="68">
        <v>120</v>
      </c>
      <c r="J3" s="68">
        <v>8</v>
      </c>
      <c r="K3" s="68" t="str">
        <f>IFERROR(REPT("■",(H3/J3)*10)&amp;TEXT(H3/J3,"0.0%"),"신생강의")</f>
        <v>■■■■■■■75.0%</v>
      </c>
      <c r="M3" s="36" t="s">
        <v>785</v>
      </c>
      <c r="N3" s="36" t="str">
        <f t="shared" ref="N3:N12" si="0">IFERROR(REPLACE(VLOOKUP(M3,$M$16:$N$20,2,FALSE),5,2,"○○"),"")</f>
        <v/>
      </c>
    </row>
    <row r="4" spans="1:14">
      <c r="A4" s="36" t="s">
        <v>786</v>
      </c>
      <c r="B4" s="59" t="str">
        <f>IF(LEFT(A4,1)="T","전화(",IF(LEFT(A4,1)="C","온라인(","방문("))&amp;COUNTIF($A$3:A4,LEFT(A4,1)&amp;"*")&amp;")"</f>
        <v>온라인(1)</v>
      </c>
      <c r="D4" s="68">
        <v>105</v>
      </c>
      <c r="E4" s="122" t="str">
        <f t="shared" ref="E4:E17" si="1">IF(D4&lt;120,TEXT(ROUNDUP(D4/60,0),"0시간"),TEXT((D4-MOD(D4,60))/60,"0시간")&amp;TEXT(MOD(D4,60),"0분"))</f>
        <v>2시간</v>
      </c>
      <c r="G4" s="36" t="s">
        <v>723</v>
      </c>
      <c r="H4" s="68">
        <v>1</v>
      </c>
      <c r="I4" s="68">
        <v>15</v>
      </c>
      <c r="J4" s="68"/>
      <c r="K4" s="68" t="str">
        <f t="shared" ref="K4:K30" si="2">IFERROR(REPT("■",(H4/J4)*10)&amp;TEXT(H4/J4,"0.0%"),"신생강의")</f>
        <v>신생강의</v>
      </c>
      <c r="M4" s="36" t="s">
        <v>788</v>
      </c>
      <c r="N4" s="36" t="str">
        <f t="shared" si="0"/>
        <v>301-○○-00321</v>
      </c>
    </row>
    <row r="5" spans="1:14">
      <c r="A5" s="36" t="s">
        <v>409</v>
      </c>
      <c r="B5" s="59" t="str">
        <f>IF(LEFT(A5,1)="T","전화(",IF(LEFT(A5,1)="C","온라인(","방문("))&amp;COUNTIF($A$3:A5,LEFT(A5,1)&amp;"*")&amp;")"</f>
        <v>방문(1)</v>
      </c>
      <c r="D5" s="68">
        <v>228</v>
      </c>
      <c r="E5" s="122" t="str">
        <f t="shared" si="1"/>
        <v>3시간48분</v>
      </c>
      <c r="G5" s="36" t="s">
        <v>725</v>
      </c>
      <c r="H5" s="68">
        <v>4</v>
      </c>
      <c r="I5" s="68">
        <v>230</v>
      </c>
      <c r="J5" s="68">
        <v>3</v>
      </c>
      <c r="K5" s="68" t="str">
        <f t="shared" si="2"/>
        <v>■■■■■■■■■■■■■133.3%</v>
      </c>
      <c r="M5" s="36" t="s">
        <v>791</v>
      </c>
      <c r="N5" s="36" t="str">
        <f t="shared" si="0"/>
        <v>224-○○-20123</v>
      </c>
    </row>
    <row r="6" spans="1:14">
      <c r="A6" s="36" t="s">
        <v>792</v>
      </c>
      <c r="B6" s="59" t="str">
        <f>IF(LEFT(A6,1)="T","전화(",IF(LEFT(A6,1)="C","온라인(","방문("))&amp;COUNTIF($A$3:A6,LEFT(A6,1)&amp;"*")&amp;")"</f>
        <v>방문(2)</v>
      </c>
      <c r="D6" s="68">
        <v>144</v>
      </c>
      <c r="E6" s="122" t="str">
        <f t="shared" si="1"/>
        <v>2시간24분</v>
      </c>
      <c r="G6" s="36" t="s">
        <v>727</v>
      </c>
      <c r="H6" s="68">
        <v>8</v>
      </c>
      <c r="I6" s="68">
        <v>131</v>
      </c>
      <c r="J6" s="68">
        <v>9</v>
      </c>
      <c r="K6" s="68" t="str">
        <f t="shared" si="2"/>
        <v>■■■■■■■■88.9%</v>
      </c>
      <c r="M6" s="36" t="s">
        <v>793</v>
      </c>
      <c r="N6" s="36" t="str">
        <f t="shared" si="0"/>
        <v>127-○○-20122</v>
      </c>
    </row>
    <row r="7" spans="1:14">
      <c r="A7" s="36" t="s">
        <v>794</v>
      </c>
      <c r="B7" s="59" t="str">
        <f>IF(LEFT(A7,1)="T","전화(",IF(LEFT(A7,1)="C","온라인(","방문("))&amp;COUNTIF($A$3:A7,LEFT(A7,1)&amp;"*")&amp;")"</f>
        <v>전화(2)</v>
      </c>
      <c r="D7" s="68">
        <v>152</v>
      </c>
      <c r="E7" s="122" t="str">
        <f t="shared" si="1"/>
        <v>2시간32분</v>
      </c>
      <c r="G7" s="36" t="s">
        <v>728</v>
      </c>
      <c r="H7" s="68">
        <v>5</v>
      </c>
      <c r="I7" s="68">
        <v>155</v>
      </c>
      <c r="J7" s="68">
        <v>7</v>
      </c>
      <c r="K7" s="68" t="str">
        <f t="shared" si="2"/>
        <v>■■■■■■■71.4%</v>
      </c>
      <c r="M7" s="36" t="s">
        <v>795</v>
      </c>
      <c r="N7" s="36" t="str">
        <f t="shared" si="0"/>
        <v>124-○○-36512</v>
      </c>
    </row>
    <row r="8" spans="1:14">
      <c r="A8" s="36" t="s">
        <v>796</v>
      </c>
      <c r="B8" s="59" t="str">
        <f>IF(LEFT(A8,1)="T","전화(",IF(LEFT(A8,1)="C","온라인(","방문("))&amp;COUNTIF($A$3:A8,LEFT(A8,1)&amp;"*")&amp;")"</f>
        <v>온라인(2)</v>
      </c>
      <c r="D8" s="68">
        <v>152</v>
      </c>
      <c r="E8" s="122" t="str">
        <f t="shared" si="1"/>
        <v>2시간32분</v>
      </c>
      <c r="G8" s="36" t="s">
        <v>730</v>
      </c>
      <c r="H8" s="68">
        <v>5</v>
      </c>
      <c r="I8" s="68">
        <v>75</v>
      </c>
      <c r="J8" s="68">
        <v>6</v>
      </c>
      <c r="K8" s="68" t="str">
        <f t="shared" si="2"/>
        <v>■■■■■■■■83.3%</v>
      </c>
      <c r="M8" s="36" t="s">
        <v>797</v>
      </c>
      <c r="N8" s="36" t="str">
        <f t="shared" si="0"/>
        <v/>
      </c>
    </row>
    <row r="9" spans="1:14">
      <c r="A9" s="36" t="s">
        <v>790</v>
      </c>
      <c r="B9" s="59" t="str">
        <f>IF(LEFT(A9,1)="T","전화(",IF(LEFT(A9,1)="C","온라인(","방문("))&amp;COUNTIF($A$3:A9,LEFT(A9,1)&amp;"*")&amp;")"</f>
        <v>방문(3)</v>
      </c>
      <c r="D9" s="68">
        <v>144</v>
      </c>
      <c r="E9" s="122" t="str">
        <f t="shared" si="1"/>
        <v>2시간24분</v>
      </c>
      <c r="G9" s="36" t="s">
        <v>732</v>
      </c>
      <c r="H9" s="68">
        <v>6</v>
      </c>
      <c r="I9" s="68">
        <v>229</v>
      </c>
      <c r="J9" s="68">
        <v>5</v>
      </c>
      <c r="K9" s="68" t="str">
        <f t="shared" si="2"/>
        <v>■■■■■■■■■■■■120.0%</v>
      </c>
      <c r="M9" s="36" t="s">
        <v>798</v>
      </c>
      <c r="N9" s="36" t="str">
        <f t="shared" si="0"/>
        <v>399-○○-22134</v>
      </c>
    </row>
    <row r="10" spans="1:14">
      <c r="A10" s="36" t="s">
        <v>796</v>
      </c>
      <c r="B10" s="59" t="str">
        <f>IF(LEFT(A10,1)="T","전화(",IF(LEFT(A10,1)="C","온라인(","방문("))&amp;COUNTIF($A$3:A10,LEFT(A10,1)&amp;"*")&amp;")"</f>
        <v>온라인(3)</v>
      </c>
      <c r="D10" s="68">
        <v>105</v>
      </c>
      <c r="E10" s="122" t="str">
        <f t="shared" si="1"/>
        <v>2시간</v>
      </c>
      <c r="G10" s="36" t="s">
        <v>733</v>
      </c>
      <c r="H10" s="68">
        <v>5</v>
      </c>
      <c r="I10" s="68">
        <v>89</v>
      </c>
      <c r="J10" s="68">
        <v>7</v>
      </c>
      <c r="K10" s="68" t="str">
        <f t="shared" si="2"/>
        <v>■■■■■■■71.4%</v>
      </c>
      <c r="M10" s="36" t="s">
        <v>799</v>
      </c>
      <c r="N10" s="36" t="str">
        <f t="shared" si="0"/>
        <v/>
      </c>
    </row>
    <row r="11" spans="1:14">
      <c r="A11" s="36" t="s">
        <v>800</v>
      </c>
      <c r="B11" s="59" t="str">
        <f>IF(LEFT(A11,1)="T","전화(",IF(LEFT(A11,1)="C","온라인(","방문("))&amp;COUNTIF($A$3:A11,LEFT(A11,1)&amp;"*")&amp;")"</f>
        <v>방문(4)</v>
      </c>
      <c r="D11" s="68">
        <v>144</v>
      </c>
      <c r="E11" s="122" t="str">
        <f t="shared" si="1"/>
        <v>2시간24분</v>
      </c>
      <c r="G11" s="36" t="s">
        <v>735</v>
      </c>
      <c r="H11" s="68">
        <v>3</v>
      </c>
      <c r="I11" s="68">
        <v>49</v>
      </c>
      <c r="J11" s="68">
        <v>5</v>
      </c>
      <c r="K11" s="68" t="str">
        <f t="shared" si="2"/>
        <v>■■■■■■60.0%</v>
      </c>
      <c r="M11" s="36" t="s">
        <v>801</v>
      </c>
      <c r="N11" s="36" t="str">
        <f t="shared" si="0"/>
        <v/>
      </c>
    </row>
    <row r="12" spans="1:14">
      <c r="A12" s="36" t="s">
        <v>792</v>
      </c>
      <c r="B12" s="59" t="str">
        <f>IF(LEFT(A12,1)="T","전화(",IF(LEFT(A12,1)="C","온라인(","방문("))&amp;COUNTIF($A$3:A12,LEFT(A12,1)&amp;"*")&amp;")"</f>
        <v>방문(5)</v>
      </c>
      <c r="D12" s="68">
        <v>152</v>
      </c>
      <c r="E12" s="122" t="str">
        <f t="shared" si="1"/>
        <v>2시간32분</v>
      </c>
      <c r="G12" s="36" t="s">
        <v>736</v>
      </c>
      <c r="H12" s="68">
        <v>2</v>
      </c>
      <c r="I12" s="68">
        <v>50</v>
      </c>
      <c r="J12" s="68"/>
      <c r="K12" s="68" t="str">
        <f t="shared" si="2"/>
        <v>신생강의</v>
      </c>
      <c r="M12" s="36" t="s">
        <v>802</v>
      </c>
      <c r="N12" s="36" t="str">
        <f t="shared" si="0"/>
        <v/>
      </c>
    </row>
    <row r="13" spans="1:14">
      <c r="A13" s="36" t="s">
        <v>783</v>
      </c>
      <c r="B13" s="59" t="str">
        <f>IF(LEFT(A13,1)="T","전화(",IF(LEFT(A13,1)="C","온라인(","방문("))&amp;COUNTIF($A$3:A13,LEFT(A13,1)&amp;"*")&amp;")"</f>
        <v>전화(3)</v>
      </c>
      <c r="D13" s="68">
        <v>113</v>
      </c>
      <c r="E13" s="122" t="str">
        <f t="shared" si="1"/>
        <v>2시간</v>
      </c>
      <c r="G13" s="36" t="s">
        <v>737</v>
      </c>
      <c r="H13" s="68">
        <v>4</v>
      </c>
      <c r="I13" s="68">
        <v>70</v>
      </c>
      <c r="J13" s="68">
        <v>3</v>
      </c>
      <c r="K13" s="68" t="str">
        <f t="shared" si="2"/>
        <v>■■■■■■■■■■■■■133.3%</v>
      </c>
    </row>
    <row r="14" spans="1:14">
      <c r="A14" s="36" t="s">
        <v>787</v>
      </c>
      <c r="B14" s="59" t="str">
        <f>IF(LEFT(A14,1)="T","전화(",IF(LEFT(A14,1)="C","온라인(","방문("))&amp;COUNTIF($A$3:A14,LEFT(A14,1)&amp;"*")&amp;")"</f>
        <v>온라인(4)</v>
      </c>
      <c r="D14" s="68">
        <v>105</v>
      </c>
      <c r="E14" s="122" t="str">
        <f t="shared" si="1"/>
        <v>2시간</v>
      </c>
      <c r="G14" s="36" t="s">
        <v>738</v>
      </c>
      <c r="H14" s="68">
        <v>3</v>
      </c>
      <c r="I14" s="68">
        <v>42</v>
      </c>
      <c r="J14" s="68">
        <v>6</v>
      </c>
      <c r="K14" s="68" t="str">
        <f t="shared" si="2"/>
        <v>■■■■■50.0%</v>
      </c>
      <c r="M14" t="s">
        <v>803</v>
      </c>
    </row>
    <row r="15" spans="1:14">
      <c r="A15" s="36" t="s">
        <v>804</v>
      </c>
      <c r="B15" s="59" t="str">
        <f>IF(LEFT(A15,1)="T","전화(",IF(LEFT(A15,1)="C","온라인(","방문("))&amp;COUNTIF($A$3:A15,LEFT(A15,1)&amp;"*")&amp;")"</f>
        <v>방문(6)</v>
      </c>
      <c r="D15" s="68">
        <v>152</v>
      </c>
      <c r="E15" s="122" t="str">
        <f t="shared" si="1"/>
        <v>2시간32분</v>
      </c>
      <c r="G15" s="36" t="s">
        <v>740</v>
      </c>
      <c r="H15" s="68">
        <v>2</v>
      </c>
      <c r="I15" s="68">
        <v>32</v>
      </c>
      <c r="J15" s="68">
        <v>5</v>
      </c>
      <c r="K15" s="68" t="str">
        <f t="shared" si="2"/>
        <v>■■■■40.0%</v>
      </c>
      <c r="M15" s="36" t="s">
        <v>781</v>
      </c>
      <c r="N15" s="36" t="s">
        <v>782</v>
      </c>
    </row>
    <row r="16" spans="1:14">
      <c r="A16" s="36" t="s">
        <v>805</v>
      </c>
      <c r="B16" s="59" t="str">
        <f>IF(LEFT(A16,1)="T","전화(",IF(LEFT(A16,1)="C","온라인(","방문("))&amp;COUNTIF($A$3:A16,LEFT(A16,1)&amp;"*")&amp;")"</f>
        <v>전화(4)</v>
      </c>
      <c r="D16" s="68">
        <v>113</v>
      </c>
      <c r="E16" s="122" t="str">
        <f t="shared" si="1"/>
        <v>2시간</v>
      </c>
      <c r="G16" s="36" t="s">
        <v>741</v>
      </c>
      <c r="H16" s="68">
        <v>6</v>
      </c>
      <c r="I16" s="68">
        <v>350</v>
      </c>
      <c r="J16" s="68">
        <v>5</v>
      </c>
      <c r="K16" s="68" t="str">
        <f t="shared" si="2"/>
        <v>■■■■■■■■■■■■120.0%</v>
      </c>
      <c r="M16" s="36" t="s">
        <v>806</v>
      </c>
      <c r="N16" s="36" t="s">
        <v>807</v>
      </c>
    </row>
    <row r="17" spans="1:14">
      <c r="A17" s="36" t="s">
        <v>787</v>
      </c>
      <c r="B17" s="59" t="str">
        <f>IF(LEFT(A17,1)="T","전화(",IF(LEFT(A17,1)="C","온라인(","방문("))&amp;COUNTIF($A$3:A17,LEFT(A17,1)&amp;"*")&amp;")"</f>
        <v>온라인(5)</v>
      </c>
      <c r="D17" s="68">
        <v>228</v>
      </c>
      <c r="E17" s="122" t="str">
        <f t="shared" si="1"/>
        <v>3시간48분</v>
      </c>
      <c r="G17" s="36" t="s">
        <v>744</v>
      </c>
      <c r="H17" s="68">
        <v>2</v>
      </c>
      <c r="I17" s="68">
        <v>37</v>
      </c>
      <c r="J17" s="68">
        <v>2</v>
      </c>
      <c r="K17" s="68" t="str">
        <f t="shared" si="2"/>
        <v>■■■■■■■■■■100.0%</v>
      </c>
      <c r="M17" s="36" t="s">
        <v>793</v>
      </c>
      <c r="N17" s="36" t="s">
        <v>808</v>
      </c>
    </row>
    <row r="18" spans="1:14">
      <c r="A18" s="36" t="s">
        <v>790</v>
      </c>
      <c r="B18" s="59" t="str">
        <f>IF(LEFT(A18,1)="T","전화(",IF(LEFT(A18,1)="C","온라인(","방문("))&amp;COUNTIF($A$3:A18,LEFT(A18,1)&amp;"*")&amp;")"</f>
        <v>방문(7)</v>
      </c>
      <c r="G18" s="36" t="s">
        <v>745</v>
      </c>
      <c r="H18" s="68">
        <v>3</v>
      </c>
      <c r="I18" s="68">
        <v>69</v>
      </c>
      <c r="J18" s="68">
        <v>9</v>
      </c>
      <c r="K18" s="68" t="str">
        <f t="shared" si="2"/>
        <v>■■■33.3%</v>
      </c>
      <c r="M18" s="36" t="s">
        <v>789</v>
      </c>
      <c r="N18" s="36" t="s">
        <v>809</v>
      </c>
    </row>
    <row r="19" spans="1:14">
      <c r="A19" s="36" t="s">
        <v>783</v>
      </c>
      <c r="B19" s="59" t="str">
        <f>IF(LEFT(A19,1)="T","전화(",IF(LEFT(A19,1)="C","온라인(","방문("))&amp;COUNTIF($A$3:A19,LEFT(A19,1)&amp;"*")&amp;")"</f>
        <v>전화(5)</v>
      </c>
      <c r="G19" s="36" t="s">
        <v>746</v>
      </c>
      <c r="H19" s="68">
        <v>5</v>
      </c>
      <c r="I19" s="68">
        <v>53</v>
      </c>
      <c r="J19" s="68">
        <v>5</v>
      </c>
      <c r="K19" s="68" t="str">
        <f t="shared" si="2"/>
        <v>■■■■■■■■■■100.0%</v>
      </c>
      <c r="M19" s="36" t="s">
        <v>791</v>
      </c>
      <c r="N19" s="36" t="s">
        <v>810</v>
      </c>
    </row>
    <row r="20" spans="1:14">
      <c r="A20" s="36" t="s">
        <v>811</v>
      </c>
      <c r="B20" s="59" t="str">
        <f>IF(LEFT(A20,1)="T","전화(",IF(LEFT(A20,1)="C","온라인(","방문("))&amp;COUNTIF($A$3:A20,LEFT(A20,1)&amp;"*")&amp;")"</f>
        <v>온라인(6)</v>
      </c>
      <c r="G20" s="36" t="s">
        <v>747</v>
      </c>
      <c r="H20" s="68">
        <v>1</v>
      </c>
      <c r="I20" s="68">
        <v>28</v>
      </c>
      <c r="J20" s="68">
        <v>8</v>
      </c>
      <c r="K20" s="68" t="str">
        <f t="shared" si="2"/>
        <v>■12.5%</v>
      </c>
      <c r="M20" s="36" t="s">
        <v>795</v>
      </c>
      <c r="N20" s="36" t="s">
        <v>812</v>
      </c>
    </row>
    <row r="21" spans="1:14">
      <c r="A21" s="36" t="s">
        <v>804</v>
      </c>
      <c r="B21" s="59" t="str">
        <f>IF(LEFT(A21,1)="T","전화(",IF(LEFT(A21,1)="C","온라인(","방문("))&amp;COUNTIF($A$3:A21,LEFT(A21,1)&amp;"*")&amp;")"</f>
        <v>방문(8)</v>
      </c>
      <c r="G21" s="36" t="s">
        <v>749</v>
      </c>
      <c r="H21" s="68">
        <v>1</v>
      </c>
      <c r="I21" s="68">
        <v>23</v>
      </c>
      <c r="J21" s="68"/>
      <c r="K21" s="68" t="str">
        <f t="shared" si="2"/>
        <v>신생강의</v>
      </c>
    </row>
    <row r="22" spans="1:14">
      <c r="A22" s="36" t="s">
        <v>813</v>
      </c>
      <c r="B22" s="59" t="str">
        <f>IF(LEFT(A22,1)="T","전화(",IF(LEFT(A22,1)="C","온라인(","방문("))&amp;COUNTIF($A$3:A22,LEFT(A22,1)&amp;"*")&amp;")"</f>
        <v>전화(6)</v>
      </c>
      <c r="G22" s="36" t="s">
        <v>750</v>
      </c>
      <c r="H22" s="68">
        <v>5</v>
      </c>
      <c r="I22" s="68">
        <v>45</v>
      </c>
      <c r="J22" s="68">
        <v>4</v>
      </c>
      <c r="K22" s="68" t="str">
        <f t="shared" si="2"/>
        <v>■■■■■■■■■■■■125.0%</v>
      </c>
    </row>
    <row r="23" spans="1:14">
      <c r="A23" s="36" t="s">
        <v>796</v>
      </c>
      <c r="B23" s="59" t="str">
        <f>IF(LEFT(A23,1)="T","전화(",IF(LEFT(A23,1)="C","온라인(","방문("))&amp;COUNTIF($A$3:A23,LEFT(A23,1)&amp;"*")&amp;")"</f>
        <v>온라인(7)</v>
      </c>
      <c r="G23" s="36" t="s">
        <v>751</v>
      </c>
      <c r="H23" s="68">
        <v>4</v>
      </c>
      <c r="I23" s="68">
        <v>64</v>
      </c>
      <c r="J23" s="68">
        <v>5</v>
      </c>
      <c r="K23" s="68" t="str">
        <f t="shared" si="2"/>
        <v>■■■■■■■■80.0%</v>
      </c>
    </row>
    <row r="24" spans="1:14">
      <c r="A24" s="36" t="s">
        <v>815</v>
      </c>
      <c r="B24" s="59" t="str">
        <f>IF(LEFT(A24,1)="T","전화(",IF(LEFT(A24,1)="C","온라인(","방문("))&amp;COUNTIF($A$3:A24,LEFT(A24,1)&amp;"*")&amp;")"</f>
        <v>방문(9)</v>
      </c>
      <c r="G24" s="36" t="s">
        <v>752</v>
      </c>
      <c r="H24" s="68">
        <v>4</v>
      </c>
      <c r="I24" s="68">
        <v>79</v>
      </c>
      <c r="J24" s="68">
        <v>5</v>
      </c>
      <c r="K24" s="68" t="str">
        <f t="shared" si="2"/>
        <v>■■■■■■■■80.0%</v>
      </c>
    </row>
    <row r="25" spans="1:14">
      <c r="A25" s="36" t="s">
        <v>814</v>
      </c>
      <c r="B25" s="59" t="str">
        <f>IF(LEFT(A25,1)="T","전화(",IF(LEFT(A25,1)="C","온라인(","방문("))&amp;COUNTIF($A$3:A25,LEFT(A25,1)&amp;"*")&amp;")"</f>
        <v>방문(10)</v>
      </c>
      <c r="G25" s="36" t="s">
        <v>753</v>
      </c>
      <c r="H25" s="68">
        <v>3</v>
      </c>
      <c r="I25" s="68">
        <v>36</v>
      </c>
      <c r="J25" s="68">
        <v>3</v>
      </c>
      <c r="K25" s="68" t="str">
        <f t="shared" si="2"/>
        <v>■■■■■■■■■■100.0%</v>
      </c>
    </row>
    <row r="26" spans="1:14">
      <c r="G26" s="36" t="s">
        <v>754</v>
      </c>
      <c r="H26" s="68">
        <v>6</v>
      </c>
      <c r="I26" s="68">
        <v>109</v>
      </c>
      <c r="J26" s="68">
        <v>5</v>
      </c>
      <c r="K26" s="68" t="str">
        <f t="shared" si="2"/>
        <v>■■■■■■■■■■■■120.0%</v>
      </c>
    </row>
    <row r="27" spans="1:14">
      <c r="G27" s="36" t="s">
        <v>755</v>
      </c>
      <c r="H27" s="68">
        <v>2</v>
      </c>
      <c r="I27" s="68">
        <v>33</v>
      </c>
      <c r="J27" s="68">
        <v>5</v>
      </c>
      <c r="K27" s="68" t="str">
        <f t="shared" si="2"/>
        <v>■■■■40.0%</v>
      </c>
    </row>
    <row r="28" spans="1:14">
      <c r="G28" s="36" t="s">
        <v>756</v>
      </c>
      <c r="H28" s="68">
        <v>1</v>
      </c>
      <c r="I28" s="68">
        <v>29</v>
      </c>
      <c r="J28" s="68">
        <v>4</v>
      </c>
      <c r="K28" s="68" t="str">
        <f t="shared" si="2"/>
        <v>■■25.0%</v>
      </c>
    </row>
    <row r="29" spans="1:14">
      <c r="G29" s="36" t="s">
        <v>758</v>
      </c>
      <c r="H29" s="68">
        <v>5</v>
      </c>
      <c r="I29" s="68">
        <v>37</v>
      </c>
      <c r="J29" s="68">
        <v>6</v>
      </c>
      <c r="K29" s="68" t="str">
        <f t="shared" si="2"/>
        <v>■■■■■■■■83.3%</v>
      </c>
    </row>
    <row r="30" spans="1:14">
      <c r="G30" s="36" t="s">
        <v>761</v>
      </c>
      <c r="H30" s="68">
        <v>6</v>
      </c>
      <c r="I30" s="68">
        <v>199</v>
      </c>
      <c r="J30" s="68">
        <v>7</v>
      </c>
      <c r="K30" s="68" t="str">
        <f t="shared" si="2"/>
        <v>■■■■■■■■85.7%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/>
  <dimension ref="A1:W35"/>
  <sheetViews>
    <sheetView topLeftCell="K1" zoomScaleNormal="100" workbookViewId="0"/>
  </sheetViews>
  <sheetFormatPr defaultRowHeight="16.5"/>
  <cols>
    <col min="3" max="3" width="13.5" bestFit="1" customWidth="1"/>
    <col min="4" max="4" width="9" bestFit="1" customWidth="1"/>
    <col min="5" max="5" width="12.375" bestFit="1" customWidth="1"/>
    <col min="6" max="6" width="5.5" bestFit="1" customWidth="1"/>
    <col min="8" max="8" width="12.375" bestFit="1" customWidth="1"/>
    <col min="9" max="10" width="13.5" bestFit="1" customWidth="1"/>
    <col min="11" max="11" width="10.875" bestFit="1" customWidth="1"/>
    <col min="12" max="12" width="12.375" bestFit="1" customWidth="1"/>
    <col min="13" max="13" width="1.625" customWidth="1"/>
    <col min="15" max="19" width="13.5" bestFit="1" customWidth="1"/>
    <col min="20" max="20" width="15.25" bestFit="1" customWidth="1"/>
    <col min="21" max="21" width="2.625" customWidth="1"/>
    <col min="22" max="22" width="14.625" bestFit="1" customWidth="1"/>
    <col min="23" max="23" width="14" bestFit="1" customWidth="1"/>
  </cols>
  <sheetData>
    <row r="1" spans="1:23">
      <c r="A1" t="s">
        <v>917</v>
      </c>
      <c r="G1" t="s">
        <v>916</v>
      </c>
      <c r="N1" t="s">
        <v>915</v>
      </c>
      <c r="S1" t="s">
        <v>375</v>
      </c>
      <c r="V1" t="s">
        <v>483</v>
      </c>
    </row>
    <row r="2" spans="1:23">
      <c r="A2" s="36" t="s">
        <v>914</v>
      </c>
      <c r="B2" s="36" t="s">
        <v>907</v>
      </c>
      <c r="C2" s="36" t="s">
        <v>817</v>
      </c>
      <c r="D2" s="36" t="s">
        <v>831</v>
      </c>
      <c r="E2" s="83" t="s">
        <v>819</v>
      </c>
      <c r="G2" s="36" t="s">
        <v>913</v>
      </c>
      <c r="H2" s="36" t="s">
        <v>912</v>
      </c>
      <c r="I2" s="36" t="s">
        <v>911</v>
      </c>
      <c r="J2" s="36" t="s">
        <v>910</v>
      </c>
      <c r="K2" s="36" t="s">
        <v>909</v>
      </c>
      <c r="L2" s="37" t="s">
        <v>908</v>
      </c>
      <c r="N2" s="36" t="s">
        <v>907</v>
      </c>
      <c r="O2" s="36" t="s">
        <v>831</v>
      </c>
      <c r="P2" s="36" t="s">
        <v>817</v>
      </c>
      <c r="Q2" s="83" t="s">
        <v>819</v>
      </c>
      <c r="S2" s="63" t="s">
        <v>1346</v>
      </c>
      <c r="T2" s="83" t="s">
        <v>1347</v>
      </c>
      <c r="V2" s="63" t="s">
        <v>1348</v>
      </c>
      <c r="W2" s="83" t="s">
        <v>1349</v>
      </c>
    </row>
    <row r="3" spans="1:23">
      <c r="A3" s="36" t="s">
        <v>401</v>
      </c>
      <c r="B3" s="36" t="s">
        <v>906</v>
      </c>
      <c r="C3" s="86">
        <v>5000000</v>
      </c>
      <c r="D3" s="36">
        <v>3</v>
      </c>
      <c r="E3" s="86"/>
      <c r="G3" s="36" t="s">
        <v>905</v>
      </c>
      <c r="H3" s="68">
        <v>55</v>
      </c>
      <c r="I3" s="67">
        <v>1500</v>
      </c>
      <c r="J3" s="67">
        <f t="shared" ref="J3:J24" si="0">H3*I3</f>
        <v>82500</v>
      </c>
      <c r="K3" s="68">
        <v>2</v>
      </c>
      <c r="L3" s="88"/>
      <c r="N3" s="36" t="s">
        <v>904</v>
      </c>
      <c r="O3" s="68">
        <v>3</v>
      </c>
      <c r="P3" s="82">
        <v>5000000</v>
      </c>
      <c r="Q3" s="88"/>
      <c r="S3" s="158">
        <v>500000</v>
      </c>
      <c r="T3" s="142"/>
      <c r="V3" s="159">
        <v>100000000</v>
      </c>
      <c r="W3" s="63"/>
    </row>
    <row r="4" spans="1:23">
      <c r="A4" s="36" t="s">
        <v>408</v>
      </c>
      <c r="B4" s="36" t="s">
        <v>903</v>
      </c>
      <c r="C4" s="86">
        <v>7000000</v>
      </c>
      <c r="D4" s="36">
        <v>2</v>
      </c>
      <c r="E4" s="86"/>
      <c r="G4" s="36" t="s">
        <v>902</v>
      </c>
      <c r="H4" s="68">
        <v>20</v>
      </c>
      <c r="I4" s="67">
        <v>3000</v>
      </c>
      <c r="J4" s="67">
        <f t="shared" si="0"/>
        <v>60000</v>
      </c>
      <c r="K4" s="68">
        <v>2</v>
      </c>
      <c r="L4" s="88"/>
      <c r="N4" s="36" t="s">
        <v>888</v>
      </c>
      <c r="O4" s="68">
        <v>2</v>
      </c>
      <c r="P4" s="82">
        <v>7000000</v>
      </c>
      <c r="Q4" s="88"/>
      <c r="S4" s="158">
        <v>1000000</v>
      </c>
      <c r="T4" s="142"/>
      <c r="V4" s="159">
        <v>150000000</v>
      </c>
      <c r="W4" s="63"/>
    </row>
    <row r="5" spans="1:23">
      <c r="A5" s="36" t="s">
        <v>413</v>
      </c>
      <c r="B5" s="36" t="s">
        <v>901</v>
      </c>
      <c r="C5" s="86">
        <v>5500000</v>
      </c>
      <c r="D5" s="36">
        <v>2</v>
      </c>
      <c r="E5" s="86"/>
      <c r="G5" s="36" t="s">
        <v>900</v>
      </c>
      <c r="H5" s="68">
        <v>20</v>
      </c>
      <c r="I5" s="67">
        <v>2000</v>
      </c>
      <c r="J5" s="67">
        <f t="shared" si="0"/>
        <v>40000</v>
      </c>
      <c r="K5" s="68">
        <v>2</v>
      </c>
      <c r="L5" s="88"/>
      <c r="N5" s="36" t="s">
        <v>899</v>
      </c>
      <c r="O5" s="68">
        <v>2</v>
      </c>
      <c r="P5" s="82">
        <v>5500000</v>
      </c>
      <c r="Q5" s="88"/>
      <c r="S5" s="158">
        <v>1500000</v>
      </c>
      <c r="T5" s="142"/>
      <c r="V5" s="159">
        <v>200000000</v>
      </c>
      <c r="W5" s="63"/>
    </row>
    <row r="6" spans="1:23">
      <c r="A6" s="36" t="s">
        <v>419</v>
      </c>
      <c r="B6" s="36" t="s">
        <v>861</v>
      </c>
      <c r="C6" s="86">
        <v>2000000</v>
      </c>
      <c r="D6" s="36">
        <v>4</v>
      </c>
      <c r="E6" s="86"/>
      <c r="G6" s="36" t="s">
        <v>898</v>
      </c>
      <c r="H6" s="68">
        <v>21</v>
      </c>
      <c r="I6" s="67">
        <v>5300</v>
      </c>
      <c r="J6" s="67">
        <f t="shared" si="0"/>
        <v>111300</v>
      </c>
      <c r="K6" s="68">
        <v>2</v>
      </c>
      <c r="L6" s="88"/>
      <c r="N6" s="36" t="s">
        <v>897</v>
      </c>
      <c r="O6" s="68">
        <v>4</v>
      </c>
      <c r="P6" s="82">
        <v>2000000</v>
      </c>
      <c r="Q6" s="88"/>
      <c r="S6" s="158">
        <v>2000000</v>
      </c>
      <c r="T6" s="142"/>
      <c r="V6" s="159">
        <v>250000000</v>
      </c>
      <c r="W6" s="63"/>
    </row>
    <row r="7" spans="1:23">
      <c r="A7" s="36" t="s">
        <v>423</v>
      </c>
      <c r="B7" s="36" t="s">
        <v>896</v>
      </c>
      <c r="C7" s="86">
        <v>5000000</v>
      </c>
      <c r="D7" s="36">
        <v>1</v>
      </c>
      <c r="E7" s="86"/>
      <c r="G7" s="36" t="s">
        <v>895</v>
      </c>
      <c r="H7" s="68">
        <v>95</v>
      </c>
      <c r="I7" s="67">
        <v>3000</v>
      </c>
      <c r="J7" s="67">
        <f t="shared" si="0"/>
        <v>285000</v>
      </c>
      <c r="K7" s="68">
        <v>6</v>
      </c>
      <c r="L7" s="88"/>
      <c r="N7" s="36" t="s">
        <v>894</v>
      </c>
      <c r="O7" s="68">
        <v>1</v>
      </c>
      <c r="P7" s="82">
        <v>5000000</v>
      </c>
      <c r="Q7" s="88"/>
      <c r="S7" s="158">
        <v>2500000</v>
      </c>
      <c r="T7" s="142"/>
      <c r="V7" s="159">
        <v>300000000</v>
      </c>
      <c r="W7" s="63"/>
    </row>
    <row r="8" spans="1:23">
      <c r="A8" s="36" t="s">
        <v>426</v>
      </c>
      <c r="B8" s="36" t="s">
        <v>893</v>
      </c>
      <c r="C8" s="86" t="s">
        <v>856</v>
      </c>
      <c r="D8" s="36" t="s">
        <v>856</v>
      </c>
      <c r="E8" s="86"/>
      <c r="G8" s="36" t="s">
        <v>892</v>
      </c>
      <c r="H8" s="68">
        <v>120</v>
      </c>
      <c r="I8" s="67">
        <v>2500</v>
      </c>
      <c r="J8" s="67">
        <f t="shared" si="0"/>
        <v>300000</v>
      </c>
      <c r="K8" s="68">
        <v>9</v>
      </c>
      <c r="L8" s="88"/>
      <c r="N8" s="36" t="s">
        <v>891</v>
      </c>
      <c r="O8" s="68">
        <v>2</v>
      </c>
      <c r="P8" s="82">
        <v>10000000</v>
      </c>
      <c r="Q8" s="88"/>
      <c r="S8" s="158">
        <v>3000000</v>
      </c>
      <c r="T8" s="142"/>
      <c r="V8" s="159">
        <v>350000000</v>
      </c>
      <c r="W8" s="63"/>
    </row>
    <row r="9" spans="1:23">
      <c r="A9" s="36" t="s">
        <v>430</v>
      </c>
      <c r="B9" s="36" t="s">
        <v>891</v>
      </c>
      <c r="C9" s="86" t="s">
        <v>869</v>
      </c>
      <c r="D9" s="36" t="s">
        <v>869</v>
      </c>
      <c r="E9" s="86"/>
      <c r="G9" s="36" t="s">
        <v>890</v>
      </c>
      <c r="H9" s="68">
        <v>20</v>
      </c>
      <c r="I9" s="67">
        <v>2000</v>
      </c>
      <c r="J9" s="67">
        <f t="shared" si="0"/>
        <v>40000</v>
      </c>
      <c r="K9" s="68">
        <v>2</v>
      </c>
      <c r="L9" s="88"/>
      <c r="N9" s="36" t="s">
        <v>889</v>
      </c>
      <c r="O9" s="68">
        <v>1</v>
      </c>
      <c r="P9" s="82">
        <v>2000000</v>
      </c>
      <c r="Q9" s="88"/>
      <c r="S9" s="158">
        <v>3500000</v>
      </c>
      <c r="T9" s="142"/>
      <c r="V9" s="159">
        <v>400000000</v>
      </c>
      <c r="W9" s="63"/>
    </row>
    <row r="10" spans="1:23">
      <c r="A10" s="36" t="s">
        <v>433</v>
      </c>
      <c r="B10" s="36" t="s">
        <v>888</v>
      </c>
      <c r="C10" s="86">
        <v>23000000</v>
      </c>
      <c r="D10" s="36">
        <v>5</v>
      </c>
      <c r="E10" s="86"/>
      <c r="G10" s="36" t="s">
        <v>887</v>
      </c>
      <c r="H10" s="68">
        <v>25</v>
      </c>
      <c r="I10" s="67">
        <v>5300</v>
      </c>
      <c r="J10" s="67">
        <f t="shared" si="0"/>
        <v>132500</v>
      </c>
      <c r="K10" s="68">
        <v>6</v>
      </c>
      <c r="L10" s="88"/>
      <c r="N10" s="36" t="s">
        <v>886</v>
      </c>
      <c r="O10" s="68">
        <v>5</v>
      </c>
      <c r="P10" s="82">
        <v>23000000</v>
      </c>
      <c r="Q10" s="88"/>
      <c r="S10" s="158">
        <v>4000000</v>
      </c>
      <c r="T10" s="142"/>
      <c r="V10" s="159">
        <v>450000000</v>
      </c>
      <c r="W10" s="63"/>
    </row>
    <row r="11" spans="1:23">
      <c r="A11" s="36" t="s">
        <v>437</v>
      </c>
      <c r="B11" s="36" t="s">
        <v>885</v>
      </c>
      <c r="C11" s="86">
        <v>10000000</v>
      </c>
      <c r="D11" s="36">
        <v>3</v>
      </c>
      <c r="E11" s="86"/>
      <c r="G11" s="36" t="s">
        <v>884</v>
      </c>
      <c r="H11" s="68">
        <v>90</v>
      </c>
      <c r="I11" s="67">
        <v>2500</v>
      </c>
      <c r="J11" s="67">
        <f t="shared" si="0"/>
        <v>225000</v>
      </c>
      <c r="K11" s="68">
        <v>9</v>
      </c>
      <c r="L11" s="88"/>
      <c r="N11" s="36" t="s">
        <v>883</v>
      </c>
      <c r="O11" s="68">
        <v>3</v>
      </c>
      <c r="P11" s="82">
        <v>10000000</v>
      </c>
      <c r="Q11" s="88"/>
      <c r="S11" s="158">
        <v>4500000</v>
      </c>
      <c r="T11" s="142"/>
      <c r="V11" s="159">
        <v>500000000</v>
      </c>
      <c r="W11" s="63"/>
    </row>
    <row r="12" spans="1:23">
      <c r="A12" s="36" t="s">
        <v>439</v>
      </c>
      <c r="B12" s="36" t="s">
        <v>882</v>
      </c>
      <c r="C12" s="86">
        <v>7000000</v>
      </c>
      <c r="D12" s="36">
        <v>1</v>
      </c>
      <c r="E12" s="86"/>
      <c r="G12" s="36" t="s">
        <v>881</v>
      </c>
      <c r="H12" s="68">
        <v>55</v>
      </c>
      <c r="I12" s="67">
        <v>2500</v>
      </c>
      <c r="J12" s="67">
        <f t="shared" si="0"/>
        <v>137500</v>
      </c>
      <c r="K12" s="68">
        <v>6</v>
      </c>
      <c r="L12" s="88"/>
      <c r="N12" s="36" t="s">
        <v>880</v>
      </c>
      <c r="O12" s="68">
        <v>1</v>
      </c>
      <c r="P12" s="82">
        <v>7000000</v>
      </c>
      <c r="Q12" s="88"/>
      <c r="S12" s="158">
        <v>5000000</v>
      </c>
      <c r="T12" s="142"/>
      <c r="V12" s="159">
        <v>550000000</v>
      </c>
      <c r="W12" s="63"/>
    </row>
    <row r="13" spans="1:23">
      <c r="A13" s="36" t="s">
        <v>442</v>
      </c>
      <c r="B13" s="36" t="s">
        <v>879</v>
      </c>
      <c r="C13" s="86">
        <v>5000000</v>
      </c>
      <c r="D13" s="36">
        <v>1</v>
      </c>
      <c r="E13" s="86"/>
      <c r="G13" s="36" t="s">
        <v>878</v>
      </c>
      <c r="H13" s="68">
        <v>30</v>
      </c>
      <c r="I13" s="67">
        <v>2000</v>
      </c>
      <c r="J13" s="67">
        <f t="shared" si="0"/>
        <v>60000</v>
      </c>
      <c r="K13" s="68">
        <v>3</v>
      </c>
      <c r="L13" s="88"/>
      <c r="N13" s="36" t="s">
        <v>877</v>
      </c>
      <c r="O13" s="68">
        <v>1</v>
      </c>
      <c r="P13" s="82">
        <v>5000000</v>
      </c>
      <c r="Q13" s="88"/>
      <c r="S13" s="158">
        <v>5500000</v>
      </c>
      <c r="T13" s="142"/>
      <c r="V13" s="159">
        <v>600000000</v>
      </c>
      <c r="W13" s="63"/>
    </row>
    <row r="14" spans="1:23">
      <c r="A14" s="36" t="s">
        <v>444</v>
      </c>
      <c r="B14" s="36" t="s">
        <v>876</v>
      </c>
      <c r="C14" s="86">
        <v>10000000</v>
      </c>
      <c r="D14" s="36">
        <v>5</v>
      </c>
      <c r="E14" s="86"/>
      <c r="G14" s="36" t="s">
        <v>875</v>
      </c>
      <c r="H14" s="68">
        <v>25</v>
      </c>
      <c r="I14" s="67">
        <v>5300</v>
      </c>
      <c r="J14" s="67">
        <f t="shared" si="0"/>
        <v>132500</v>
      </c>
      <c r="K14" s="68">
        <v>3</v>
      </c>
      <c r="L14" s="88"/>
      <c r="N14" s="36" t="s">
        <v>874</v>
      </c>
      <c r="O14" s="68">
        <v>5</v>
      </c>
      <c r="P14" s="82">
        <v>10000000</v>
      </c>
      <c r="Q14" s="88"/>
      <c r="V14" s="159">
        <v>650000000</v>
      </c>
      <c r="W14" s="63"/>
    </row>
    <row r="15" spans="1:23">
      <c r="A15" s="36" t="s">
        <v>447</v>
      </c>
      <c r="B15" s="36" t="s">
        <v>873</v>
      </c>
      <c r="C15" s="86">
        <v>20000000</v>
      </c>
      <c r="D15" s="36">
        <v>5</v>
      </c>
      <c r="E15" s="86"/>
      <c r="G15" s="36" t="s">
        <v>872</v>
      </c>
      <c r="H15" s="68">
        <v>100</v>
      </c>
      <c r="I15" s="67">
        <v>2000</v>
      </c>
      <c r="J15" s="67">
        <f t="shared" si="0"/>
        <v>200000</v>
      </c>
      <c r="K15" s="68">
        <v>6</v>
      </c>
      <c r="L15" s="88"/>
      <c r="N15" s="36" t="s">
        <v>871</v>
      </c>
      <c r="O15" s="68">
        <v>5</v>
      </c>
      <c r="P15" s="82">
        <v>20000000</v>
      </c>
      <c r="Q15" s="88"/>
      <c r="V15" s="159">
        <v>700000000</v>
      </c>
      <c r="W15" s="63"/>
    </row>
    <row r="16" spans="1:23">
      <c r="A16" s="36" t="s">
        <v>450</v>
      </c>
      <c r="B16" s="36" t="s">
        <v>870</v>
      </c>
      <c r="C16" s="36" t="s">
        <v>855</v>
      </c>
      <c r="D16" s="36" t="s">
        <v>869</v>
      </c>
      <c r="E16" s="86"/>
      <c r="G16" s="36" t="s">
        <v>868</v>
      </c>
      <c r="H16" s="68">
        <v>90</v>
      </c>
      <c r="I16" s="67">
        <v>5300</v>
      </c>
      <c r="J16" s="67">
        <f t="shared" si="0"/>
        <v>477000</v>
      </c>
      <c r="K16" s="68">
        <v>24</v>
      </c>
      <c r="L16" s="88"/>
      <c r="N16" s="36" t="s">
        <v>867</v>
      </c>
      <c r="O16" s="68">
        <v>1</v>
      </c>
      <c r="P16" s="82">
        <v>2000000</v>
      </c>
      <c r="Q16" s="88"/>
      <c r="V16" s="159">
        <v>750000000</v>
      </c>
      <c r="W16" s="63"/>
    </row>
    <row r="17" spans="1:23">
      <c r="A17" s="36" t="s">
        <v>453</v>
      </c>
      <c r="B17" s="36" t="s">
        <v>866</v>
      </c>
      <c r="C17" s="86">
        <v>5000000</v>
      </c>
      <c r="D17" s="36">
        <v>2</v>
      </c>
      <c r="E17" s="86"/>
      <c r="G17" s="36" t="s">
        <v>865</v>
      </c>
      <c r="H17" s="68">
        <v>55</v>
      </c>
      <c r="I17" s="67">
        <v>3000</v>
      </c>
      <c r="J17" s="67">
        <f t="shared" si="0"/>
        <v>165000</v>
      </c>
      <c r="K17" s="68">
        <v>3</v>
      </c>
      <c r="L17" s="88"/>
      <c r="N17" s="36" t="s">
        <v>864</v>
      </c>
      <c r="O17" s="68">
        <v>2</v>
      </c>
      <c r="P17" s="82">
        <v>5000000</v>
      </c>
      <c r="Q17" s="88"/>
      <c r="V17" s="159">
        <v>800000000</v>
      </c>
      <c r="W17" s="63"/>
    </row>
    <row r="18" spans="1:23">
      <c r="A18" s="36" t="s">
        <v>455</v>
      </c>
      <c r="B18" s="36" t="s">
        <v>863</v>
      </c>
      <c r="C18" s="86">
        <v>15000000</v>
      </c>
      <c r="D18" s="36">
        <v>1</v>
      </c>
      <c r="E18" s="86"/>
      <c r="G18" s="36" t="s">
        <v>862</v>
      </c>
      <c r="H18" s="68">
        <v>32</v>
      </c>
      <c r="I18" s="67">
        <v>5300</v>
      </c>
      <c r="J18" s="67">
        <f t="shared" si="0"/>
        <v>169600</v>
      </c>
      <c r="K18" s="68">
        <v>6</v>
      </c>
      <c r="L18" s="88"/>
      <c r="N18" s="36" t="s">
        <v>861</v>
      </c>
      <c r="O18" s="68">
        <v>1</v>
      </c>
      <c r="P18" s="82">
        <v>15000000</v>
      </c>
      <c r="Q18" s="88"/>
    </row>
    <row r="19" spans="1:23">
      <c r="A19" s="36" t="s">
        <v>458</v>
      </c>
      <c r="B19" s="36" t="s">
        <v>860</v>
      </c>
      <c r="C19" s="86">
        <v>2000000</v>
      </c>
      <c r="D19" s="36">
        <v>4</v>
      </c>
      <c r="E19" s="86"/>
      <c r="G19" s="36" t="s">
        <v>859</v>
      </c>
      <c r="H19" s="68">
        <v>60</v>
      </c>
      <c r="I19" s="67">
        <v>1500</v>
      </c>
      <c r="J19" s="67">
        <f t="shared" si="0"/>
        <v>90000</v>
      </c>
      <c r="K19" s="68">
        <v>3</v>
      </c>
      <c r="L19" s="88"/>
      <c r="N19" s="36" t="s">
        <v>858</v>
      </c>
      <c r="O19" s="68">
        <v>4</v>
      </c>
      <c r="P19" s="82">
        <v>2000000</v>
      </c>
      <c r="Q19" s="88"/>
    </row>
    <row r="20" spans="1:23">
      <c r="A20" s="36" t="s">
        <v>460</v>
      </c>
      <c r="B20" s="36" t="s">
        <v>857</v>
      </c>
      <c r="C20" s="36" t="s">
        <v>856</v>
      </c>
      <c r="D20" s="36" t="s">
        <v>855</v>
      </c>
      <c r="E20" s="86"/>
      <c r="G20" s="36" t="s">
        <v>854</v>
      </c>
      <c r="H20" s="68">
        <v>50</v>
      </c>
      <c r="I20" s="67">
        <v>3000</v>
      </c>
      <c r="J20" s="67">
        <f t="shared" si="0"/>
        <v>150000</v>
      </c>
      <c r="K20" s="68">
        <v>6</v>
      </c>
      <c r="L20" s="88"/>
      <c r="N20" s="36" t="s">
        <v>853</v>
      </c>
      <c r="O20" s="68">
        <v>2</v>
      </c>
      <c r="P20" s="82">
        <v>5000000</v>
      </c>
      <c r="Q20" s="88"/>
    </row>
    <row r="21" spans="1:23">
      <c r="A21" s="36" t="s">
        <v>852</v>
      </c>
      <c r="B21" s="36" t="s">
        <v>851</v>
      </c>
      <c r="C21" s="86">
        <v>10000000</v>
      </c>
      <c r="D21" s="36">
        <v>3</v>
      </c>
      <c r="E21" s="86"/>
      <c r="G21" s="36" t="s">
        <v>850</v>
      </c>
      <c r="H21" s="68">
        <v>110</v>
      </c>
      <c r="I21" s="67">
        <v>3000</v>
      </c>
      <c r="J21" s="67">
        <f t="shared" si="0"/>
        <v>330000</v>
      </c>
      <c r="K21" s="68">
        <v>12</v>
      </c>
      <c r="L21" s="88"/>
      <c r="N21" s="36" t="s">
        <v>849</v>
      </c>
      <c r="O21" s="68">
        <v>4</v>
      </c>
      <c r="P21" s="82">
        <v>10000000</v>
      </c>
      <c r="Q21" s="88"/>
    </row>
    <row r="22" spans="1:23">
      <c r="A22" s="36" t="s">
        <v>848</v>
      </c>
      <c r="B22" s="36" t="s">
        <v>847</v>
      </c>
      <c r="C22" s="86">
        <v>10000000</v>
      </c>
      <c r="D22" s="36">
        <v>4</v>
      </c>
      <c r="E22" s="86"/>
      <c r="G22" s="36" t="s">
        <v>846</v>
      </c>
      <c r="H22" s="68">
        <v>45</v>
      </c>
      <c r="I22" s="67">
        <v>1500</v>
      </c>
      <c r="J22" s="67">
        <f t="shared" si="0"/>
        <v>67500</v>
      </c>
      <c r="K22" s="68">
        <v>2</v>
      </c>
      <c r="L22" s="88"/>
    </row>
    <row r="23" spans="1:23">
      <c r="A23" s="36" t="s">
        <v>845</v>
      </c>
      <c r="B23" s="36" t="s">
        <v>844</v>
      </c>
      <c r="C23" s="86">
        <v>10000000</v>
      </c>
      <c r="D23" s="36">
        <v>2</v>
      </c>
      <c r="E23" s="86"/>
      <c r="G23" s="36" t="s">
        <v>843</v>
      </c>
      <c r="H23" s="68">
        <v>50</v>
      </c>
      <c r="I23" s="67">
        <v>2500</v>
      </c>
      <c r="J23" s="67">
        <f t="shared" si="0"/>
        <v>125000</v>
      </c>
      <c r="K23" s="68">
        <v>3</v>
      </c>
      <c r="L23" s="88"/>
      <c r="N23" s="89" t="s">
        <v>842</v>
      </c>
    </row>
    <row r="24" spans="1:23">
      <c r="A24" s="36" t="s">
        <v>841</v>
      </c>
      <c r="B24" s="36" t="s">
        <v>840</v>
      </c>
      <c r="C24" s="86">
        <v>10000000</v>
      </c>
      <c r="D24" s="36">
        <v>1</v>
      </c>
      <c r="E24" s="86"/>
      <c r="G24" s="36" t="s">
        <v>839</v>
      </c>
      <c r="H24" s="68">
        <v>80</v>
      </c>
      <c r="I24" s="67">
        <v>1500</v>
      </c>
      <c r="J24" s="67">
        <f t="shared" si="0"/>
        <v>120000</v>
      </c>
      <c r="K24" s="68">
        <v>6</v>
      </c>
      <c r="L24" s="88"/>
      <c r="N24" s="36" t="s">
        <v>831</v>
      </c>
      <c r="O24" s="36">
        <v>1</v>
      </c>
      <c r="P24" s="36">
        <v>2</v>
      </c>
      <c r="Q24" s="36">
        <v>3</v>
      </c>
      <c r="R24" s="36">
        <v>4</v>
      </c>
      <c r="S24" s="36">
        <v>5</v>
      </c>
    </row>
    <row r="25" spans="1:23">
      <c r="A25" s="36" t="s">
        <v>838</v>
      </c>
      <c r="B25" s="36" t="s">
        <v>837</v>
      </c>
      <c r="C25" s="86">
        <v>10000000</v>
      </c>
      <c r="D25" s="36">
        <v>2</v>
      </c>
      <c r="E25" s="86"/>
      <c r="N25" s="36" t="s">
        <v>836</v>
      </c>
      <c r="O25" s="87">
        <v>6.5000000000000002E-2</v>
      </c>
      <c r="P25" s="87">
        <v>0.06</v>
      </c>
      <c r="Q25" s="87">
        <v>5.5E-2</v>
      </c>
      <c r="R25" s="87">
        <v>0.05</v>
      </c>
      <c r="S25" s="87">
        <v>4.4999999999999998E-2</v>
      </c>
    </row>
    <row r="26" spans="1:23">
      <c r="A26" s="36" t="s">
        <v>835</v>
      </c>
      <c r="B26" s="36" t="s">
        <v>834</v>
      </c>
      <c r="C26" s="86">
        <v>10000000</v>
      </c>
      <c r="D26" s="36">
        <v>3</v>
      </c>
      <c r="E26" s="86"/>
    </row>
    <row r="27" spans="1:23">
      <c r="N27" t="s">
        <v>833</v>
      </c>
    </row>
    <row r="28" spans="1:23">
      <c r="A28" s="38" t="s">
        <v>832</v>
      </c>
      <c r="N28" s="36" t="s">
        <v>818</v>
      </c>
      <c r="O28" s="39">
        <v>0.02</v>
      </c>
      <c r="P28" s="39">
        <v>0.03</v>
      </c>
      <c r="Q28" s="39">
        <v>0.04</v>
      </c>
      <c r="R28" s="39">
        <v>0.05</v>
      </c>
      <c r="S28" s="39">
        <v>0.06</v>
      </c>
      <c r="T28" s="39">
        <v>7.0000000000000007E-2</v>
      </c>
    </row>
    <row r="29" spans="1:23">
      <c r="C29" s="223" t="s">
        <v>831</v>
      </c>
      <c r="D29" s="223"/>
      <c r="E29" s="223"/>
      <c r="F29" s="223"/>
      <c r="G29" s="223"/>
      <c r="N29" s="36" t="s">
        <v>830</v>
      </c>
      <c r="O29" s="68">
        <v>2</v>
      </c>
      <c r="P29" s="68">
        <v>2</v>
      </c>
      <c r="Q29" s="68">
        <v>2</v>
      </c>
      <c r="R29" s="68">
        <v>2</v>
      </c>
      <c r="S29" s="68">
        <v>2</v>
      </c>
      <c r="T29" s="68">
        <v>2</v>
      </c>
    </row>
    <row r="30" spans="1:23">
      <c r="A30" s="36" t="s">
        <v>829</v>
      </c>
      <c r="B30" s="85" t="s">
        <v>828</v>
      </c>
      <c r="C30" s="36">
        <v>1</v>
      </c>
      <c r="D30" s="36">
        <v>2</v>
      </c>
      <c r="E30" s="36">
        <v>3</v>
      </c>
      <c r="F30" s="36">
        <v>4</v>
      </c>
      <c r="G30" s="36">
        <v>5</v>
      </c>
      <c r="N30" s="36" t="s">
        <v>827</v>
      </c>
      <c r="O30" s="82">
        <v>-500000</v>
      </c>
      <c r="P30" s="82">
        <v>-600000</v>
      </c>
      <c r="Q30" s="82">
        <v>-800000</v>
      </c>
      <c r="R30" s="82">
        <v>-900000</v>
      </c>
      <c r="S30" s="82">
        <v>-1000000</v>
      </c>
      <c r="T30" s="82">
        <v>-1100000</v>
      </c>
    </row>
    <row r="31" spans="1:23">
      <c r="A31" s="84" t="s">
        <v>476</v>
      </c>
      <c r="B31" s="84" t="s">
        <v>826</v>
      </c>
      <c r="C31" s="81">
        <v>6.5000000000000002E-2</v>
      </c>
      <c r="D31" s="81">
        <v>0.06</v>
      </c>
      <c r="E31" s="81">
        <v>5.5E-2</v>
      </c>
      <c r="F31" s="81">
        <v>0.05</v>
      </c>
      <c r="G31" s="81">
        <v>4.4999999999999998E-2</v>
      </c>
      <c r="N31" s="83" t="s">
        <v>825</v>
      </c>
      <c r="O31" s="82"/>
      <c r="P31" s="82"/>
      <c r="Q31" s="82"/>
      <c r="R31" s="82"/>
      <c r="S31" s="82"/>
      <c r="T31" s="82"/>
    </row>
    <row r="32" spans="1:23">
      <c r="A32" s="36" t="s">
        <v>479</v>
      </c>
      <c r="B32" s="36" t="s">
        <v>824</v>
      </c>
      <c r="C32" s="81">
        <v>5.5E-2</v>
      </c>
      <c r="D32" s="81">
        <v>5.2999999999999999E-2</v>
      </c>
      <c r="E32" s="81">
        <v>4.4999999999999998E-2</v>
      </c>
      <c r="F32" s="81">
        <v>4.2000000000000003E-2</v>
      </c>
      <c r="G32" s="81">
        <v>3.7999999999999999E-2</v>
      </c>
    </row>
    <row r="33" spans="1:7">
      <c r="A33" s="36" t="s">
        <v>485</v>
      </c>
      <c r="B33" s="36" t="s">
        <v>823</v>
      </c>
      <c r="C33" s="81">
        <v>0.05</v>
      </c>
      <c r="D33" s="81">
        <v>4.5999999999999999E-2</v>
      </c>
      <c r="E33" s="81">
        <v>4.2000000000000003E-2</v>
      </c>
      <c r="F33" s="81">
        <v>3.7999999999999999E-2</v>
      </c>
      <c r="G33" s="81">
        <v>3.4000000000000002E-2</v>
      </c>
    </row>
    <row r="34" spans="1:7">
      <c r="A34" s="36" t="s">
        <v>495</v>
      </c>
      <c r="B34" s="36" t="s">
        <v>822</v>
      </c>
      <c r="C34" s="81">
        <v>5.8000000000000003E-2</v>
      </c>
      <c r="D34" s="81">
        <v>5.2999999999999999E-2</v>
      </c>
      <c r="E34" s="81">
        <v>4.8000000000000001E-2</v>
      </c>
      <c r="F34" s="81">
        <v>4.2999999999999997E-2</v>
      </c>
      <c r="G34" s="81">
        <v>3.7999999999999999E-2</v>
      </c>
    </row>
    <row r="35" spans="1:7">
      <c r="A35" s="36" t="s">
        <v>501</v>
      </c>
      <c r="B35" s="36" t="s">
        <v>821</v>
      </c>
      <c r="C35" s="81">
        <v>5.8000000000000003E-2</v>
      </c>
      <c r="D35" s="81">
        <v>5.2999999999999999E-2</v>
      </c>
      <c r="E35" s="81">
        <v>4.8000000000000001E-2</v>
      </c>
      <c r="F35" s="81">
        <v>4.2999999999999997E-2</v>
      </c>
      <c r="G35" s="81">
        <v>3.7999999999999999E-2</v>
      </c>
    </row>
  </sheetData>
  <mergeCells count="1">
    <mergeCell ref="C29:G29"/>
  </mergeCells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9"/>
  <dimension ref="A1:W35"/>
  <sheetViews>
    <sheetView topLeftCell="K1" zoomScaleNormal="100" workbookViewId="0"/>
  </sheetViews>
  <sheetFormatPr defaultColWidth="9" defaultRowHeight="16.5"/>
  <cols>
    <col min="3" max="3" width="13.5" bestFit="1" customWidth="1"/>
    <col min="4" max="4" width="9" bestFit="1" customWidth="1"/>
    <col min="5" max="5" width="12.375" bestFit="1" customWidth="1"/>
    <col min="6" max="6" width="5.5" bestFit="1" customWidth="1"/>
    <col min="8" max="8" width="12.375" bestFit="1" customWidth="1"/>
    <col min="9" max="10" width="13.5" bestFit="1" customWidth="1"/>
    <col min="11" max="12" width="12.375" bestFit="1" customWidth="1"/>
    <col min="13" max="13" width="1.625" customWidth="1"/>
    <col min="15" max="19" width="13.5" bestFit="1" customWidth="1"/>
    <col min="20" max="20" width="15.25" bestFit="1" customWidth="1"/>
    <col min="21" max="21" width="2.625" customWidth="1"/>
    <col min="22" max="22" width="14.625" bestFit="1" customWidth="1"/>
    <col min="23" max="23" width="14" bestFit="1" customWidth="1"/>
  </cols>
  <sheetData>
    <row r="1" spans="1:23">
      <c r="A1" t="s">
        <v>993</v>
      </c>
      <c r="G1" t="s">
        <v>992</v>
      </c>
      <c r="N1" t="s">
        <v>991</v>
      </c>
      <c r="S1" t="s">
        <v>375</v>
      </c>
      <c r="V1" t="s">
        <v>483</v>
      </c>
    </row>
    <row r="2" spans="1:23">
      <c r="A2" s="36" t="s">
        <v>990</v>
      </c>
      <c r="B2" s="36" t="s">
        <v>983</v>
      </c>
      <c r="C2" s="36" t="s">
        <v>981</v>
      </c>
      <c r="D2" s="36" t="s">
        <v>982</v>
      </c>
      <c r="E2" s="83" t="s">
        <v>980</v>
      </c>
      <c r="G2" s="36" t="s">
        <v>989</v>
      </c>
      <c r="H2" s="36" t="s">
        <v>988</v>
      </c>
      <c r="I2" s="36" t="s">
        <v>987</v>
      </c>
      <c r="J2" s="36" t="s">
        <v>986</v>
      </c>
      <c r="K2" s="36" t="s">
        <v>985</v>
      </c>
      <c r="L2" s="37" t="s">
        <v>984</v>
      </c>
      <c r="N2" s="36" t="s">
        <v>983</v>
      </c>
      <c r="O2" s="36" t="s">
        <v>982</v>
      </c>
      <c r="P2" s="36" t="s">
        <v>981</v>
      </c>
      <c r="Q2" s="83" t="s">
        <v>980</v>
      </c>
      <c r="S2" s="63" t="s">
        <v>1346</v>
      </c>
      <c r="T2" s="83" t="s">
        <v>1347</v>
      </c>
      <c r="V2" s="63" t="s">
        <v>1348</v>
      </c>
      <c r="W2" s="83" t="s">
        <v>1349</v>
      </c>
    </row>
    <row r="3" spans="1:23">
      <c r="A3" s="36" t="s">
        <v>401</v>
      </c>
      <c r="B3" s="36" t="s">
        <v>871</v>
      </c>
      <c r="C3" s="86">
        <v>5000000</v>
      </c>
      <c r="D3" s="36">
        <v>3</v>
      </c>
      <c r="E3" s="86">
        <f t="shared" ref="E3:E26" ca="1" si="0">IFERROR(PMT(OFFSET($B$30,MATCH(LEFT(A3,2),$A$31:$A$35,0),D3)/12,D3*12,-C3),"대출없음")</f>
        <v>150979.50902155141</v>
      </c>
      <c r="G3" s="36" t="s">
        <v>979</v>
      </c>
      <c r="H3" s="68">
        <v>55</v>
      </c>
      <c r="I3" s="67">
        <v>1500</v>
      </c>
      <c r="J3" s="67">
        <f t="shared" ref="J3:J24" si="1">H3*I3</f>
        <v>82500</v>
      </c>
      <c r="K3" s="68">
        <v>2</v>
      </c>
      <c r="L3" s="88">
        <f t="shared" ref="L3:L24" si="2">ROUNDDOWN(PMT(3%/12,K3,-J3),-1)</f>
        <v>41400</v>
      </c>
      <c r="N3" s="36" t="s">
        <v>893</v>
      </c>
      <c r="O3" s="68">
        <v>3</v>
      </c>
      <c r="P3" s="82">
        <v>5000000</v>
      </c>
      <c r="Q3" s="88">
        <f t="shared" ref="Q3:Q21" si="3">PMT(HLOOKUP(O3,$O$24:$S$25,2)/12,O3*12,-P3)</f>
        <v>150979.50902155141</v>
      </c>
      <c r="S3" s="158">
        <v>500000</v>
      </c>
      <c r="T3" s="142" t="str">
        <f>IF(FV(3.5%/12,120,-S3)&gt;=100000000,TEXT(INT(FV(3.5%/12,120,-S3)),"#,##0원"),"비추천")</f>
        <v>비추천</v>
      </c>
      <c r="V3" s="159">
        <v>100000000</v>
      </c>
      <c r="W3" s="63" t="str">
        <f>_xlfn.CONCAT("약 ", FIXED(PMT(9%/12, 120, -V3), -4), "원")</f>
        <v>약 1,270,000원</v>
      </c>
    </row>
    <row r="4" spans="1:23">
      <c r="A4" s="36" t="s">
        <v>408</v>
      </c>
      <c r="B4" s="36" t="s">
        <v>978</v>
      </c>
      <c r="C4" s="86">
        <v>7000000</v>
      </c>
      <c r="D4" s="36">
        <v>2</v>
      </c>
      <c r="E4" s="86">
        <f t="shared" ca="1" si="0"/>
        <v>308041.06925023685</v>
      </c>
      <c r="G4" s="36" t="s">
        <v>977</v>
      </c>
      <c r="H4" s="68">
        <v>20</v>
      </c>
      <c r="I4" s="67">
        <v>3000</v>
      </c>
      <c r="J4" s="67">
        <f t="shared" si="1"/>
        <v>60000</v>
      </c>
      <c r="K4" s="68">
        <v>2</v>
      </c>
      <c r="L4" s="88">
        <f t="shared" si="2"/>
        <v>30110</v>
      </c>
      <c r="N4" s="36" t="s">
        <v>976</v>
      </c>
      <c r="O4" s="68">
        <v>2</v>
      </c>
      <c r="P4" s="82">
        <v>7000000</v>
      </c>
      <c r="Q4" s="88">
        <f t="shared" si="3"/>
        <v>310244.27176929824</v>
      </c>
      <c r="S4" s="158">
        <v>1000000</v>
      </c>
      <c r="T4" s="142" t="str">
        <f t="shared" ref="T4:T13" si="4">IF(FV(3.5%/12,120,-S4)&gt;=100000000,TEXT(INT(FV(3.5%/12,120,-S4)),"#,##0원"),"비추천")</f>
        <v>143,432,510원</v>
      </c>
      <c r="V4" s="159">
        <v>150000000</v>
      </c>
      <c r="W4" s="63" t="str">
        <f t="shared" ref="W4:W17" si="5">_xlfn.CONCAT("약 ", FIXED(PMT(9%/12, 120, -V4), -4), "원")</f>
        <v>약 1,900,000원</v>
      </c>
    </row>
    <row r="5" spans="1:23">
      <c r="A5" s="36" t="s">
        <v>413</v>
      </c>
      <c r="B5" s="36" t="s">
        <v>975</v>
      </c>
      <c r="C5" s="86">
        <v>5500000</v>
      </c>
      <c r="D5" s="36">
        <v>2</v>
      </c>
      <c r="E5" s="86">
        <f t="shared" ca="1" si="0"/>
        <v>240308.5965616304</v>
      </c>
      <c r="G5" s="36" t="s">
        <v>974</v>
      </c>
      <c r="H5" s="68">
        <v>20</v>
      </c>
      <c r="I5" s="67">
        <v>2000</v>
      </c>
      <c r="J5" s="67">
        <f t="shared" si="1"/>
        <v>40000</v>
      </c>
      <c r="K5" s="68">
        <v>2</v>
      </c>
      <c r="L5" s="88">
        <f t="shared" si="2"/>
        <v>20070</v>
      </c>
      <c r="N5" s="36" t="s">
        <v>973</v>
      </c>
      <c r="O5" s="68">
        <v>2</v>
      </c>
      <c r="P5" s="82">
        <v>5500000</v>
      </c>
      <c r="Q5" s="88">
        <f t="shared" si="3"/>
        <v>243763.35639016289</v>
      </c>
      <c r="S5" s="158">
        <v>1500000</v>
      </c>
      <c r="T5" s="142" t="str">
        <f t="shared" si="4"/>
        <v>215,148,765원</v>
      </c>
      <c r="V5" s="159">
        <v>200000000</v>
      </c>
      <c r="W5" s="63" t="str">
        <f t="shared" si="5"/>
        <v>약 2,530,000원</v>
      </c>
    </row>
    <row r="6" spans="1:23">
      <c r="A6" s="36" t="s">
        <v>419</v>
      </c>
      <c r="B6" s="36" t="s">
        <v>972</v>
      </c>
      <c r="C6" s="86">
        <v>2000000</v>
      </c>
      <c r="D6" s="36">
        <v>4</v>
      </c>
      <c r="E6" s="86">
        <f t="shared" ca="1" si="0"/>
        <v>45427.096547435249</v>
      </c>
      <c r="G6" s="36" t="s">
        <v>971</v>
      </c>
      <c r="H6" s="68">
        <v>21</v>
      </c>
      <c r="I6" s="67">
        <v>5300</v>
      </c>
      <c r="J6" s="67">
        <f t="shared" si="1"/>
        <v>111300</v>
      </c>
      <c r="K6" s="68">
        <v>2</v>
      </c>
      <c r="L6" s="88">
        <f t="shared" si="2"/>
        <v>55850</v>
      </c>
      <c r="N6" s="36" t="s">
        <v>897</v>
      </c>
      <c r="O6" s="68">
        <v>4</v>
      </c>
      <c r="P6" s="82">
        <v>2000000</v>
      </c>
      <c r="Q6" s="88">
        <f t="shared" si="3"/>
        <v>46058.587141293036</v>
      </c>
      <c r="S6" s="158">
        <v>2000000</v>
      </c>
      <c r="T6" s="142" t="str">
        <f t="shared" si="4"/>
        <v>286,865,020원</v>
      </c>
      <c r="V6" s="159">
        <v>250000000</v>
      </c>
      <c r="W6" s="63" t="str">
        <f t="shared" si="5"/>
        <v>약 3,170,000원</v>
      </c>
    </row>
    <row r="7" spans="1:23">
      <c r="A7" s="36" t="s">
        <v>423</v>
      </c>
      <c r="B7" s="36" t="s">
        <v>896</v>
      </c>
      <c r="C7" s="86">
        <v>5000000</v>
      </c>
      <c r="D7" s="36">
        <v>1</v>
      </c>
      <c r="E7" s="86">
        <f t="shared" ca="1" si="0"/>
        <v>431482.08480140701</v>
      </c>
      <c r="G7" s="36" t="s">
        <v>895</v>
      </c>
      <c r="H7" s="68">
        <v>95</v>
      </c>
      <c r="I7" s="67">
        <v>3000</v>
      </c>
      <c r="J7" s="67">
        <f t="shared" si="1"/>
        <v>285000</v>
      </c>
      <c r="K7" s="68">
        <v>6</v>
      </c>
      <c r="L7" s="88">
        <f t="shared" si="2"/>
        <v>47910</v>
      </c>
      <c r="N7" s="36" t="s">
        <v>894</v>
      </c>
      <c r="O7" s="68">
        <v>1</v>
      </c>
      <c r="P7" s="82">
        <v>5000000</v>
      </c>
      <c r="Q7" s="88">
        <f t="shared" si="3"/>
        <v>431482.08480140701</v>
      </c>
      <c r="S7" s="158">
        <v>2500000</v>
      </c>
      <c r="T7" s="142" t="str">
        <f t="shared" si="4"/>
        <v>358,581,276원</v>
      </c>
      <c r="V7" s="159">
        <v>300000000</v>
      </c>
      <c r="W7" s="63" t="str">
        <f t="shared" si="5"/>
        <v>약 3,800,000원</v>
      </c>
    </row>
    <row r="8" spans="1:23">
      <c r="A8" s="36" t="s">
        <v>426</v>
      </c>
      <c r="B8" s="36" t="s">
        <v>893</v>
      </c>
      <c r="C8" s="86" t="s">
        <v>856</v>
      </c>
      <c r="D8" s="36" t="s">
        <v>856</v>
      </c>
      <c r="E8" s="86" t="str">
        <f t="shared" ca="1" si="0"/>
        <v>대출없음</v>
      </c>
      <c r="G8" s="36" t="s">
        <v>970</v>
      </c>
      <c r="H8" s="68">
        <v>120</v>
      </c>
      <c r="I8" s="67">
        <v>2500</v>
      </c>
      <c r="J8" s="67">
        <f t="shared" si="1"/>
        <v>300000</v>
      </c>
      <c r="K8" s="68">
        <v>9</v>
      </c>
      <c r="L8" s="88">
        <f t="shared" si="2"/>
        <v>33750</v>
      </c>
      <c r="N8" s="36" t="s">
        <v>969</v>
      </c>
      <c r="O8" s="68">
        <v>2</v>
      </c>
      <c r="P8" s="82">
        <v>10000000</v>
      </c>
      <c r="Q8" s="88">
        <f t="shared" si="3"/>
        <v>443206.10252756893</v>
      </c>
      <c r="S8" s="158">
        <v>3000000</v>
      </c>
      <c r="T8" s="142" t="str">
        <f t="shared" si="4"/>
        <v>430,297,531원</v>
      </c>
      <c r="V8" s="159">
        <v>350000000</v>
      </c>
      <c r="W8" s="63" t="str">
        <f t="shared" si="5"/>
        <v>약 4,430,000원</v>
      </c>
    </row>
    <row r="9" spans="1:23">
      <c r="A9" s="36" t="s">
        <v>430</v>
      </c>
      <c r="B9" s="36" t="s">
        <v>969</v>
      </c>
      <c r="C9" s="86" t="s">
        <v>856</v>
      </c>
      <c r="D9" s="36" t="s">
        <v>942</v>
      </c>
      <c r="E9" s="86" t="str">
        <f t="shared" ca="1" si="0"/>
        <v>대출없음</v>
      </c>
      <c r="G9" s="36" t="s">
        <v>968</v>
      </c>
      <c r="H9" s="68">
        <v>20</v>
      </c>
      <c r="I9" s="67">
        <v>2000</v>
      </c>
      <c r="J9" s="67">
        <f t="shared" si="1"/>
        <v>40000</v>
      </c>
      <c r="K9" s="68">
        <v>2</v>
      </c>
      <c r="L9" s="88">
        <f t="shared" si="2"/>
        <v>20070</v>
      </c>
      <c r="N9" s="36" t="s">
        <v>967</v>
      </c>
      <c r="O9" s="68">
        <v>1</v>
      </c>
      <c r="P9" s="82">
        <v>2000000</v>
      </c>
      <c r="Q9" s="88">
        <f t="shared" si="3"/>
        <v>172592.83392056279</v>
      </c>
      <c r="S9" s="158">
        <v>3500000</v>
      </c>
      <c r="T9" s="142" t="str">
        <f t="shared" si="4"/>
        <v>502,013,786원</v>
      </c>
      <c r="V9" s="159">
        <v>400000000</v>
      </c>
      <c r="W9" s="63" t="str">
        <f t="shared" si="5"/>
        <v>약 5,070,000원</v>
      </c>
    </row>
    <row r="10" spans="1:23">
      <c r="A10" s="36" t="s">
        <v>433</v>
      </c>
      <c r="B10" s="36" t="s">
        <v>966</v>
      </c>
      <c r="C10" s="86">
        <v>23000000</v>
      </c>
      <c r="D10" s="36">
        <v>5</v>
      </c>
      <c r="E10" s="86">
        <f t="shared" ca="1" si="0"/>
        <v>417380.91270801274</v>
      </c>
      <c r="G10" s="36" t="s">
        <v>965</v>
      </c>
      <c r="H10" s="68">
        <v>25</v>
      </c>
      <c r="I10" s="67">
        <v>5300</v>
      </c>
      <c r="J10" s="67">
        <f t="shared" si="1"/>
        <v>132500</v>
      </c>
      <c r="K10" s="68">
        <v>6</v>
      </c>
      <c r="L10" s="88">
        <f t="shared" si="2"/>
        <v>22270</v>
      </c>
      <c r="N10" s="36" t="s">
        <v>896</v>
      </c>
      <c r="O10" s="68">
        <v>5</v>
      </c>
      <c r="P10" s="82">
        <v>23000000</v>
      </c>
      <c r="Q10" s="88">
        <f t="shared" si="3"/>
        <v>428789.44255488296</v>
      </c>
      <c r="S10" s="158">
        <v>4000000</v>
      </c>
      <c r="T10" s="142" t="str">
        <f t="shared" si="4"/>
        <v>573,730,041원</v>
      </c>
      <c r="V10" s="159">
        <v>450000000</v>
      </c>
      <c r="W10" s="63" t="str">
        <f t="shared" si="5"/>
        <v>약 5,700,000원</v>
      </c>
    </row>
    <row r="11" spans="1:23">
      <c r="A11" s="36" t="s">
        <v>437</v>
      </c>
      <c r="B11" s="36" t="s">
        <v>964</v>
      </c>
      <c r="C11" s="86">
        <v>10000000</v>
      </c>
      <c r="D11" s="36">
        <v>3</v>
      </c>
      <c r="E11" s="86">
        <f t="shared" ca="1" si="0"/>
        <v>298811.84143792582</v>
      </c>
      <c r="G11" s="36" t="s">
        <v>963</v>
      </c>
      <c r="H11" s="68">
        <v>90</v>
      </c>
      <c r="I11" s="67">
        <v>2500</v>
      </c>
      <c r="J11" s="67">
        <f t="shared" si="1"/>
        <v>225000</v>
      </c>
      <c r="K11" s="68">
        <v>9</v>
      </c>
      <c r="L11" s="88">
        <f t="shared" si="2"/>
        <v>25310</v>
      </c>
      <c r="N11" s="36" t="s">
        <v>962</v>
      </c>
      <c r="O11" s="68">
        <v>3</v>
      </c>
      <c r="P11" s="82">
        <v>10000000</v>
      </c>
      <c r="Q11" s="88">
        <f t="shared" si="3"/>
        <v>301959.01804310281</v>
      </c>
      <c r="S11" s="158">
        <v>4500000</v>
      </c>
      <c r="T11" s="142" t="str">
        <f t="shared" si="4"/>
        <v>645,446,297원</v>
      </c>
      <c r="V11" s="159">
        <v>500000000</v>
      </c>
      <c r="W11" s="63" t="str">
        <f t="shared" si="5"/>
        <v>약 6,330,000원</v>
      </c>
    </row>
    <row r="12" spans="1:23">
      <c r="A12" s="36" t="s">
        <v>439</v>
      </c>
      <c r="B12" s="36" t="s">
        <v>961</v>
      </c>
      <c r="C12" s="86">
        <v>7000000</v>
      </c>
      <c r="D12" s="36">
        <v>1</v>
      </c>
      <c r="E12" s="86">
        <f t="shared" ca="1" si="0"/>
        <v>601821.71410148533</v>
      </c>
      <c r="G12" s="36" t="s">
        <v>960</v>
      </c>
      <c r="H12" s="68">
        <v>55</v>
      </c>
      <c r="I12" s="67">
        <v>2500</v>
      </c>
      <c r="J12" s="67">
        <f t="shared" si="1"/>
        <v>137500</v>
      </c>
      <c r="K12" s="68">
        <v>6</v>
      </c>
      <c r="L12" s="88">
        <f t="shared" si="2"/>
        <v>23110</v>
      </c>
      <c r="N12" s="36" t="s">
        <v>959</v>
      </c>
      <c r="O12" s="68">
        <v>1</v>
      </c>
      <c r="P12" s="82">
        <v>7000000</v>
      </c>
      <c r="Q12" s="88">
        <f t="shared" si="3"/>
        <v>604074.91872196982</v>
      </c>
      <c r="S12" s="158">
        <v>5000000</v>
      </c>
      <c r="T12" s="142" t="str">
        <f t="shared" si="4"/>
        <v>717,162,552원</v>
      </c>
      <c r="V12" s="159">
        <v>550000000</v>
      </c>
      <c r="W12" s="63" t="str">
        <f t="shared" si="5"/>
        <v>약 6,970,000원</v>
      </c>
    </row>
    <row r="13" spans="1:23">
      <c r="A13" s="36" t="s">
        <v>442</v>
      </c>
      <c r="B13" s="36" t="s">
        <v>879</v>
      </c>
      <c r="C13" s="86">
        <v>5000000</v>
      </c>
      <c r="D13" s="36">
        <v>1</v>
      </c>
      <c r="E13" s="86">
        <f t="shared" ca="1" si="0"/>
        <v>429872.65292963234</v>
      </c>
      <c r="G13" s="36" t="s">
        <v>958</v>
      </c>
      <c r="H13" s="68">
        <v>30</v>
      </c>
      <c r="I13" s="67">
        <v>2000</v>
      </c>
      <c r="J13" s="67">
        <f t="shared" si="1"/>
        <v>60000</v>
      </c>
      <c r="K13" s="68">
        <v>3</v>
      </c>
      <c r="L13" s="88">
        <f t="shared" si="2"/>
        <v>20100</v>
      </c>
      <c r="N13" s="36" t="s">
        <v>957</v>
      </c>
      <c r="O13" s="68">
        <v>1</v>
      </c>
      <c r="P13" s="82">
        <v>5000000</v>
      </c>
      <c r="Q13" s="88">
        <f t="shared" si="3"/>
        <v>431482.08480140701</v>
      </c>
      <c r="S13" s="158">
        <v>5500000</v>
      </c>
      <c r="T13" s="142" t="str">
        <f t="shared" si="4"/>
        <v>788,878,807원</v>
      </c>
      <c r="V13" s="159">
        <v>600000000</v>
      </c>
      <c r="W13" s="63" t="str">
        <f t="shared" si="5"/>
        <v>약 7,600,000원</v>
      </c>
    </row>
    <row r="14" spans="1:23">
      <c r="A14" s="36" t="s">
        <v>444</v>
      </c>
      <c r="B14" s="36" t="s">
        <v>876</v>
      </c>
      <c r="C14" s="86">
        <v>10000000</v>
      </c>
      <c r="D14" s="36">
        <v>5</v>
      </c>
      <c r="E14" s="86">
        <f t="shared" ca="1" si="0"/>
        <v>186430.1924151665</v>
      </c>
      <c r="G14" s="36" t="s">
        <v>956</v>
      </c>
      <c r="H14" s="68">
        <v>25</v>
      </c>
      <c r="I14" s="67">
        <v>5300</v>
      </c>
      <c r="J14" s="67">
        <f t="shared" si="1"/>
        <v>132500</v>
      </c>
      <c r="K14" s="68">
        <v>3</v>
      </c>
      <c r="L14" s="88">
        <f t="shared" si="2"/>
        <v>44380</v>
      </c>
      <c r="N14" s="36" t="s">
        <v>955</v>
      </c>
      <c r="O14" s="68">
        <v>5</v>
      </c>
      <c r="P14" s="82">
        <v>10000000</v>
      </c>
      <c r="Q14" s="88">
        <f t="shared" si="3"/>
        <v>186430.1924151665</v>
      </c>
      <c r="V14" s="159">
        <v>650000000</v>
      </c>
      <c r="W14" s="63" t="str">
        <f t="shared" si="5"/>
        <v>약 8,230,000원</v>
      </c>
    </row>
    <row r="15" spans="1:23">
      <c r="A15" s="36" t="s">
        <v>447</v>
      </c>
      <c r="B15" s="36" t="s">
        <v>873</v>
      </c>
      <c r="C15" s="86">
        <v>20000000</v>
      </c>
      <c r="D15" s="36">
        <v>5</v>
      </c>
      <c r="E15" s="86">
        <f t="shared" ca="1" si="0"/>
        <v>366528.09309015982</v>
      </c>
      <c r="G15" s="36" t="s">
        <v>872</v>
      </c>
      <c r="H15" s="68">
        <v>100</v>
      </c>
      <c r="I15" s="67">
        <v>2000</v>
      </c>
      <c r="J15" s="67">
        <f t="shared" si="1"/>
        <v>200000</v>
      </c>
      <c r="K15" s="68">
        <v>6</v>
      </c>
      <c r="L15" s="88">
        <f t="shared" si="2"/>
        <v>33620</v>
      </c>
      <c r="N15" s="36" t="s">
        <v>954</v>
      </c>
      <c r="O15" s="68">
        <v>5</v>
      </c>
      <c r="P15" s="82">
        <v>20000000</v>
      </c>
      <c r="Q15" s="88">
        <f t="shared" si="3"/>
        <v>372860.384830333</v>
      </c>
      <c r="V15" s="159">
        <v>700000000</v>
      </c>
      <c r="W15" s="63" t="str">
        <f t="shared" si="5"/>
        <v>약 8,870,000원</v>
      </c>
    </row>
    <row r="16" spans="1:23">
      <c r="A16" s="36" t="s">
        <v>450</v>
      </c>
      <c r="B16" s="36" t="s">
        <v>870</v>
      </c>
      <c r="C16" s="36" t="s">
        <v>942</v>
      </c>
      <c r="D16" s="36" t="s">
        <v>942</v>
      </c>
      <c r="E16" s="86" t="str">
        <f t="shared" ca="1" si="0"/>
        <v>대출없음</v>
      </c>
      <c r="G16" s="36" t="s">
        <v>953</v>
      </c>
      <c r="H16" s="68">
        <v>90</v>
      </c>
      <c r="I16" s="67">
        <v>5300</v>
      </c>
      <c r="J16" s="67">
        <f t="shared" si="1"/>
        <v>477000</v>
      </c>
      <c r="K16" s="68">
        <v>24</v>
      </c>
      <c r="L16" s="88">
        <f t="shared" si="2"/>
        <v>20500</v>
      </c>
      <c r="N16" s="36" t="s">
        <v>952</v>
      </c>
      <c r="O16" s="68">
        <v>1</v>
      </c>
      <c r="P16" s="82">
        <v>2000000</v>
      </c>
      <c r="Q16" s="88">
        <f t="shared" si="3"/>
        <v>172592.83392056279</v>
      </c>
      <c r="V16" s="159">
        <v>750000000</v>
      </c>
      <c r="W16" s="63" t="str">
        <f t="shared" si="5"/>
        <v>약 9,500,000원</v>
      </c>
    </row>
    <row r="17" spans="1:23">
      <c r="A17" s="36" t="s">
        <v>453</v>
      </c>
      <c r="B17" s="36" t="s">
        <v>951</v>
      </c>
      <c r="C17" s="86">
        <v>5000000</v>
      </c>
      <c r="D17" s="36">
        <v>2</v>
      </c>
      <c r="E17" s="86">
        <f t="shared" ca="1" si="0"/>
        <v>220029.33517874058</v>
      </c>
      <c r="G17" s="36" t="s">
        <v>950</v>
      </c>
      <c r="H17" s="68">
        <v>55</v>
      </c>
      <c r="I17" s="67">
        <v>3000</v>
      </c>
      <c r="J17" s="67">
        <f t="shared" si="1"/>
        <v>165000</v>
      </c>
      <c r="K17" s="68">
        <v>3</v>
      </c>
      <c r="L17" s="88">
        <f t="shared" si="2"/>
        <v>55270</v>
      </c>
      <c r="N17" s="36" t="s">
        <v>949</v>
      </c>
      <c r="O17" s="68">
        <v>2</v>
      </c>
      <c r="P17" s="82">
        <v>5000000</v>
      </c>
      <c r="Q17" s="88">
        <f t="shared" si="3"/>
        <v>221603.05126378447</v>
      </c>
      <c r="V17" s="159">
        <v>800000000</v>
      </c>
      <c r="W17" s="63" t="str">
        <f t="shared" si="5"/>
        <v>약 10,130,000원</v>
      </c>
    </row>
    <row r="18" spans="1:23">
      <c r="A18" s="36" t="s">
        <v>455</v>
      </c>
      <c r="B18" s="36" t="s">
        <v>863</v>
      </c>
      <c r="C18" s="86">
        <v>15000000</v>
      </c>
      <c r="D18" s="36">
        <v>1</v>
      </c>
      <c r="E18" s="86">
        <f t="shared" ca="1" si="0"/>
        <v>1294446.254404221</v>
      </c>
      <c r="G18" s="36" t="s">
        <v>948</v>
      </c>
      <c r="H18" s="68">
        <v>32</v>
      </c>
      <c r="I18" s="67">
        <v>5300</v>
      </c>
      <c r="J18" s="67">
        <f t="shared" si="1"/>
        <v>169600</v>
      </c>
      <c r="K18" s="68">
        <v>6</v>
      </c>
      <c r="L18" s="88">
        <f t="shared" si="2"/>
        <v>28510</v>
      </c>
      <c r="N18" s="36" t="s">
        <v>947</v>
      </c>
      <c r="O18" s="68">
        <v>1</v>
      </c>
      <c r="P18" s="82">
        <v>15000000</v>
      </c>
      <c r="Q18" s="88">
        <f t="shared" si="3"/>
        <v>1294446.254404221</v>
      </c>
    </row>
    <row r="19" spans="1:23">
      <c r="A19" s="36" t="s">
        <v>458</v>
      </c>
      <c r="B19" s="36" t="s">
        <v>946</v>
      </c>
      <c r="C19" s="86">
        <v>2000000</v>
      </c>
      <c r="D19" s="36">
        <v>4</v>
      </c>
      <c r="E19" s="86">
        <f t="shared" ca="1" si="0"/>
        <v>45337.323944525269</v>
      </c>
      <c r="G19" s="36" t="s">
        <v>945</v>
      </c>
      <c r="H19" s="68">
        <v>60</v>
      </c>
      <c r="I19" s="67">
        <v>1500</v>
      </c>
      <c r="J19" s="67">
        <f t="shared" si="1"/>
        <v>90000</v>
      </c>
      <c r="K19" s="68">
        <v>3</v>
      </c>
      <c r="L19" s="88">
        <f t="shared" si="2"/>
        <v>30150</v>
      </c>
      <c r="N19" s="36" t="s">
        <v>944</v>
      </c>
      <c r="O19" s="68">
        <v>4</v>
      </c>
      <c r="P19" s="82">
        <v>2000000</v>
      </c>
      <c r="Q19" s="88">
        <f t="shared" si="3"/>
        <v>46058.587141293036</v>
      </c>
    </row>
    <row r="20" spans="1:23">
      <c r="A20" s="36" t="s">
        <v>460</v>
      </c>
      <c r="B20" s="36" t="s">
        <v>943</v>
      </c>
      <c r="C20" s="36" t="s">
        <v>942</v>
      </c>
      <c r="D20" s="36" t="s">
        <v>942</v>
      </c>
      <c r="E20" s="86" t="str">
        <f t="shared" ca="1" si="0"/>
        <v>대출없음</v>
      </c>
      <c r="G20" s="36" t="s">
        <v>941</v>
      </c>
      <c r="H20" s="68">
        <v>50</v>
      </c>
      <c r="I20" s="67">
        <v>3000</v>
      </c>
      <c r="J20" s="67">
        <f t="shared" si="1"/>
        <v>150000</v>
      </c>
      <c r="K20" s="68">
        <v>6</v>
      </c>
      <c r="L20" s="88">
        <f t="shared" si="2"/>
        <v>25210</v>
      </c>
      <c r="N20" s="36" t="s">
        <v>903</v>
      </c>
      <c r="O20" s="68">
        <v>2</v>
      </c>
      <c r="P20" s="82">
        <v>5000000</v>
      </c>
      <c r="Q20" s="88">
        <f t="shared" si="3"/>
        <v>221603.05126378447</v>
      </c>
    </row>
    <row r="21" spans="1:23">
      <c r="A21" s="36" t="s">
        <v>852</v>
      </c>
      <c r="B21" s="36" t="s">
        <v>940</v>
      </c>
      <c r="C21" s="86">
        <v>10000000</v>
      </c>
      <c r="D21" s="36">
        <v>3</v>
      </c>
      <c r="E21" s="86">
        <f t="shared" ca="1" si="0"/>
        <v>297469.2447837558</v>
      </c>
      <c r="G21" s="36" t="s">
        <v>939</v>
      </c>
      <c r="H21" s="68">
        <v>110</v>
      </c>
      <c r="I21" s="67">
        <v>3000</v>
      </c>
      <c r="J21" s="67">
        <f t="shared" si="1"/>
        <v>330000</v>
      </c>
      <c r="K21" s="68">
        <v>12</v>
      </c>
      <c r="L21" s="88">
        <f t="shared" si="2"/>
        <v>27940</v>
      </c>
      <c r="N21" s="36" t="s">
        <v>938</v>
      </c>
      <c r="O21" s="68">
        <v>4</v>
      </c>
      <c r="P21" s="82">
        <v>10000000</v>
      </c>
      <c r="Q21" s="88">
        <f t="shared" si="3"/>
        <v>230292.93570646518</v>
      </c>
    </row>
    <row r="22" spans="1:23">
      <c r="A22" s="36" t="s">
        <v>848</v>
      </c>
      <c r="B22" s="36" t="s">
        <v>847</v>
      </c>
      <c r="C22" s="86">
        <v>10000000</v>
      </c>
      <c r="D22" s="36">
        <v>4</v>
      </c>
      <c r="E22" s="86">
        <f t="shared" ca="1" si="0"/>
        <v>227135.48273717627</v>
      </c>
      <c r="G22" s="36" t="s">
        <v>937</v>
      </c>
      <c r="H22" s="68">
        <v>45</v>
      </c>
      <c r="I22" s="67">
        <v>1500</v>
      </c>
      <c r="J22" s="67">
        <f t="shared" si="1"/>
        <v>67500</v>
      </c>
      <c r="K22" s="68">
        <v>2</v>
      </c>
      <c r="L22" s="88">
        <f t="shared" si="2"/>
        <v>33870</v>
      </c>
    </row>
    <row r="23" spans="1:23">
      <c r="A23" s="36" t="s">
        <v>845</v>
      </c>
      <c r="B23" s="36" t="s">
        <v>936</v>
      </c>
      <c r="C23" s="86">
        <v>10000000</v>
      </c>
      <c r="D23" s="36">
        <v>2</v>
      </c>
      <c r="E23" s="86">
        <f t="shared" ca="1" si="0"/>
        <v>440058.67035748117</v>
      </c>
      <c r="G23" s="36" t="s">
        <v>935</v>
      </c>
      <c r="H23" s="68">
        <v>50</v>
      </c>
      <c r="I23" s="67">
        <v>2500</v>
      </c>
      <c r="J23" s="67">
        <f t="shared" si="1"/>
        <v>125000</v>
      </c>
      <c r="K23" s="68">
        <v>3</v>
      </c>
      <c r="L23" s="88">
        <f t="shared" si="2"/>
        <v>41870</v>
      </c>
      <c r="N23" s="89" t="s">
        <v>934</v>
      </c>
    </row>
    <row r="24" spans="1:23">
      <c r="A24" s="36" t="s">
        <v>841</v>
      </c>
      <c r="B24" s="36" t="s">
        <v>933</v>
      </c>
      <c r="C24" s="86">
        <v>10000000</v>
      </c>
      <c r="D24" s="36">
        <v>1</v>
      </c>
      <c r="E24" s="86">
        <f t="shared" ca="1" si="0"/>
        <v>862964.16960281401</v>
      </c>
      <c r="G24" s="36" t="s">
        <v>932</v>
      </c>
      <c r="H24" s="68">
        <v>80</v>
      </c>
      <c r="I24" s="67">
        <v>1500</v>
      </c>
      <c r="J24" s="67">
        <f t="shared" si="1"/>
        <v>120000</v>
      </c>
      <c r="K24" s="68">
        <v>6</v>
      </c>
      <c r="L24" s="88">
        <f t="shared" si="2"/>
        <v>20170</v>
      </c>
      <c r="N24" s="36" t="s">
        <v>927</v>
      </c>
      <c r="O24" s="36">
        <v>1</v>
      </c>
      <c r="P24" s="36">
        <v>2</v>
      </c>
      <c r="Q24" s="36">
        <v>3</v>
      </c>
      <c r="R24" s="36">
        <v>4</v>
      </c>
      <c r="S24" s="36">
        <v>5</v>
      </c>
    </row>
    <row r="25" spans="1:23">
      <c r="A25" s="36" t="s">
        <v>838</v>
      </c>
      <c r="B25" s="36" t="s">
        <v>931</v>
      </c>
      <c r="C25" s="86">
        <v>10000000</v>
      </c>
      <c r="D25" s="36">
        <v>2</v>
      </c>
      <c r="E25" s="86">
        <f t="shared" ca="1" si="0"/>
        <v>440058.67035748117</v>
      </c>
      <c r="N25" s="36" t="s">
        <v>930</v>
      </c>
      <c r="O25" s="87">
        <v>6.5000000000000002E-2</v>
      </c>
      <c r="P25" s="87">
        <v>0.06</v>
      </c>
      <c r="Q25" s="87">
        <v>5.5E-2</v>
      </c>
      <c r="R25" s="87">
        <v>0.05</v>
      </c>
      <c r="S25" s="87">
        <v>4.4999999999999998E-2</v>
      </c>
    </row>
    <row r="26" spans="1:23">
      <c r="A26" s="36" t="s">
        <v>835</v>
      </c>
      <c r="B26" s="36" t="s">
        <v>834</v>
      </c>
      <c r="C26" s="86">
        <v>10000000</v>
      </c>
      <c r="D26" s="36">
        <v>3</v>
      </c>
      <c r="E26" s="86">
        <f t="shared" ca="1" si="0"/>
        <v>297469.2447837558</v>
      </c>
    </row>
    <row r="27" spans="1:23">
      <c r="N27" t="s">
        <v>929</v>
      </c>
    </row>
    <row r="28" spans="1:23">
      <c r="A28" s="38" t="s">
        <v>928</v>
      </c>
      <c r="N28" s="36" t="s">
        <v>820</v>
      </c>
      <c r="O28" s="39">
        <v>0.02</v>
      </c>
      <c r="P28" s="39">
        <v>0.03</v>
      </c>
      <c r="Q28" s="39">
        <v>0.04</v>
      </c>
      <c r="R28" s="39">
        <v>0.05</v>
      </c>
      <c r="S28" s="39">
        <v>0.06</v>
      </c>
      <c r="T28" s="39">
        <v>7.0000000000000007E-2</v>
      </c>
    </row>
    <row r="29" spans="1:23">
      <c r="C29" s="223" t="s">
        <v>927</v>
      </c>
      <c r="D29" s="223"/>
      <c r="E29" s="223"/>
      <c r="F29" s="223"/>
      <c r="G29" s="223"/>
      <c r="N29" s="36" t="s">
        <v>926</v>
      </c>
      <c r="O29" s="68">
        <v>2</v>
      </c>
      <c r="P29" s="68">
        <v>2</v>
      </c>
      <c r="Q29" s="68">
        <v>2</v>
      </c>
      <c r="R29" s="68">
        <v>2</v>
      </c>
      <c r="S29" s="68">
        <v>2</v>
      </c>
      <c r="T29" s="68">
        <v>2</v>
      </c>
    </row>
    <row r="30" spans="1:23">
      <c r="A30" s="36" t="s">
        <v>774</v>
      </c>
      <c r="B30" s="85" t="s">
        <v>925</v>
      </c>
      <c r="C30" s="36">
        <v>1</v>
      </c>
      <c r="D30" s="36">
        <v>2</v>
      </c>
      <c r="E30" s="36">
        <v>3</v>
      </c>
      <c r="F30" s="36">
        <v>4</v>
      </c>
      <c r="G30" s="36">
        <v>5</v>
      </c>
      <c r="N30" s="36" t="s">
        <v>924</v>
      </c>
      <c r="O30" s="82">
        <v>-500000</v>
      </c>
      <c r="P30" s="82">
        <v>-600000</v>
      </c>
      <c r="Q30" s="82">
        <v>-800000</v>
      </c>
      <c r="R30" s="82">
        <v>-900000</v>
      </c>
      <c r="S30" s="82">
        <v>-1000000</v>
      </c>
      <c r="T30" s="82">
        <v>-1100000</v>
      </c>
    </row>
    <row r="31" spans="1:23">
      <c r="A31" s="84" t="s">
        <v>476</v>
      </c>
      <c r="B31" s="84" t="s">
        <v>923</v>
      </c>
      <c r="C31" s="81">
        <v>6.5000000000000002E-2</v>
      </c>
      <c r="D31" s="81">
        <v>0.06</v>
      </c>
      <c r="E31" s="81">
        <v>5.5E-2</v>
      </c>
      <c r="F31" s="81">
        <v>0.05</v>
      </c>
      <c r="G31" s="81">
        <v>4.4999999999999998E-2</v>
      </c>
      <c r="N31" s="83" t="s">
        <v>922</v>
      </c>
      <c r="O31" s="82">
        <f t="shared" ref="O31:T31" si="6">IF(PV(O28/12,O29*12,O30)&gt;=20000000,"한도초과",ROUND(PV(O28/12,O29*12,O30),-3))</f>
        <v>11754000</v>
      </c>
      <c r="P31" s="82">
        <f t="shared" si="6"/>
        <v>13960000</v>
      </c>
      <c r="Q31" s="82">
        <f t="shared" si="6"/>
        <v>18423000</v>
      </c>
      <c r="R31" s="82" t="str">
        <f t="shared" si="6"/>
        <v>한도초과</v>
      </c>
      <c r="S31" s="82" t="str">
        <f t="shared" si="6"/>
        <v>한도초과</v>
      </c>
      <c r="T31" s="82" t="str">
        <f t="shared" si="6"/>
        <v>한도초과</v>
      </c>
    </row>
    <row r="32" spans="1:23">
      <c r="A32" s="36" t="s">
        <v>479</v>
      </c>
      <c r="B32" s="36" t="s">
        <v>921</v>
      </c>
      <c r="C32" s="81">
        <v>5.5E-2</v>
      </c>
      <c r="D32" s="81">
        <v>5.2999999999999999E-2</v>
      </c>
      <c r="E32" s="81">
        <v>4.4999999999999998E-2</v>
      </c>
      <c r="F32" s="81">
        <v>4.2000000000000003E-2</v>
      </c>
      <c r="G32" s="81">
        <v>3.7999999999999999E-2</v>
      </c>
    </row>
    <row r="33" spans="1:7">
      <c r="A33" s="36" t="s">
        <v>485</v>
      </c>
      <c r="B33" s="36" t="s">
        <v>920</v>
      </c>
      <c r="C33" s="81">
        <v>0.05</v>
      </c>
      <c r="D33" s="81">
        <v>4.5999999999999999E-2</v>
      </c>
      <c r="E33" s="81">
        <v>4.2000000000000003E-2</v>
      </c>
      <c r="F33" s="81">
        <v>3.7999999999999999E-2</v>
      </c>
      <c r="G33" s="81">
        <v>3.4000000000000002E-2</v>
      </c>
    </row>
    <row r="34" spans="1:7">
      <c r="A34" s="36" t="s">
        <v>495</v>
      </c>
      <c r="B34" s="36" t="s">
        <v>919</v>
      </c>
      <c r="C34" s="81">
        <v>5.8000000000000003E-2</v>
      </c>
      <c r="D34" s="81">
        <v>5.2999999999999999E-2</v>
      </c>
      <c r="E34" s="81">
        <v>4.8000000000000001E-2</v>
      </c>
      <c r="F34" s="81">
        <v>4.2999999999999997E-2</v>
      </c>
      <c r="G34" s="81">
        <v>3.7999999999999999E-2</v>
      </c>
    </row>
    <row r="35" spans="1:7">
      <c r="A35" s="36" t="s">
        <v>501</v>
      </c>
      <c r="B35" s="36" t="s">
        <v>918</v>
      </c>
      <c r="C35" s="81">
        <v>5.8000000000000003E-2</v>
      </c>
      <c r="D35" s="81">
        <v>5.2999999999999999E-2</v>
      </c>
      <c r="E35" s="81">
        <v>4.8000000000000001E-2</v>
      </c>
      <c r="F35" s="81">
        <v>4.2999999999999997E-2</v>
      </c>
      <c r="G35" s="81">
        <v>3.7999999999999999E-2</v>
      </c>
    </row>
  </sheetData>
  <mergeCells count="1">
    <mergeCell ref="C29:G29"/>
  </mergeCells>
  <phoneticPr fontId="2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5"/>
  <dimension ref="A1:O13"/>
  <sheetViews>
    <sheetView workbookViewId="0"/>
  </sheetViews>
  <sheetFormatPr defaultColWidth="9" defaultRowHeight="16.5"/>
  <cols>
    <col min="1" max="1" width="1.625" customWidth="1"/>
    <col min="7" max="7" width="12.375" bestFit="1" customWidth="1"/>
    <col min="8" max="8" width="1.625" customWidth="1"/>
    <col min="12" max="12" width="1.625" customWidth="1"/>
    <col min="13" max="13" width="11.375" customWidth="1"/>
    <col min="14" max="14" width="17.875" bestFit="1" customWidth="1"/>
    <col min="15" max="15" width="9.625" customWidth="1"/>
  </cols>
  <sheetData>
    <row r="1" spans="1:15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</row>
    <row r="2" spans="1:15">
      <c r="A2" s="51"/>
      <c r="B2" s="51"/>
      <c r="C2" s="51"/>
      <c r="D2" s="51"/>
      <c r="E2" s="51"/>
      <c r="F2" s="51"/>
      <c r="G2" s="51"/>
      <c r="H2" s="51"/>
      <c r="I2" s="224" t="s">
        <v>1016</v>
      </c>
      <c r="J2" s="224"/>
      <c r="K2" s="224"/>
      <c r="M2" s="142" t="s">
        <v>1356</v>
      </c>
      <c r="N2" s="63" t="s">
        <v>1350</v>
      </c>
      <c r="O2" s="160" t="s">
        <v>1355</v>
      </c>
    </row>
    <row r="3" spans="1:15">
      <c r="A3" s="51"/>
      <c r="B3" s="143" t="s">
        <v>1015</v>
      </c>
      <c r="C3" s="143" t="s">
        <v>1014</v>
      </c>
      <c r="D3" s="160" t="s">
        <v>1013</v>
      </c>
      <c r="E3" s="93" t="s">
        <v>1012</v>
      </c>
      <c r="F3" s="160" t="s">
        <v>1</v>
      </c>
      <c r="G3" s="160" t="s">
        <v>1011</v>
      </c>
      <c r="H3" s="51"/>
      <c r="I3" s="141" t="s">
        <v>1010</v>
      </c>
      <c r="J3" s="141" t="s">
        <v>1009</v>
      </c>
      <c r="K3" s="141" t="s">
        <v>1008</v>
      </c>
      <c r="M3" s="63">
        <v>2505001</v>
      </c>
      <c r="N3" s="63" t="s">
        <v>1351</v>
      </c>
      <c r="O3" s="63"/>
    </row>
    <row r="4" spans="1:15">
      <c r="A4" s="51"/>
      <c r="B4" s="141">
        <v>1</v>
      </c>
      <c r="C4" s="141" t="s">
        <v>1007</v>
      </c>
      <c r="D4" s="141"/>
      <c r="E4" s="91">
        <v>10</v>
      </c>
      <c r="F4" s="91"/>
      <c r="G4" s="91"/>
      <c r="H4" s="51"/>
      <c r="I4" s="141" t="s">
        <v>1007</v>
      </c>
      <c r="J4" s="141" t="s">
        <v>1001</v>
      </c>
      <c r="K4" s="31">
        <v>235000</v>
      </c>
      <c r="M4" s="63">
        <v>2505002</v>
      </c>
      <c r="N4" s="63" t="s">
        <v>1357</v>
      </c>
      <c r="O4" s="63"/>
    </row>
    <row r="5" spans="1:15">
      <c r="A5" s="51"/>
      <c r="B5" s="141">
        <v>2</v>
      </c>
      <c r="C5" s="141" t="s">
        <v>1006</v>
      </c>
      <c r="D5" s="141"/>
      <c r="E5" s="91">
        <v>15</v>
      </c>
      <c r="F5" s="91"/>
      <c r="G5" s="91"/>
      <c r="H5" s="51"/>
      <c r="I5" s="141" t="s">
        <v>1005</v>
      </c>
      <c r="J5" s="141" t="s">
        <v>994</v>
      </c>
      <c r="K5" s="31">
        <v>127000</v>
      </c>
      <c r="M5" s="63">
        <v>2505003</v>
      </c>
      <c r="N5" s="63" t="s">
        <v>1352</v>
      </c>
      <c r="O5" s="63"/>
    </row>
    <row r="6" spans="1:15">
      <c r="A6" s="51"/>
      <c r="B6" s="141">
        <v>3</v>
      </c>
      <c r="C6" s="141"/>
      <c r="D6" s="141"/>
      <c r="E6" s="91"/>
      <c r="F6" s="91"/>
      <c r="G6" s="91"/>
      <c r="H6" s="51"/>
      <c r="I6" s="141" t="s">
        <v>1004</v>
      </c>
      <c r="J6" s="141" t="s">
        <v>994</v>
      </c>
      <c r="K6" s="31">
        <v>203000</v>
      </c>
      <c r="M6" s="63">
        <v>2505004</v>
      </c>
      <c r="N6" s="63" t="s">
        <v>1351</v>
      </c>
      <c r="O6" s="63"/>
    </row>
    <row r="7" spans="1:15">
      <c r="A7" s="51"/>
      <c r="B7" s="141">
        <v>4</v>
      </c>
      <c r="C7" s="141"/>
      <c r="D7" s="141"/>
      <c r="E7" s="91"/>
      <c r="F7" s="91"/>
      <c r="G7" s="91"/>
      <c r="H7" s="51"/>
      <c r="I7" s="141" t="s">
        <v>1003</v>
      </c>
      <c r="J7" s="141" t="s">
        <v>994</v>
      </c>
      <c r="K7" s="31">
        <v>67000</v>
      </c>
      <c r="M7" s="63">
        <v>2505005</v>
      </c>
      <c r="N7" s="63" t="s">
        <v>1353</v>
      </c>
      <c r="O7" s="63"/>
    </row>
    <row r="8" spans="1:15">
      <c r="A8" s="51"/>
      <c r="B8" s="141">
        <v>5</v>
      </c>
      <c r="C8" s="141"/>
      <c r="D8" s="141"/>
      <c r="E8" s="91"/>
      <c r="F8" s="91"/>
      <c r="G8" s="91"/>
      <c r="H8" s="51"/>
      <c r="I8" s="141" t="s">
        <v>1002</v>
      </c>
      <c r="J8" s="141" t="s">
        <v>1001</v>
      </c>
      <c r="K8" s="31">
        <v>103000</v>
      </c>
      <c r="M8" s="63">
        <v>2505006</v>
      </c>
      <c r="N8" s="63" t="s">
        <v>1352</v>
      </c>
      <c r="O8" s="63"/>
    </row>
    <row r="9" spans="1:15">
      <c r="A9" s="51"/>
      <c r="B9" s="141">
        <v>6</v>
      </c>
      <c r="C9" s="141"/>
      <c r="D9" s="141"/>
      <c r="E9" s="91"/>
      <c r="F9" s="91"/>
      <c r="G9" s="91"/>
      <c r="H9" s="51"/>
      <c r="I9" s="141" t="s">
        <v>1000</v>
      </c>
      <c r="J9" s="141" t="s">
        <v>994</v>
      </c>
      <c r="K9" s="31">
        <v>54000</v>
      </c>
      <c r="M9" s="63">
        <v>2505007</v>
      </c>
      <c r="N9" s="63" t="s">
        <v>1353</v>
      </c>
      <c r="O9" s="63"/>
    </row>
    <row r="10" spans="1:15">
      <c r="A10" s="51"/>
      <c r="B10" s="141">
        <v>7</v>
      </c>
      <c r="C10" s="141"/>
      <c r="D10" s="141"/>
      <c r="E10" s="141"/>
      <c r="F10" s="91"/>
      <c r="G10" s="91"/>
      <c r="H10" s="51"/>
      <c r="I10" s="141" t="s">
        <v>999</v>
      </c>
      <c r="J10" s="141" t="s">
        <v>994</v>
      </c>
      <c r="K10" s="31">
        <v>135000</v>
      </c>
      <c r="M10" s="63">
        <v>2505008</v>
      </c>
      <c r="N10" s="63" t="s">
        <v>1357</v>
      </c>
      <c r="O10" s="63"/>
    </row>
    <row r="11" spans="1:15">
      <c r="A11" s="51"/>
      <c r="B11" s="225" t="s">
        <v>0</v>
      </c>
      <c r="C11" s="226"/>
      <c r="D11" s="227"/>
      <c r="E11" s="141"/>
      <c r="F11" s="141"/>
      <c r="G11" s="90">
        <f>SUM(G4:G10)</f>
        <v>0</v>
      </c>
      <c r="H11" s="51"/>
      <c r="I11" s="141" t="s">
        <v>997</v>
      </c>
      <c r="J11" s="141" t="s">
        <v>994</v>
      </c>
      <c r="K11" s="31">
        <v>113000</v>
      </c>
      <c r="M11" s="63">
        <v>2505009</v>
      </c>
      <c r="N11" s="63" t="s">
        <v>1354</v>
      </c>
      <c r="O11" s="63"/>
    </row>
    <row r="12" spans="1:15">
      <c r="A12" s="51"/>
      <c r="B12" s="51"/>
      <c r="C12" s="51"/>
      <c r="D12" s="51"/>
      <c r="E12" s="51"/>
      <c r="F12" s="51"/>
      <c r="G12" s="51"/>
      <c r="H12" s="51"/>
      <c r="I12" s="141" t="s">
        <v>996</v>
      </c>
      <c r="J12" s="141" t="s">
        <v>994</v>
      </c>
      <c r="K12" s="31">
        <v>114000</v>
      </c>
      <c r="M12" s="63">
        <v>2505010</v>
      </c>
      <c r="N12" s="63" t="s">
        <v>1352</v>
      </c>
      <c r="O12" s="63"/>
    </row>
    <row r="13" spans="1:15">
      <c r="A13" s="51"/>
      <c r="B13" s="51"/>
      <c r="C13" s="51"/>
      <c r="D13" s="51"/>
      <c r="E13" s="51"/>
      <c r="F13" s="51"/>
      <c r="G13" s="51"/>
      <c r="H13" s="51"/>
      <c r="I13" s="141" t="s">
        <v>995</v>
      </c>
      <c r="J13" s="141" t="s">
        <v>994</v>
      </c>
      <c r="K13" s="31">
        <v>192000</v>
      </c>
      <c r="M13" s="63">
        <v>2505011</v>
      </c>
      <c r="N13" s="63" t="s">
        <v>1352</v>
      </c>
      <c r="O13" s="63"/>
    </row>
  </sheetData>
  <mergeCells count="2">
    <mergeCell ref="I2:K2"/>
    <mergeCell ref="B11:D11"/>
  </mergeCells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6"/>
  <dimension ref="A1:O13"/>
  <sheetViews>
    <sheetView workbookViewId="0"/>
  </sheetViews>
  <sheetFormatPr defaultColWidth="9" defaultRowHeight="16.5"/>
  <cols>
    <col min="1" max="1" width="1.625" customWidth="1"/>
    <col min="7" max="7" width="12.375" bestFit="1" customWidth="1"/>
    <col min="8" max="8" width="1.625" customWidth="1"/>
    <col min="12" max="12" width="1.625" customWidth="1"/>
    <col min="13" max="13" width="11.375" customWidth="1"/>
    <col min="14" max="14" width="17.875" bestFit="1" customWidth="1"/>
    <col min="15" max="15" width="9.625" customWidth="1"/>
  </cols>
  <sheetData>
    <row r="1" spans="1:15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</row>
    <row r="2" spans="1:15">
      <c r="A2" s="51"/>
      <c r="B2" s="51"/>
      <c r="C2" s="51"/>
      <c r="D2" s="51"/>
      <c r="E2" s="51"/>
      <c r="F2" s="51"/>
      <c r="G2" s="51"/>
      <c r="H2" s="51"/>
      <c r="I2" s="224" t="s">
        <v>1016</v>
      </c>
      <c r="J2" s="224"/>
      <c r="K2" s="224"/>
      <c r="M2" s="142" t="s">
        <v>1356</v>
      </c>
      <c r="N2" s="63" t="s">
        <v>1350</v>
      </c>
      <c r="O2" s="160" t="s">
        <v>1355</v>
      </c>
    </row>
    <row r="3" spans="1:15">
      <c r="A3" s="51"/>
      <c r="B3" s="92" t="s">
        <v>1015</v>
      </c>
      <c r="C3" s="92" t="s">
        <v>1014</v>
      </c>
      <c r="D3" s="160" t="s">
        <v>1013</v>
      </c>
      <c r="E3" s="93" t="s">
        <v>1012</v>
      </c>
      <c r="F3" s="160" t="s">
        <v>1</v>
      </c>
      <c r="G3" s="160" t="s">
        <v>1011</v>
      </c>
      <c r="H3" s="51"/>
      <c r="I3" s="29" t="s">
        <v>1010</v>
      </c>
      <c r="J3" s="29" t="s">
        <v>1009</v>
      </c>
      <c r="K3" s="29" t="s">
        <v>1008</v>
      </c>
      <c r="M3" s="63">
        <v>2505001</v>
      </c>
      <c r="N3" s="63" t="s">
        <v>1351</v>
      </c>
      <c r="O3" s="63" t="str">
        <f t="shared" ref="O3:O13" si="0">IF(ISNUMBER(SEARCH("주택", N3)), "주택", "")</f>
        <v>주택</v>
      </c>
    </row>
    <row r="4" spans="1:15">
      <c r="A4" s="51"/>
      <c r="B4" s="29">
        <v>1</v>
      </c>
      <c r="C4" s="29" t="s">
        <v>1007</v>
      </c>
      <c r="D4" s="29" t="str">
        <f t="shared" ref="D4:D10" si="1">IF(ISBLANK(C4),"",VLOOKUP(C4,$I$4:$K$13,2,0))</f>
        <v>Box</v>
      </c>
      <c r="E4" s="91">
        <v>10</v>
      </c>
      <c r="F4" s="91">
        <f t="shared" ref="F4:F10" si="2">IF(ISBLANK(C4),"",VLOOKUP(C4,$I$4:$K$13,3,0))</f>
        <v>235000</v>
      </c>
      <c r="G4" s="91">
        <f t="shared" ref="G4:G10" si="3">IF(ISERROR(E4*F4),"",E4*F4)</f>
        <v>2350000</v>
      </c>
      <c r="H4" s="51"/>
      <c r="I4" s="29" t="s">
        <v>1007</v>
      </c>
      <c r="J4" s="29" t="s">
        <v>1001</v>
      </c>
      <c r="K4" s="31">
        <v>235000</v>
      </c>
      <c r="M4" s="63">
        <v>2505002</v>
      </c>
      <c r="N4" s="63" t="s">
        <v>1357</v>
      </c>
      <c r="O4" s="63" t="str">
        <f t="shared" si="0"/>
        <v/>
      </c>
    </row>
    <row r="5" spans="1:15">
      <c r="A5" s="51"/>
      <c r="B5" s="29">
        <v>2</v>
      </c>
      <c r="C5" s="29" t="s">
        <v>1006</v>
      </c>
      <c r="D5" s="29" t="str">
        <f t="shared" si="1"/>
        <v>개</v>
      </c>
      <c r="E5" s="91">
        <v>15</v>
      </c>
      <c r="F5" s="91">
        <f t="shared" si="2"/>
        <v>203000</v>
      </c>
      <c r="G5" s="91">
        <f t="shared" si="3"/>
        <v>3045000</v>
      </c>
      <c r="H5" s="51"/>
      <c r="I5" s="29" t="s">
        <v>1005</v>
      </c>
      <c r="J5" s="29" t="s">
        <v>994</v>
      </c>
      <c r="K5" s="31">
        <v>127000</v>
      </c>
      <c r="M5" s="63">
        <v>2505003</v>
      </c>
      <c r="N5" s="63" t="s">
        <v>1352</v>
      </c>
      <c r="O5" s="63" t="str">
        <f t="shared" si="0"/>
        <v/>
      </c>
    </row>
    <row r="6" spans="1:15">
      <c r="A6" s="51"/>
      <c r="B6" s="29">
        <v>3</v>
      </c>
      <c r="C6" s="29"/>
      <c r="D6" s="29" t="str">
        <f t="shared" si="1"/>
        <v/>
      </c>
      <c r="E6" s="91"/>
      <c r="F6" s="91" t="str">
        <f t="shared" si="2"/>
        <v/>
      </c>
      <c r="G6" s="91" t="str">
        <f t="shared" si="3"/>
        <v/>
      </c>
      <c r="H6" s="51"/>
      <c r="I6" s="29" t="s">
        <v>1004</v>
      </c>
      <c r="J6" s="29" t="s">
        <v>994</v>
      </c>
      <c r="K6" s="31">
        <v>203000</v>
      </c>
      <c r="M6" s="63">
        <v>2505004</v>
      </c>
      <c r="N6" s="63" t="s">
        <v>1351</v>
      </c>
      <c r="O6" s="63" t="str">
        <f t="shared" si="0"/>
        <v>주택</v>
      </c>
    </row>
    <row r="7" spans="1:15">
      <c r="A7" s="51"/>
      <c r="B7" s="29">
        <v>4</v>
      </c>
      <c r="C7" s="29"/>
      <c r="D7" s="29" t="str">
        <f t="shared" si="1"/>
        <v/>
      </c>
      <c r="E7" s="91"/>
      <c r="F7" s="91" t="str">
        <f t="shared" si="2"/>
        <v/>
      </c>
      <c r="G7" s="91" t="str">
        <f t="shared" si="3"/>
        <v/>
      </c>
      <c r="H7" s="51"/>
      <c r="I7" s="29" t="s">
        <v>1003</v>
      </c>
      <c r="J7" s="29" t="s">
        <v>994</v>
      </c>
      <c r="K7" s="31">
        <v>67000</v>
      </c>
      <c r="M7" s="63">
        <v>2505005</v>
      </c>
      <c r="N7" s="63" t="s">
        <v>1353</v>
      </c>
      <c r="O7" s="63" t="str">
        <f t="shared" si="0"/>
        <v/>
      </c>
    </row>
    <row r="8" spans="1:15">
      <c r="A8" s="51"/>
      <c r="B8" s="29">
        <v>5</v>
      </c>
      <c r="C8" s="29"/>
      <c r="D8" s="29" t="str">
        <f t="shared" si="1"/>
        <v/>
      </c>
      <c r="E8" s="91"/>
      <c r="F8" s="91" t="str">
        <f t="shared" si="2"/>
        <v/>
      </c>
      <c r="G8" s="91" t="str">
        <f t="shared" si="3"/>
        <v/>
      </c>
      <c r="H8" s="51"/>
      <c r="I8" s="29" t="s">
        <v>1002</v>
      </c>
      <c r="J8" s="29" t="s">
        <v>1001</v>
      </c>
      <c r="K8" s="31">
        <v>103000</v>
      </c>
      <c r="M8" s="63">
        <v>2505006</v>
      </c>
      <c r="N8" s="63" t="s">
        <v>1352</v>
      </c>
      <c r="O8" s="63" t="str">
        <f t="shared" si="0"/>
        <v/>
      </c>
    </row>
    <row r="9" spans="1:15">
      <c r="A9" s="51"/>
      <c r="B9" s="29">
        <v>6</v>
      </c>
      <c r="C9" s="29"/>
      <c r="D9" s="29" t="str">
        <f t="shared" si="1"/>
        <v/>
      </c>
      <c r="E9" s="91"/>
      <c r="F9" s="91" t="str">
        <f t="shared" si="2"/>
        <v/>
      </c>
      <c r="G9" s="91" t="str">
        <f t="shared" si="3"/>
        <v/>
      </c>
      <c r="H9" s="51"/>
      <c r="I9" s="29" t="s">
        <v>1000</v>
      </c>
      <c r="J9" s="29" t="s">
        <v>994</v>
      </c>
      <c r="K9" s="31">
        <v>54000</v>
      </c>
      <c r="M9" s="63">
        <v>2505007</v>
      </c>
      <c r="N9" s="63" t="s">
        <v>1353</v>
      </c>
      <c r="O9" s="63" t="str">
        <f t="shared" si="0"/>
        <v/>
      </c>
    </row>
    <row r="10" spans="1:15">
      <c r="A10" s="51"/>
      <c r="B10" s="29">
        <v>7</v>
      </c>
      <c r="C10" s="29"/>
      <c r="D10" s="29" t="str">
        <f t="shared" si="1"/>
        <v/>
      </c>
      <c r="E10" s="29"/>
      <c r="F10" s="91" t="str">
        <f t="shared" si="2"/>
        <v/>
      </c>
      <c r="G10" s="91" t="str">
        <f t="shared" si="3"/>
        <v/>
      </c>
      <c r="H10" s="51"/>
      <c r="I10" s="29" t="s">
        <v>999</v>
      </c>
      <c r="J10" s="29" t="s">
        <v>994</v>
      </c>
      <c r="K10" s="31">
        <v>135000</v>
      </c>
      <c r="M10" s="63">
        <v>2505008</v>
      </c>
      <c r="N10" s="63" t="s">
        <v>1357</v>
      </c>
      <c r="O10" s="63" t="str">
        <f t="shared" si="0"/>
        <v/>
      </c>
    </row>
    <row r="11" spans="1:15">
      <c r="A11" s="51"/>
      <c r="B11" s="225" t="s">
        <v>998</v>
      </c>
      <c r="C11" s="226"/>
      <c r="D11" s="227"/>
      <c r="E11" s="29"/>
      <c r="F11" s="29"/>
      <c r="G11" s="90">
        <f>SUM(G4:G10)</f>
        <v>5395000</v>
      </c>
      <c r="H11" s="51"/>
      <c r="I11" s="29" t="s">
        <v>997</v>
      </c>
      <c r="J11" s="29" t="s">
        <v>994</v>
      </c>
      <c r="K11" s="31">
        <v>113000</v>
      </c>
      <c r="M11" s="63">
        <v>2505009</v>
      </c>
      <c r="N11" s="63" t="s">
        <v>1354</v>
      </c>
      <c r="O11" s="63" t="str">
        <f t="shared" si="0"/>
        <v>주택</v>
      </c>
    </row>
    <row r="12" spans="1:15">
      <c r="A12" s="51"/>
      <c r="B12" s="51"/>
      <c r="C12" s="51"/>
      <c r="D12" s="51"/>
      <c r="E12" s="51"/>
      <c r="F12" s="51"/>
      <c r="G12" s="51"/>
      <c r="H12" s="51"/>
      <c r="I12" s="29" t="s">
        <v>996</v>
      </c>
      <c r="J12" s="29" t="s">
        <v>994</v>
      </c>
      <c r="K12" s="31">
        <v>114000</v>
      </c>
      <c r="M12" s="63">
        <v>2505010</v>
      </c>
      <c r="N12" s="63" t="s">
        <v>1352</v>
      </c>
      <c r="O12" s="63" t="str">
        <f t="shared" si="0"/>
        <v/>
      </c>
    </row>
    <row r="13" spans="1:15">
      <c r="A13" s="51"/>
      <c r="B13" s="51"/>
      <c r="C13" s="51"/>
      <c r="D13" s="51"/>
      <c r="E13" s="51"/>
      <c r="F13" s="51"/>
      <c r="G13" s="51"/>
      <c r="H13" s="51"/>
      <c r="I13" s="29" t="s">
        <v>995</v>
      </c>
      <c r="J13" s="29" t="s">
        <v>994</v>
      </c>
      <c r="K13" s="31">
        <v>192000</v>
      </c>
      <c r="M13" s="63">
        <v>2505011</v>
      </c>
      <c r="N13" s="63" t="s">
        <v>1352</v>
      </c>
      <c r="O13" s="63" t="str">
        <f t="shared" si="0"/>
        <v/>
      </c>
    </row>
  </sheetData>
  <mergeCells count="2">
    <mergeCell ref="I2:K2"/>
    <mergeCell ref="B11:D11"/>
  </mergeCells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1"/>
  <dimension ref="A1:Z38"/>
  <sheetViews>
    <sheetView zoomScaleNormal="100" workbookViewId="0"/>
  </sheetViews>
  <sheetFormatPr defaultRowHeight="16.5"/>
  <cols>
    <col min="2" max="2" width="15.125" bestFit="1" customWidth="1"/>
    <col min="5" max="5" width="9.75" bestFit="1" customWidth="1"/>
    <col min="6" max="6" width="1.625" customWidth="1"/>
    <col min="8" max="10" width="10.875" bestFit="1" customWidth="1"/>
    <col min="12" max="12" width="1.625" customWidth="1"/>
    <col min="15" max="15" width="10.75" bestFit="1" customWidth="1"/>
    <col min="16" max="16" width="1.625" customWidth="1"/>
    <col min="18" max="22" width="10.25" bestFit="1" customWidth="1"/>
  </cols>
  <sheetData>
    <row r="1" spans="1:26">
      <c r="A1" t="s">
        <v>1087</v>
      </c>
      <c r="G1" t="s">
        <v>1086</v>
      </c>
      <c r="M1" s="106" t="s">
        <v>1085</v>
      </c>
      <c r="N1" s="19"/>
      <c r="O1" s="112"/>
      <c r="P1" s="8"/>
      <c r="Q1" s="19"/>
      <c r="R1" s="8"/>
      <c r="S1" s="8"/>
      <c r="T1" s="8"/>
      <c r="U1" s="8"/>
      <c r="V1" s="8"/>
      <c r="W1" s="8"/>
      <c r="X1" s="8"/>
      <c r="Y1" s="8"/>
      <c r="Z1" s="8"/>
    </row>
    <row r="2" spans="1:26">
      <c r="A2" s="36" t="s">
        <v>913</v>
      </c>
      <c r="B2" s="36" t="s">
        <v>1084</v>
      </c>
      <c r="C2" s="36" t="s">
        <v>912</v>
      </c>
      <c r="D2" s="36" t="s">
        <v>911</v>
      </c>
      <c r="E2" s="36" t="s">
        <v>910</v>
      </c>
      <c r="G2" s="29" t="s">
        <v>1083</v>
      </c>
      <c r="H2" s="29" t="s">
        <v>1082</v>
      </c>
      <c r="I2" s="29" t="s">
        <v>1017</v>
      </c>
      <c r="J2" s="29" t="s">
        <v>1081</v>
      </c>
      <c r="K2" s="29" t="s">
        <v>1080</v>
      </c>
      <c r="L2" s="35"/>
      <c r="M2" s="32" t="s">
        <v>1079</v>
      </c>
      <c r="N2" s="32" t="s">
        <v>829</v>
      </c>
      <c r="O2" s="33" t="s">
        <v>1078</v>
      </c>
      <c r="P2" s="8"/>
      <c r="Q2" s="106" t="s">
        <v>1077</v>
      </c>
      <c r="R2" s="8"/>
      <c r="S2" s="8"/>
      <c r="T2" s="8"/>
      <c r="U2" s="8"/>
      <c r="V2" s="8"/>
      <c r="W2" s="8"/>
      <c r="X2" s="8"/>
      <c r="Y2" s="8"/>
      <c r="Z2" s="8"/>
    </row>
    <row r="3" spans="1:26">
      <c r="A3" s="36" t="s">
        <v>905</v>
      </c>
      <c r="B3" s="36" t="s">
        <v>1050</v>
      </c>
      <c r="C3" s="68">
        <v>55</v>
      </c>
      <c r="D3" s="67">
        <v>1500</v>
      </c>
      <c r="E3" s="67">
        <f t="shared" ref="E3:E20" si="0">C3*D3</f>
        <v>82500</v>
      </c>
      <c r="G3" s="36" t="s">
        <v>1057</v>
      </c>
      <c r="H3" s="67">
        <v>1000000</v>
      </c>
      <c r="I3" s="36" t="s">
        <v>1045</v>
      </c>
      <c r="J3" s="39">
        <v>0.03</v>
      </c>
      <c r="K3" s="68">
        <v>3</v>
      </c>
      <c r="M3" s="111">
        <v>24</v>
      </c>
      <c r="N3" s="107" t="s">
        <v>1041</v>
      </c>
      <c r="O3" s="17">
        <v>5</v>
      </c>
      <c r="P3" s="8"/>
      <c r="Q3" s="228" t="s">
        <v>1076</v>
      </c>
      <c r="R3" s="229"/>
      <c r="S3" s="110" t="s">
        <v>1075</v>
      </c>
      <c r="T3" s="8"/>
      <c r="U3" s="8"/>
      <c r="V3" s="8"/>
      <c r="W3" s="8"/>
      <c r="X3" s="8"/>
      <c r="Y3" s="8"/>
      <c r="Z3" s="8"/>
    </row>
    <row r="4" spans="1:26">
      <c r="A4" s="36" t="s">
        <v>902</v>
      </c>
      <c r="B4" s="36" t="s">
        <v>1023</v>
      </c>
      <c r="C4" s="68">
        <v>20</v>
      </c>
      <c r="D4" s="67">
        <v>3000</v>
      </c>
      <c r="E4" s="67">
        <f t="shared" si="0"/>
        <v>60000</v>
      </c>
      <c r="G4" s="36" t="s">
        <v>1074</v>
      </c>
      <c r="H4" s="67">
        <v>800000</v>
      </c>
      <c r="I4" s="36" t="s">
        <v>1073</v>
      </c>
      <c r="J4" s="39">
        <v>0.02</v>
      </c>
      <c r="K4" s="68">
        <v>6</v>
      </c>
      <c r="M4" s="95">
        <v>41</v>
      </c>
      <c r="N4" s="94" t="s">
        <v>1072</v>
      </c>
      <c r="O4" s="18">
        <v>3</v>
      </c>
      <c r="P4" s="8"/>
      <c r="Q4" s="109">
        <v>1</v>
      </c>
      <c r="R4" s="108">
        <v>10</v>
      </c>
      <c r="S4" s="107"/>
      <c r="T4" s="8"/>
      <c r="U4" s="8"/>
      <c r="V4" s="8"/>
      <c r="W4" s="8"/>
      <c r="X4" s="8"/>
      <c r="Y4" s="8"/>
      <c r="Z4" s="8"/>
    </row>
    <row r="5" spans="1:26">
      <c r="A5" s="36" t="s">
        <v>900</v>
      </c>
      <c r="B5" s="36" t="s">
        <v>1071</v>
      </c>
      <c r="C5" s="68">
        <v>20</v>
      </c>
      <c r="D5" s="67">
        <v>2000</v>
      </c>
      <c r="E5" s="67">
        <f t="shared" si="0"/>
        <v>40000</v>
      </c>
      <c r="G5" s="36" t="s">
        <v>1057</v>
      </c>
      <c r="H5" s="67">
        <v>750000</v>
      </c>
      <c r="I5" s="36" t="s">
        <v>1046</v>
      </c>
      <c r="J5" s="39">
        <v>0.01</v>
      </c>
      <c r="K5" s="68">
        <v>12</v>
      </c>
      <c r="M5" s="95">
        <v>50</v>
      </c>
      <c r="N5" s="94" t="s">
        <v>1070</v>
      </c>
      <c r="O5" s="18">
        <v>15</v>
      </c>
      <c r="P5" s="8"/>
      <c r="Q5" s="109">
        <v>11</v>
      </c>
      <c r="R5" s="108">
        <v>20</v>
      </c>
      <c r="S5" s="107"/>
      <c r="T5" s="8"/>
      <c r="U5" s="8"/>
      <c r="V5" s="8"/>
      <c r="W5" s="8"/>
      <c r="X5" s="8"/>
      <c r="Y5" s="8"/>
      <c r="Z5" s="8"/>
    </row>
    <row r="6" spans="1:26">
      <c r="A6" s="36" t="s">
        <v>1069</v>
      </c>
      <c r="B6" s="36" t="s">
        <v>1023</v>
      </c>
      <c r="C6" s="68">
        <v>95</v>
      </c>
      <c r="D6" s="67">
        <v>3000</v>
      </c>
      <c r="E6" s="67">
        <f t="shared" si="0"/>
        <v>285000</v>
      </c>
      <c r="G6" s="36" t="s">
        <v>1059</v>
      </c>
      <c r="H6" s="67">
        <v>150000</v>
      </c>
      <c r="I6" s="36" t="s">
        <v>1046</v>
      </c>
      <c r="J6" s="39">
        <v>0.03</v>
      </c>
      <c r="K6" s="68">
        <v>3</v>
      </c>
      <c r="M6" s="95">
        <v>29</v>
      </c>
      <c r="N6" s="94" t="s">
        <v>1027</v>
      </c>
      <c r="O6" s="18">
        <v>15</v>
      </c>
      <c r="P6" s="8"/>
      <c r="Q6" s="109">
        <v>21</v>
      </c>
      <c r="R6" s="108">
        <v>30</v>
      </c>
      <c r="S6" s="107"/>
      <c r="T6" s="8"/>
      <c r="U6" s="8"/>
      <c r="V6" s="8"/>
      <c r="W6" s="8"/>
      <c r="X6" s="8"/>
      <c r="Y6" s="8"/>
      <c r="Z6" s="8"/>
    </row>
    <row r="7" spans="1:26">
      <c r="A7" s="36" t="s">
        <v>892</v>
      </c>
      <c r="B7" s="36" t="s">
        <v>1054</v>
      </c>
      <c r="C7" s="68">
        <v>120</v>
      </c>
      <c r="D7" s="67">
        <v>2500</v>
      </c>
      <c r="E7" s="67">
        <f t="shared" si="0"/>
        <v>300000</v>
      </c>
      <c r="G7" s="36" t="s">
        <v>1053</v>
      </c>
      <c r="H7" s="67">
        <v>1560000</v>
      </c>
      <c r="I7" s="36" t="s">
        <v>403</v>
      </c>
      <c r="J7" s="39">
        <v>0.01</v>
      </c>
      <c r="K7" s="68">
        <v>12</v>
      </c>
      <c r="M7" s="95">
        <v>42</v>
      </c>
      <c r="N7" s="94" t="s">
        <v>1056</v>
      </c>
      <c r="O7" s="18">
        <v>5</v>
      </c>
      <c r="P7" s="8"/>
      <c r="Q7" s="109">
        <v>31</v>
      </c>
      <c r="R7" s="108">
        <v>40</v>
      </c>
      <c r="S7" s="107"/>
      <c r="Z7" s="8"/>
    </row>
    <row r="8" spans="1:26">
      <c r="A8" s="36" t="s">
        <v>731</v>
      </c>
      <c r="B8" s="36" t="s">
        <v>1030</v>
      </c>
      <c r="C8" s="68">
        <v>20</v>
      </c>
      <c r="D8" s="67">
        <v>2000</v>
      </c>
      <c r="E8" s="67">
        <f t="shared" si="0"/>
        <v>40000</v>
      </c>
      <c r="G8" s="36" t="s">
        <v>1065</v>
      </c>
      <c r="H8" s="67">
        <v>1280000</v>
      </c>
      <c r="I8" s="36" t="s">
        <v>1047</v>
      </c>
      <c r="J8" s="39">
        <v>0.03</v>
      </c>
      <c r="K8" s="68">
        <v>3</v>
      </c>
      <c r="M8" s="95">
        <v>7</v>
      </c>
      <c r="N8" s="94" t="s">
        <v>1068</v>
      </c>
      <c r="O8" s="18">
        <v>10</v>
      </c>
      <c r="P8" s="8"/>
      <c r="Q8" s="109">
        <v>41</v>
      </c>
      <c r="R8" s="108">
        <v>50</v>
      </c>
      <c r="S8" s="107"/>
      <c r="Z8" s="8"/>
    </row>
    <row r="9" spans="1:26">
      <c r="A9" s="36" t="s">
        <v>887</v>
      </c>
      <c r="B9" s="36" t="s">
        <v>1026</v>
      </c>
      <c r="C9" s="68">
        <v>25</v>
      </c>
      <c r="D9" s="67">
        <v>5300</v>
      </c>
      <c r="E9" s="67">
        <f t="shared" si="0"/>
        <v>132500</v>
      </c>
      <c r="G9" s="36" t="s">
        <v>1052</v>
      </c>
      <c r="H9" s="67">
        <v>2540000</v>
      </c>
      <c r="I9" s="36" t="s">
        <v>415</v>
      </c>
      <c r="J9" s="39">
        <v>0.02</v>
      </c>
      <c r="K9" s="68">
        <v>12</v>
      </c>
      <c r="M9" s="95">
        <v>45</v>
      </c>
      <c r="N9" s="94" t="s">
        <v>1019</v>
      </c>
      <c r="O9" s="18">
        <v>14</v>
      </c>
      <c r="P9" s="8"/>
      <c r="Q9" s="109">
        <v>51</v>
      </c>
      <c r="R9" s="108">
        <v>60</v>
      </c>
      <c r="S9" s="107"/>
      <c r="Z9" s="8"/>
    </row>
    <row r="10" spans="1:26">
      <c r="A10" s="36" t="s">
        <v>734</v>
      </c>
      <c r="B10" s="36" t="s">
        <v>729</v>
      </c>
      <c r="C10" s="68">
        <v>90</v>
      </c>
      <c r="D10" s="67">
        <v>2500</v>
      </c>
      <c r="E10" s="67">
        <f t="shared" si="0"/>
        <v>225000</v>
      </c>
      <c r="G10" s="36" t="s">
        <v>1065</v>
      </c>
      <c r="H10" s="67">
        <v>3512000</v>
      </c>
      <c r="I10" s="36" t="s">
        <v>1046</v>
      </c>
      <c r="J10" s="39">
        <v>0.03</v>
      </c>
      <c r="K10" s="68">
        <v>3</v>
      </c>
      <c r="M10" s="95">
        <v>16</v>
      </c>
      <c r="N10" s="94" t="s">
        <v>1027</v>
      </c>
      <c r="O10" s="18">
        <v>5</v>
      </c>
      <c r="P10" s="8"/>
      <c r="Q10" s="109">
        <v>61</v>
      </c>
      <c r="R10" s="108">
        <v>70</v>
      </c>
      <c r="S10" s="107"/>
      <c r="Z10" s="8"/>
    </row>
    <row r="11" spans="1:26">
      <c r="A11" s="36" t="s">
        <v>881</v>
      </c>
      <c r="B11" s="36" t="s">
        <v>729</v>
      </c>
      <c r="C11" s="68">
        <v>55</v>
      </c>
      <c r="D11" s="67">
        <v>2500</v>
      </c>
      <c r="E11" s="67">
        <f t="shared" si="0"/>
        <v>137500</v>
      </c>
      <c r="G11" s="36" t="s">
        <v>1067</v>
      </c>
      <c r="H11" s="67">
        <v>4500000</v>
      </c>
      <c r="I11" s="36" t="s">
        <v>1046</v>
      </c>
      <c r="J11" s="39">
        <v>0.02</v>
      </c>
      <c r="K11" s="68">
        <v>3</v>
      </c>
      <c r="M11" s="95">
        <v>16</v>
      </c>
      <c r="N11" s="94" t="s">
        <v>1024</v>
      </c>
      <c r="O11" s="18">
        <v>6</v>
      </c>
      <c r="P11" s="8"/>
      <c r="Z11" s="8"/>
    </row>
    <row r="12" spans="1:26">
      <c r="A12" s="36" t="s">
        <v>1066</v>
      </c>
      <c r="B12" s="36" t="s">
        <v>1030</v>
      </c>
      <c r="C12" s="68">
        <v>30</v>
      </c>
      <c r="D12" s="67">
        <v>2000</v>
      </c>
      <c r="E12" s="67">
        <f t="shared" si="0"/>
        <v>60000</v>
      </c>
      <c r="G12" s="36" t="s">
        <v>1065</v>
      </c>
      <c r="H12" s="67">
        <v>6500000</v>
      </c>
      <c r="I12" s="36" t="s">
        <v>1045</v>
      </c>
      <c r="J12" s="39">
        <v>0.03</v>
      </c>
      <c r="K12" s="68">
        <v>3</v>
      </c>
      <c r="M12" s="95">
        <v>51</v>
      </c>
      <c r="N12" s="94" t="s">
        <v>1041</v>
      </c>
      <c r="O12" s="18">
        <v>8</v>
      </c>
      <c r="P12" s="8"/>
      <c r="Q12" s="106" t="s">
        <v>1064</v>
      </c>
      <c r="R12" s="8"/>
      <c r="S12" s="8"/>
      <c r="T12" s="8"/>
      <c r="U12" s="8"/>
      <c r="V12" s="8"/>
      <c r="Z12" s="8"/>
    </row>
    <row r="13" spans="1:26">
      <c r="A13" s="36" t="s">
        <v>1063</v>
      </c>
      <c r="B13" s="36" t="s">
        <v>724</v>
      </c>
      <c r="C13" s="68">
        <v>100</v>
      </c>
      <c r="D13" s="67">
        <v>2000</v>
      </c>
      <c r="E13" s="67">
        <f t="shared" si="0"/>
        <v>200000</v>
      </c>
      <c r="G13" s="36" t="s">
        <v>1059</v>
      </c>
      <c r="H13" s="67">
        <v>7410000</v>
      </c>
      <c r="I13" s="36" t="s">
        <v>1047</v>
      </c>
      <c r="J13" s="39">
        <v>0.03</v>
      </c>
      <c r="K13" s="68">
        <v>6</v>
      </c>
      <c r="M13" s="95">
        <v>46</v>
      </c>
      <c r="N13" s="94" t="s">
        <v>1041</v>
      </c>
      <c r="O13" s="18">
        <v>8</v>
      </c>
      <c r="P13" s="8"/>
      <c r="Q13" s="230" t="s">
        <v>829</v>
      </c>
      <c r="R13" s="105">
        <v>0</v>
      </c>
      <c r="S13" s="105">
        <v>20</v>
      </c>
      <c r="T13" s="105">
        <v>30</v>
      </c>
      <c r="U13" s="105">
        <v>40</v>
      </c>
      <c r="V13" s="105">
        <v>60</v>
      </c>
      <c r="Z13" s="8"/>
    </row>
    <row r="14" spans="1:26">
      <c r="A14" s="36" t="s">
        <v>868</v>
      </c>
      <c r="B14" s="36" t="s">
        <v>1026</v>
      </c>
      <c r="C14" s="68">
        <v>90</v>
      </c>
      <c r="D14" s="67">
        <v>5300</v>
      </c>
      <c r="E14" s="67">
        <f t="shared" si="0"/>
        <v>477000</v>
      </c>
      <c r="G14" s="36" t="s">
        <v>1057</v>
      </c>
      <c r="H14" s="67">
        <v>985200</v>
      </c>
      <c r="I14" s="36" t="s">
        <v>1047</v>
      </c>
      <c r="J14" s="39">
        <v>0.02</v>
      </c>
      <c r="K14" s="68">
        <v>3</v>
      </c>
      <c r="M14" s="95">
        <v>22</v>
      </c>
      <c r="N14" s="94" t="s">
        <v>1041</v>
      </c>
      <c r="O14" s="18">
        <v>21</v>
      </c>
      <c r="P14" s="8"/>
      <c r="Q14" s="230"/>
      <c r="R14" s="104">
        <v>20</v>
      </c>
      <c r="S14" s="104">
        <v>30</v>
      </c>
      <c r="T14" s="104">
        <v>40</v>
      </c>
      <c r="U14" s="104">
        <v>60</v>
      </c>
      <c r="V14" s="104">
        <v>80</v>
      </c>
      <c r="Z14" s="8"/>
    </row>
    <row r="15" spans="1:26">
      <c r="A15" s="36" t="s">
        <v>1062</v>
      </c>
      <c r="B15" s="36" t="s">
        <v>1026</v>
      </c>
      <c r="C15" s="68">
        <v>32</v>
      </c>
      <c r="D15" s="67">
        <v>5300</v>
      </c>
      <c r="E15" s="67">
        <f t="shared" si="0"/>
        <v>169600</v>
      </c>
      <c r="G15" s="36" t="s">
        <v>1061</v>
      </c>
      <c r="H15" s="67">
        <v>3210000</v>
      </c>
      <c r="I15" s="36" t="s">
        <v>1045</v>
      </c>
      <c r="J15" s="39">
        <v>0.02</v>
      </c>
      <c r="K15" s="68">
        <v>6</v>
      </c>
      <c r="M15" s="95">
        <v>6</v>
      </c>
      <c r="N15" s="94" t="s">
        <v>1041</v>
      </c>
      <c r="O15" s="18">
        <v>7</v>
      </c>
      <c r="P15" s="8"/>
      <c r="Q15" s="103" t="s">
        <v>1041</v>
      </c>
      <c r="R15" s="102"/>
      <c r="S15" s="102"/>
      <c r="T15" s="102"/>
      <c r="U15" s="102"/>
      <c r="V15" s="102"/>
      <c r="Z15" s="8"/>
    </row>
    <row r="16" spans="1:26">
      <c r="A16" s="36" t="s">
        <v>1060</v>
      </c>
      <c r="B16" s="36" t="s">
        <v>1050</v>
      </c>
      <c r="C16" s="68">
        <v>60</v>
      </c>
      <c r="D16" s="67">
        <v>1500</v>
      </c>
      <c r="E16" s="67">
        <f t="shared" si="0"/>
        <v>90000</v>
      </c>
      <c r="G16" s="36" t="s">
        <v>1053</v>
      </c>
      <c r="H16" s="67">
        <v>2840000</v>
      </c>
      <c r="I16" s="36" t="s">
        <v>1045</v>
      </c>
      <c r="J16" s="39">
        <v>0.01</v>
      </c>
      <c r="K16" s="68">
        <v>12</v>
      </c>
      <c r="M16" s="95">
        <v>22</v>
      </c>
      <c r="N16" s="94" t="s">
        <v>1021</v>
      </c>
      <c r="O16" s="18">
        <v>21</v>
      </c>
      <c r="P16" s="8"/>
      <c r="Q16" s="94" t="s">
        <v>1021</v>
      </c>
      <c r="R16" s="102"/>
      <c r="S16" s="102"/>
      <c r="T16" s="102"/>
      <c r="U16" s="102"/>
      <c r="V16" s="102"/>
      <c r="W16" s="8"/>
      <c r="X16" s="8"/>
      <c r="Y16" s="8"/>
      <c r="Z16" s="8"/>
    </row>
    <row r="17" spans="1:26">
      <c r="A17" s="36" t="s">
        <v>748</v>
      </c>
      <c r="B17" s="36" t="s">
        <v>1023</v>
      </c>
      <c r="C17" s="68">
        <v>110</v>
      </c>
      <c r="D17" s="67">
        <v>3000</v>
      </c>
      <c r="E17" s="67">
        <f t="shared" si="0"/>
        <v>330000</v>
      </c>
      <c r="G17" s="36" t="s">
        <v>1059</v>
      </c>
      <c r="H17" s="67">
        <v>5130000</v>
      </c>
      <c r="I17" s="36" t="s">
        <v>1045</v>
      </c>
      <c r="J17" s="39">
        <v>0.03</v>
      </c>
      <c r="K17" s="68">
        <v>12</v>
      </c>
      <c r="M17" s="95">
        <v>21</v>
      </c>
      <c r="N17" s="94" t="s">
        <v>1034</v>
      </c>
      <c r="O17" s="18">
        <v>20</v>
      </c>
      <c r="P17" s="8"/>
      <c r="Q17" s="94" t="s">
        <v>1034</v>
      </c>
      <c r="R17" s="102"/>
      <c r="S17" s="102"/>
      <c r="T17" s="102"/>
      <c r="U17" s="102"/>
      <c r="V17" s="102"/>
      <c r="W17" s="8"/>
      <c r="X17" s="8"/>
      <c r="Y17" s="8"/>
      <c r="Z17" s="8"/>
    </row>
    <row r="18" spans="1:26">
      <c r="A18" s="36" t="s">
        <v>1058</v>
      </c>
      <c r="B18" s="36" t="s">
        <v>1050</v>
      </c>
      <c r="C18" s="68">
        <v>45</v>
      </c>
      <c r="D18" s="67">
        <v>1500</v>
      </c>
      <c r="E18" s="67">
        <f t="shared" si="0"/>
        <v>67500</v>
      </c>
      <c r="G18" s="36" t="s">
        <v>1057</v>
      </c>
      <c r="H18" s="67">
        <v>857000</v>
      </c>
      <c r="I18" s="36" t="s">
        <v>1046</v>
      </c>
      <c r="J18" s="39">
        <v>0.02</v>
      </c>
      <c r="K18" s="68">
        <v>3</v>
      </c>
      <c r="M18" s="95">
        <v>13</v>
      </c>
      <c r="N18" s="94" t="s">
        <v>1056</v>
      </c>
      <c r="O18" s="18">
        <v>8</v>
      </c>
      <c r="P18" s="8"/>
      <c r="Q18" s="94" t="s">
        <v>1056</v>
      </c>
      <c r="R18" s="102"/>
      <c r="S18" s="102"/>
      <c r="T18" s="102"/>
      <c r="U18" s="102"/>
      <c r="V18" s="102"/>
    </row>
    <row r="19" spans="1:26">
      <c r="A19" s="36" t="s">
        <v>1055</v>
      </c>
      <c r="B19" s="36" t="s">
        <v>1054</v>
      </c>
      <c r="C19" s="68">
        <v>50</v>
      </c>
      <c r="D19" s="67">
        <v>2500</v>
      </c>
      <c r="E19" s="67">
        <f t="shared" si="0"/>
        <v>125000</v>
      </c>
      <c r="G19" s="36" t="s">
        <v>1053</v>
      </c>
      <c r="H19" s="67">
        <v>5840000</v>
      </c>
      <c r="I19" s="36" t="s">
        <v>403</v>
      </c>
      <c r="J19" s="39">
        <v>0.03</v>
      </c>
      <c r="K19" s="68">
        <v>12</v>
      </c>
      <c r="M19" s="95">
        <v>29</v>
      </c>
      <c r="N19" s="94" t="s">
        <v>1041</v>
      </c>
      <c r="O19" s="18">
        <v>24</v>
      </c>
      <c r="P19" s="8"/>
      <c r="T19" s="8"/>
    </row>
    <row r="20" spans="1:26">
      <c r="A20" s="36" t="s">
        <v>1051</v>
      </c>
      <c r="B20" s="36" t="s">
        <v>1050</v>
      </c>
      <c r="C20" s="68">
        <v>80</v>
      </c>
      <c r="D20" s="67">
        <v>1500</v>
      </c>
      <c r="E20" s="67">
        <f t="shared" si="0"/>
        <v>120000</v>
      </c>
      <c r="J20" s="60"/>
      <c r="K20" s="101"/>
      <c r="M20" s="95">
        <v>61</v>
      </c>
      <c r="N20" s="94" t="s">
        <v>1020</v>
      </c>
      <c r="O20" s="18">
        <v>23</v>
      </c>
      <c r="P20" s="8"/>
      <c r="T20" s="8"/>
    </row>
    <row r="21" spans="1:26">
      <c r="G21" s="99" t="s">
        <v>1049</v>
      </c>
      <c r="M21" s="95">
        <v>12</v>
      </c>
      <c r="N21" s="94" t="s">
        <v>1020</v>
      </c>
      <c r="O21" s="18">
        <v>20</v>
      </c>
      <c r="P21" s="8"/>
      <c r="T21" s="8"/>
    </row>
    <row r="22" spans="1:26">
      <c r="A22" t="s">
        <v>1048</v>
      </c>
      <c r="G22" s="36" t="s">
        <v>382</v>
      </c>
      <c r="H22" s="79" t="s">
        <v>1047</v>
      </c>
      <c r="I22" s="79" t="s">
        <v>1046</v>
      </c>
      <c r="J22" s="79" t="s">
        <v>1045</v>
      </c>
      <c r="M22" s="95">
        <v>64</v>
      </c>
      <c r="N22" s="94" t="s">
        <v>1027</v>
      </c>
      <c r="O22" s="18">
        <v>7</v>
      </c>
      <c r="P22" s="8"/>
      <c r="T22" s="8"/>
    </row>
    <row r="23" spans="1:26">
      <c r="A23" s="36" t="s">
        <v>1044</v>
      </c>
      <c r="B23" s="36" t="s">
        <v>715</v>
      </c>
      <c r="C23" s="79" t="s">
        <v>1043</v>
      </c>
      <c r="D23" s="79" t="s">
        <v>1042</v>
      </c>
      <c r="G23" s="100">
        <v>3</v>
      </c>
      <c r="H23" s="36"/>
      <c r="I23" s="36"/>
      <c r="J23" s="36"/>
      <c r="M23" s="95">
        <v>29</v>
      </c>
      <c r="N23" s="94" t="s">
        <v>1041</v>
      </c>
      <c r="O23" s="18">
        <v>17</v>
      </c>
      <c r="P23" s="8"/>
      <c r="T23" s="8"/>
    </row>
    <row r="24" spans="1:26">
      <c r="A24" s="36" t="s">
        <v>1040</v>
      </c>
      <c r="B24" s="36" t="s">
        <v>1039</v>
      </c>
      <c r="C24" s="67"/>
      <c r="D24" s="67"/>
      <c r="G24" s="100">
        <v>6</v>
      </c>
      <c r="H24" s="36"/>
      <c r="I24" s="36"/>
      <c r="J24" s="36"/>
      <c r="M24" s="95">
        <v>17</v>
      </c>
      <c r="N24" s="94" t="s">
        <v>1020</v>
      </c>
      <c r="O24" s="18">
        <v>21</v>
      </c>
      <c r="P24" s="8"/>
      <c r="T24" s="8"/>
    </row>
    <row r="25" spans="1:26">
      <c r="A25" s="36" t="s">
        <v>1038</v>
      </c>
      <c r="B25" s="36" t="s">
        <v>1037</v>
      </c>
      <c r="C25" s="67"/>
      <c r="D25" s="67"/>
      <c r="G25" s="100">
        <v>12</v>
      </c>
      <c r="H25" s="36"/>
      <c r="I25" s="36"/>
      <c r="J25" s="36"/>
      <c r="M25" s="95">
        <v>29</v>
      </c>
      <c r="N25" s="94" t="s">
        <v>1019</v>
      </c>
      <c r="O25" s="18">
        <v>2</v>
      </c>
      <c r="P25" s="8"/>
      <c r="T25" s="8"/>
      <c r="U25" s="8"/>
      <c r="V25" s="8"/>
      <c r="W25" s="8"/>
      <c r="X25" s="8"/>
      <c r="Y25" s="8"/>
      <c r="Z25" s="8"/>
    </row>
    <row r="26" spans="1:26">
      <c r="M26" s="95">
        <v>26</v>
      </c>
      <c r="N26" s="94" t="s">
        <v>1019</v>
      </c>
      <c r="O26" s="18">
        <v>4</v>
      </c>
      <c r="P26" s="8"/>
      <c r="T26" s="8"/>
      <c r="U26" s="8"/>
      <c r="V26" s="8"/>
      <c r="W26" s="8"/>
      <c r="X26" s="8"/>
      <c r="Y26" s="8"/>
      <c r="Z26" s="8"/>
    </row>
    <row r="27" spans="1:26">
      <c r="A27" t="s">
        <v>1036</v>
      </c>
      <c r="G27" s="99" t="s">
        <v>1035</v>
      </c>
      <c r="M27" s="95">
        <v>59</v>
      </c>
      <c r="N27" s="94" t="s">
        <v>1034</v>
      </c>
      <c r="O27" s="18">
        <v>2</v>
      </c>
      <c r="P27" s="8"/>
      <c r="Q27" s="19"/>
      <c r="R27" s="8"/>
      <c r="S27" s="8"/>
      <c r="T27" s="8"/>
      <c r="U27" s="8"/>
      <c r="V27" s="8"/>
      <c r="W27" s="8"/>
      <c r="X27" s="8"/>
      <c r="Y27" s="8"/>
      <c r="Z27" s="8"/>
    </row>
    <row r="28" spans="1:26">
      <c r="A28" s="36" t="s">
        <v>715</v>
      </c>
      <c r="B28" s="79" t="s">
        <v>1033</v>
      </c>
      <c r="G28" s="36" t="s">
        <v>1032</v>
      </c>
      <c r="H28" s="79" t="s">
        <v>403</v>
      </c>
      <c r="I28" s="79" t="s">
        <v>415</v>
      </c>
      <c r="J28" s="79" t="s">
        <v>1031</v>
      </c>
      <c r="M28" s="95">
        <v>43</v>
      </c>
      <c r="N28" s="94" t="s">
        <v>1020</v>
      </c>
      <c r="O28" s="18">
        <v>5</v>
      </c>
      <c r="P28" s="8"/>
      <c r="Q28" s="19"/>
      <c r="R28" s="8"/>
      <c r="S28" s="8"/>
      <c r="T28" s="8"/>
      <c r="U28" s="8"/>
      <c r="V28" s="8"/>
      <c r="W28" s="8"/>
      <c r="X28" s="8"/>
      <c r="Y28" s="8"/>
      <c r="Z28" s="8"/>
    </row>
    <row r="29" spans="1:26">
      <c r="A29" s="68" t="s">
        <v>1030</v>
      </c>
      <c r="B29" s="68"/>
      <c r="D29" s="98"/>
      <c r="G29" s="97" t="s">
        <v>1029</v>
      </c>
      <c r="H29" s="96"/>
      <c r="I29" s="96"/>
      <c r="J29" s="96"/>
      <c r="M29" s="95">
        <v>53</v>
      </c>
      <c r="N29" s="94" t="s">
        <v>1019</v>
      </c>
      <c r="O29" s="18">
        <v>21</v>
      </c>
      <c r="P29" s="8"/>
      <c r="Q29" s="19"/>
      <c r="R29" s="8"/>
      <c r="S29" s="8"/>
      <c r="T29" s="8"/>
      <c r="U29" s="8"/>
      <c r="V29" s="8"/>
      <c r="W29" s="8"/>
      <c r="X29" s="8"/>
      <c r="Y29" s="8"/>
      <c r="Z29" s="8"/>
    </row>
    <row r="30" spans="1:26">
      <c r="A30" s="68" t="s">
        <v>720</v>
      </c>
      <c r="B30" s="68"/>
      <c r="G30" s="97" t="s">
        <v>1028</v>
      </c>
      <c r="H30" s="96"/>
      <c r="I30" s="96"/>
      <c r="J30" s="96"/>
      <c r="M30" s="95">
        <v>29</v>
      </c>
      <c r="N30" s="94" t="s">
        <v>1027</v>
      </c>
      <c r="O30" s="18">
        <v>18</v>
      </c>
      <c r="P30" s="8"/>
      <c r="Q30" s="19"/>
      <c r="R30" s="8"/>
      <c r="S30" s="8"/>
      <c r="T30" s="8"/>
      <c r="U30" s="8"/>
      <c r="V30" s="8"/>
      <c r="W30" s="8"/>
      <c r="X30" s="8"/>
      <c r="Y30" s="8"/>
      <c r="Z30" s="8"/>
    </row>
    <row r="31" spans="1:26">
      <c r="A31" s="68" t="s">
        <v>1026</v>
      </c>
      <c r="B31" s="68"/>
      <c r="G31" s="97" t="s">
        <v>1025</v>
      </c>
      <c r="H31" s="96"/>
      <c r="I31" s="96"/>
      <c r="J31" s="96"/>
      <c r="M31" s="95">
        <v>18</v>
      </c>
      <c r="N31" s="94" t="s">
        <v>1024</v>
      </c>
      <c r="O31" s="18">
        <v>9</v>
      </c>
      <c r="P31" s="8"/>
      <c r="Q31" s="19"/>
      <c r="R31" s="8"/>
      <c r="S31" s="8"/>
      <c r="T31" s="8"/>
      <c r="U31" s="8"/>
      <c r="V31" s="8"/>
      <c r="W31" s="8"/>
      <c r="X31" s="8"/>
      <c r="Y31" s="8"/>
      <c r="Z31" s="8"/>
    </row>
    <row r="32" spans="1:26">
      <c r="A32" s="68" t="s">
        <v>1023</v>
      </c>
      <c r="B32" s="68"/>
      <c r="G32" s="97" t="s">
        <v>1022</v>
      </c>
      <c r="H32" s="96"/>
      <c r="I32" s="96"/>
      <c r="J32" s="96"/>
      <c r="M32" s="95">
        <v>41</v>
      </c>
      <c r="N32" s="94" t="s">
        <v>1021</v>
      </c>
      <c r="O32" s="18">
        <v>7</v>
      </c>
      <c r="P32" s="8"/>
      <c r="Q32" s="19"/>
      <c r="R32" s="8"/>
      <c r="S32" s="8"/>
      <c r="T32" s="8"/>
      <c r="U32" s="8"/>
      <c r="V32" s="8"/>
      <c r="W32" s="8"/>
      <c r="X32" s="8"/>
      <c r="Y32" s="8"/>
      <c r="Z32" s="8"/>
    </row>
    <row r="33" spans="1:26">
      <c r="A33" s="68" t="s">
        <v>729</v>
      </c>
      <c r="B33" s="68"/>
      <c r="M33" s="95">
        <v>8</v>
      </c>
      <c r="N33" s="94" t="s">
        <v>1019</v>
      </c>
      <c r="O33" s="18">
        <v>9</v>
      </c>
      <c r="P33" s="8"/>
      <c r="Q33" s="19"/>
      <c r="R33" s="8"/>
      <c r="S33" s="8"/>
      <c r="T33" s="8"/>
      <c r="U33" s="8"/>
      <c r="V33" s="8"/>
      <c r="W33" s="8"/>
      <c r="X33" s="8"/>
      <c r="Y33" s="8"/>
      <c r="Z33" s="8"/>
    </row>
    <row r="34" spans="1:26">
      <c r="P34" s="8"/>
      <c r="Q34" s="19"/>
      <c r="R34" s="8"/>
      <c r="S34" s="8"/>
      <c r="T34" s="8"/>
      <c r="U34" s="8"/>
      <c r="V34" s="8"/>
      <c r="W34" s="8"/>
      <c r="X34" s="8"/>
      <c r="Y34" s="8"/>
      <c r="Z34" s="8"/>
    </row>
    <row r="35" spans="1:26">
      <c r="P35" s="8"/>
      <c r="Q35" s="19"/>
      <c r="R35" s="8"/>
      <c r="S35" s="8"/>
      <c r="T35" s="8" t="s">
        <v>1018</v>
      </c>
      <c r="U35" s="8"/>
      <c r="V35" s="8"/>
      <c r="W35" s="8"/>
      <c r="X35" s="8"/>
      <c r="Y35" s="8"/>
      <c r="Z35" s="8"/>
    </row>
    <row r="36" spans="1:26">
      <c r="P36" s="8"/>
      <c r="Q36" s="19"/>
      <c r="R36" s="8"/>
      <c r="S36" s="8"/>
      <c r="T36" s="8"/>
      <c r="U36" s="8"/>
      <c r="V36" s="8"/>
      <c r="W36" s="8"/>
      <c r="X36" s="8"/>
      <c r="Y36" s="8"/>
      <c r="Z36" s="8"/>
    </row>
    <row r="37" spans="1:26">
      <c r="P37" s="8"/>
      <c r="Q37" s="19"/>
      <c r="R37" s="8"/>
      <c r="S37" s="8"/>
      <c r="T37" s="8"/>
      <c r="U37" s="8"/>
      <c r="V37" s="8"/>
      <c r="W37" s="8"/>
      <c r="X37" s="8"/>
      <c r="Y37" s="8"/>
      <c r="Z37" s="8"/>
    </row>
    <row r="38" spans="1:26">
      <c r="P38" s="8"/>
      <c r="Q38" s="19"/>
      <c r="R38" s="8"/>
      <c r="S38" s="8"/>
      <c r="T38" s="8"/>
      <c r="U38" s="5"/>
      <c r="V38" s="5"/>
      <c r="W38" s="5"/>
      <c r="X38" s="8"/>
      <c r="Y38" s="8"/>
      <c r="Z38" s="8"/>
    </row>
  </sheetData>
  <mergeCells count="2">
    <mergeCell ref="Q3:R3"/>
    <mergeCell ref="Q13:Q14"/>
  </mergeCells>
  <phoneticPr fontId="2" type="noConversion"/>
  <pageMargins left="0.7" right="0.7" top="0.75" bottom="0.75" header="0.3" footer="0.3"/>
  <ignoredErrors>
    <ignoredError sqref="G29:G32" numberStoredAsText="1"/>
  </ignoredError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2"/>
  <dimension ref="A1:Z38"/>
  <sheetViews>
    <sheetView workbookViewId="0"/>
  </sheetViews>
  <sheetFormatPr defaultColWidth="9" defaultRowHeight="16.5"/>
  <cols>
    <col min="2" max="2" width="15.125" bestFit="1" customWidth="1"/>
    <col min="6" max="6" width="1.625" customWidth="1"/>
    <col min="8" max="10" width="10.875" bestFit="1" customWidth="1"/>
    <col min="12" max="12" width="1.625" customWidth="1"/>
    <col min="15" max="15" width="10.75" bestFit="1" customWidth="1"/>
    <col min="16" max="16" width="1.625" customWidth="1"/>
    <col min="18" max="22" width="10.25" bestFit="1" customWidth="1"/>
    <col min="23" max="23" width="1.625" customWidth="1"/>
  </cols>
  <sheetData>
    <row r="1" spans="1:26">
      <c r="A1" t="s">
        <v>1087</v>
      </c>
      <c r="G1" t="s">
        <v>1086</v>
      </c>
      <c r="M1" s="106" t="s">
        <v>1085</v>
      </c>
      <c r="N1" s="19"/>
      <c r="O1" s="112"/>
      <c r="P1" s="8"/>
      <c r="Q1" s="19"/>
      <c r="R1" s="8"/>
      <c r="S1" s="8"/>
      <c r="T1" s="8"/>
      <c r="U1" s="8"/>
      <c r="V1" s="8"/>
      <c r="W1" s="8"/>
      <c r="Z1" s="8"/>
    </row>
    <row r="2" spans="1:26">
      <c r="A2" s="36" t="s">
        <v>913</v>
      </c>
      <c r="B2" s="36" t="s">
        <v>1084</v>
      </c>
      <c r="C2" s="36" t="s">
        <v>912</v>
      </c>
      <c r="D2" s="36" t="s">
        <v>911</v>
      </c>
      <c r="E2" s="36" t="s">
        <v>910</v>
      </c>
      <c r="G2" s="29" t="s">
        <v>1083</v>
      </c>
      <c r="H2" s="29" t="s">
        <v>1082</v>
      </c>
      <c r="I2" s="29" t="s">
        <v>1017</v>
      </c>
      <c r="J2" s="29" t="s">
        <v>1081</v>
      </c>
      <c r="K2" s="29" t="s">
        <v>1080</v>
      </c>
      <c r="L2" s="35"/>
      <c r="M2" s="32" t="s">
        <v>1079</v>
      </c>
      <c r="N2" s="32" t="s">
        <v>829</v>
      </c>
      <c r="O2" s="33" t="s">
        <v>1078</v>
      </c>
      <c r="P2" s="8"/>
      <c r="Q2" s="106" t="s">
        <v>1077</v>
      </c>
      <c r="R2" s="8"/>
      <c r="S2" s="8"/>
      <c r="T2" s="8"/>
      <c r="U2" s="8"/>
      <c r="V2" s="8"/>
      <c r="W2" s="8"/>
      <c r="Z2" s="8"/>
    </row>
    <row r="3" spans="1:26">
      <c r="A3" s="36" t="s">
        <v>905</v>
      </c>
      <c r="B3" s="36" t="s">
        <v>1050</v>
      </c>
      <c r="C3" s="68">
        <v>55</v>
      </c>
      <c r="D3" s="67">
        <v>1500</v>
      </c>
      <c r="E3" s="67">
        <f t="shared" ref="E3:E20" si="0">C3*D3</f>
        <v>82500</v>
      </c>
      <c r="G3" s="36" t="s">
        <v>1057</v>
      </c>
      <c r="H3" s="67">
        <v>1000000</v>
      </c>
      <c r="I3" s="36" t="s">
        <v>1045</v>
      </c>
      <c r="J3" s="39">
        <v>0.03</v>
      </c>
      <c r="K3" s="68">
        <v>3</v>
      </c>
      <c r="M3" s="111">
        <v>24</v>
      </c>
      <c r="N3" s="107" t="s">
        <v>1041</v>
      </c>
      <c r="O3" s="17">
        <v>5</v>
      </c>
      <c r="P3" s="8"/>
      <c r="Q3" s="228" t="s">
        <v>1076</v>
      </c>
      <c r="R3" s="229"/>
      <c r="S3" s="110" t="s">
        <v>1075</v>
      </c>
      <c r="T3" s="8"/>
      <c r="U3" s="8"/>
      <c r="V3" s="8"/>
      <c r="W3" s="8"/>
      <c r="Z3" s="8"/>
    </row>
    <row r="4" spans="1:26">
      <c r="A4" s="36" t="s">
        <v>902</v>
      </c>
      <c r="B4" s="36" t="s">
        <v>1023</v>
      </c>
      <c r="C4" s="68">
        <v>20</v>
      </c>
      <c r="D4" s="67">
        <v>3000</v>
      </c>
      <c r="E4" s="67">
        <f t="shared" si="0"/>
        <v>60000</v>
      </c>
      <c r="G4" s="36" t="s">
        <v>1065</v>
      </c>
      <c r="H4" s="67">
        <v>800000</v>
      </c>
      <c r="I4" s="36" t="s">
        <v>1047</v>
      </c>
      <c r="J4" s="39">
        <v>0.02</v>
      </c>
      <c r="K4" s="68">
        <v>6</v>
      </c>
      <c r="M4" s="95">
        <v>41</v>
      </c>
      <c r="N4" s="94" t="s">
        <v>1021</v>
      </c>
      <c r="O4" s="18">
        <v>3</v>
      </c>
      <c r="P4" s="8"/>
      <c r="Q4" s="109">
        <v>1</v>
      </c>
      <c r="R4" s="108">
        <v>10</v>
      </c>
      <c r="S4" s="107" t="str">
        <f t="array" ref="S4:S10">IF(FREQUENCY(M3:M33,R4:R10)&gt;0,TEXT(FREQUENCY(M3:M33,R4:R10),"0명"),"미가입")</f>
        <v>3명</v>
      </c>
      <c r="T4" s="8"/>
      <c r="U4" s="8"/>
      <c r="V4" s="8"/>
      <c r="W4" s="8"/>
      <c r="Z4" s="8"/>
    </row>
    <row r="5" spans="1:26">
      <c r="A5" s="36" t="s">
        <v>900</v>
      </c>
      <c r="B5" s="36" t="s">
        <v>1030</v>
      </c>
      <c r="C5" s="68">
        <v>20</v>
      </c>
      <c r="D5" s="67">
        <v>2000</v>
      </c>
      <c r="E5" s="67">
        <f t="shared" si="0"/>
        <v>40000</v>
      </c>
      <c r="G5" s="36" t="s">
        <v>1057</v>
      </c>
      <c r="H5" s="67">
        <v>750000</v>
      </c>
      <c r="I5" s="36" t="s">
        <v>1046</v>
      </c>
      <c r="J5" s="39">
        <v>0.01</v>
      </c>
      <c r="K5" s="68">
        <v>12</v>
      </c>
      <c r="M5" s="95">
        <v>50</v>
      </c>
      <c r="N5" s="94" t="s">
        <v>1034</v>
      </c>
      <c r="O5" s="18">
        <v>15</v>
      </c>
      <c r="P5" s="8"/>
      <c r="Q5" s="109">
        <v>11</v>
      </c>
      <c r="R5" s="108">
        <v>20</v>
      </c>
      <c r="S5" s="107" t="str">
        <v>6명</v>
      </c>
      <c r="T5" s="8"/>
      <c r="U5" s="8"/>
      <c r="V5" s="8"/>
      <c r="W5" s="8"/>
      <c r="Z5" s="8"/>
    </row>
    <row r="6" spans="1:26">
      <c r="A6" s="36" t="s">
        <v>1069</v>
      </c>
      <c r="B6" s="36" t="s">
        <v>1023</v>
      </c>
      <c r="C6" s="68">
        <v>95</v>
      </c>
      <c r="D6" s="67">
        <v>3000</v>
      </c>
      <c r="E6" s="67">
        <f t="shared" si="0"/>
        <v>285000</v>
      </c>
      <c r="G6" s="36" t="s">
        <v>1059</v>
      </c>
      <c r="H6" s="67">
        <v>150000</v>
      </c>
      <c r="I6" s="36" t="s">
        <v>1046</v>
      </c>
      <c r="J6" s="39">
        <v>0.03</v>
      </c>
      <c r="K6" s="68">
        <v>3</v>
      </c>
      <c r="M6" s="95">
        <v>29</v>
      </c>
      <c r="N6" s="94" t="s">
        <v>1056</v>
      </c>
      <c r="O6" s="18">
        <v>15</v>
      </c>
      <c r="P6" s="8"/>
      <c r="Q6" s="109">
        <v>21</v>
      </c>
      <c r="R6" s="108">
        <v>30</v>
      </c>
      <c r="S6" s="107" t="str">
        <v>10명</v>
      </c>
      <c r="T6" s="8"/>
      <c r="U6" s="8"/>
      <c r="V6" s="8"/>
      <c r="W6" s="8"/>
      <c r="Z6" s="8"/>
    </row>
    <row r="7" spans="1:26">
      <c r="A7" s="36" t="s">
        <v>892</v>
      </c>
      <c r="B7" s="36" t="s">
        <v>1054</v>
      </c>
      <c r="C7" s="68">
        <v>120</v>
      </c>
      <c r="D7" s="67">
        <v>2500</v>
      </c>
      <c r="E7" s="67">
        <f t="shared" si="0"/>
        <v>300000</v>
      </c>
      <c r="G7" s="36" t="s">
        <v>1053</v>
      </c>
      <c r="H7" s="67">
        <v>1560000</v>
      </c>
      <c r="I7" s="36" t="s">
        <v>1047</v>
      </c>
      <c r="J7" s="39">
        <v>0.01</v>
      </c>
      <c r="K7" s="68">
        <v>12</v>
      </c>
      <c r="M7" s="95">
        <v>42</v>
      </c>
      <c r="N7" s="94" t="s">
        <v>1056</v>
      </c>
      <c r="O7" s="18">
        <v>5</v>
      </c>
      <c r="P7" s="8"/>
      <c r="Q7" s="109">
        <v>31</v>
      </c>
      <c r="R7" s="108">
        <v>40</v>
      </c>
      <c r="S7" s="107" t="str">
        <v>미가입</v>
      </c>
      <c r="Z7" s="8"/>
    </row>
    <row r="8" spans="1:26">
      <c r="A8" s="36" t="s">
        <v>890</v>
      </c>
      <c r="B8" s="36" t="s">
        <v>1030</v>
      </c>
      <c r="C8" s="68">
        <v>20</v>
      </c>
      <c r="D8" s="67">
        <v>2000</v>
      </c>
      <c r="E8" s="67">
        <f t="shared" si="0"/>
        <v>40000</v>
      </c>
      <c r="G8" s="36" t="s">
        <v>1065</v>
      </c>
      <c r="H8" s="67">
        <v>1280000</v>
      </c>
      <c r="I8" s="36" t="s">
        <v>1047</v>
      </c>
      <c r="J8" s="39">
        <v>0.03</v>
      </c>
      <c r="K8" s="68">
        <v>3</v>
      </c>
      <c r="M8" s="95">
        <v>7</v>
      </c>
      <c r="N8" s="94" t="s">
        <v>1056</v>
      </c>
      <c r="O8" s="18">
        <v>10</v>
      </c>
      <c r="P8" s="8"/>
      <c r="Q8" s="109">
        <v>41</v>
      </c>
      <c r="R8" s="108">
        <v>50</v>
      </c>
      <c r="S8" s="107" t="str">
        <v>7명</v>
      </c>
      <c r="Z8" s="8"/>
    </row>
    <row r="9" spans="1:26">
      <c r="A9" s="36" t="s">
        <v>887</v>
      </c>
      <c r="B9" s="36" t="s">
        <v>1026</v>
      </c>
      <c r="C9" s="68">
        <v>25</v>
      </c>
      <c r="D9" s="67">
        <v>5300</v>
      </c>
      <c r="E9" s="67">
        <f t="shared" si="0"/>
        <v>132500</v>
      </c>
      <c r="G9" s="36" t="s">
        <v>1053</v>
      </c>
      <c r="H9" s="67">
        <v>2540000</v>
      </c>
      <c r="I9" s="36" t="s">
        <v>1046</v>
      </c>
      <c r="J9" s="39">
        <v>0.02</v>
      </c>
      <c r="K9" s="68">
        <v>12</v>
      </c>
      <c r="M9" s="95">
        <v>45</v>
      </c>
      <c r="N9" s="94" t="s">
        <v>1034</v>
      </c>
      <c r="O9" s="18">
        <v>14</v>
      </c>
      <c r="P9" s="8"/>
      <c r="Q9" s="109">
        <v>51</v>
      </c>
      <c r="R9" s="108">
        <v>60</v>
      </c>
      <c r="S9" s="107" t="str">
        <v>3명</v>
      </c>
      <c r="Z9" s="8"/>
    </row>
    <row r="10" spans="1:26">
      <c r="A10" s="36" t="s">
        <v>1094</v>
      </c>
      <c r="B10" s="36" t="s">
        <v>1054</v>
      </c>
      <c r="C10" s="68">
        <v>90</v>
      </c>
      <c r="D10" s="67">
        <v>2500</v>
      </c>
      <c r="E10" s="67">
        <f t="shared" si="0"/>
        <v>225000</v>
      </c>
      <c r="G10" s="36" t="s">
        <v>1065</v>
      </c>
      <c r="H10" s="67">
        <v>3512000</v>
      </c>
      <c r="I10" s="36" t="s">
        <v>1046</v>
      </c>
      <c r="J10" s="39">
        <v>0.03</v>
      </c>
      <c r="K10" s="68">
        <v>3</v>
      </c>
      <c r="M10" s="95">
        <v>16</v>
      </c>
      <c r="N10" s="94" t="s">
        <v>1056</v>
      </c>
      <c r="O10" s="18">
        <v>5</v>
      </c>
      <c r="P10" s="8"/>
      <c r="Q10" s="109">
        <v>61</v>
      </c>
      <c r="R10" s="108">
        <v>70</v>
      </c>
      <c r="S10" s="107" t="str">
        <v>2명</v>
      </c>
      <c r="Z10" s="8"/>
    </row>
    <row r="11" spans="1:26">
      <c r="A11" s="36" t="s">
        <v>881</v>
      </c>
      <c r="B11" s="36" t="s">
        <v>1054</v>
      </c>
      <c r="C11" s="68">
        <v>55</v>
      </c>
      <c r="D11" s="67">
        <v>2500</v>
      </c>
      <c r="E11" s="67">
        <f t="shared" si="0"/>
        <v>137500</v>
      </c>
      <c r="G11" s="36" t="s">
        <v>1067</v>
      </c>
      <c r="H11" s="67">
        <v>4500000</v>
      </c>
      <c r="I11" s="36" t="s">
        <v>1046</v>
      </c>
      <c r="J11" s="39">
        <v>0.02</v>
      </c>
      <c r="K11" s="68">
        <v>3</v>
      </c>
      <c r="M11" s="95">
        <v>16</v>
      </c>
      <c r="N11" s="94" t="s">
        <v>1041</v>
      </c>
      <c r="O11" s="18">
        <v>6</v>
      </c>
      <c r="P11" s="8"/>
      <c r="Z11" s="8"/>
    </row>
    <row r="12" spans="1:26">
      <c r="A12" s="36" t="s">
        <v>1066</v>
      </c>
      <c r="B12" s="36" t="s">
        <v>1030</v>
      </c>
      <c r="C12" s="68">
        <v>30</v>
      </c>
      <c r="D12" s="67">
        <v>2000</v>
      </c>
      <c r="E12" s="67">
        <f t="shared" si="0"/>
        <v>60000</v>
      </c>
      <c r="G12" s="36" t="s">
        <v>1065</v>
      </c>
      <c r="H12" s="67">
        <v>6500000</v>
      </c>
      <c r="I12" s="36" t="s">
        <v>1045</v>
      </c>
      <c r="J12" s="39">
        <v>0.03</v>
      </c>
      <c r="K12" s="68">
        <v>3</v>
      </c>
      <c r="M12" s="95">
        <v>51</v>
      </c>
      <c r="N12" s="94" t="s">
        <v>1041</v>
      </c>
      <c r="O12" s="18">
        <v>8</v>
      </c>
      <c r="P12" s="8"/>
      <c r="Q12" s="106" t="s">
        <v>1064</v>
      </c>
      <c r="R12" s="8"/>
      <c r="S12" s="8"/>
      <c r="T12" s="8"/>
      <c r="U12" s="8"/>
      <c r="V12" s="8"/>
      <c r="Z12" s="8"/>
    </row>
    <row r="13" spans="1:26">
      <c r="A13" s="36" t="s">
        <v>1063</v>
      </c>
      <c r="B13" s="36" t="s">
        <v>1030</v>
      </c>
      <c r="C13" s="68">
        <v>100</v>
      </c>
      <c r="D13" s="67">
        <v>2000</v>
      </c>
      <c r="E13" s="67">
        <f t="shared" si="0"/>
        <v>200000</v>
      </c>
      <c r="G13" s="36" t="s">
        <v>1059</v>
      </c>
      <c r="H13" s="67">
        <v>7410000</v>
      </c>
      <c r="I13" s="36" t="s">
        <v>1047</v>
      </c>
      <c r="J13" s="39">
        <v>0.03</v>
      </c>
      <c r="K13" s="68">
        <v>6</v>
      </c>
      <c r="M13" s="95">
        <v>46</v>
      </c>
      <c r="N13" s="94" t="s">
        <v>1041</v>
      </c>
      <c r="O13" s="18">
        <v>8</v>
      </c>
      <c r="P13" s="8"/>
      <c r="Q13" s="230" t="s">
        <v>829</v>
      </c>
      <c r="R13" s="105">
        <v>0</v>
      </c>
      <c r="S13" s="105">
        <v>20</v>
      </c>
      <c r="T13" s="105">
        <v>30</v>
      </c>
      <c r="U13" s="105">
        <v>40</v>
      </c>
      <c r="V13" s="105">
        <v>60</v>
      </c>
      <c r="Z13" s="8"/>
    </row>
    <row r="14" spans="1:26">
      <c r="A14" s="36" t="s">
        <v>868</v>
      </c>
      <c r="B14" s="36" t="s">
        <v>1026</v>
      </c>
      <c r="C14" s="68">
        <v>90</v>
      </c>
      <c r="D14" s="67">
        <v>5300</v>
      </c>
      <c r="E14" s="67">
        <f t="shared" si="0"/>
        <v>477000</v>
      </c>
      <c r="G14" s="36" t="s">
        <v>1057</v>
      </c>
      <c r="H14" s="67">
        <v>985200</v>
      </c>
      <c r="I14" s="36" t="s">
        <v>1047</v>
      </c>
      <c r="J14" s="39">
        <v>0.02</v>
      </c>
      <c r="K14" s="68">
        <v>3</v>
      </c>
      <c r="M14" s="95">
        <v>22</v>
      </c>
      <c r="N14" s="94" t="s">
        <v>1041</v>
      </c>
      <c r="O14" s="18">
        <v>21</v>
      </c>
      <c r="P14" s="8"/>
      <c r="Q14" s="230"/>
      <c r="R14" s="104">
        <v>20</v>
      </c>
      <c r="S14" s="104">
        <v>30</v>
      </c>
      <c r="T14" s="104">
        <v>40</v>
      </c>
      <c r="U14" s="104">
        <v>60</v>
      </c>
      <c r="V14" s="104">
        <v>80</v>
      </c>
      <c r="Z14" s="8"/>
    </row>
    <row r="15" spans="1:26">
      <c r="A15" s="36" t="s">
        <v>1062</v>
      </c>
      <c r="B15" s="36" t="s">
        <v>1026</v>
      </c>
      <c r="C15" s="68">
        <v>32</v>
      </c>
      <c r="D15" s="67">
        <v>5300</v>
      </c>
      <c r="E15" s="67">
        <f t="shared" si="0"/>
        <v>169600</v>
      </c>
      <c r="G15" s="36" t="s">
        <v>1061</v>
      </c>
      <c r="H15" s="67">
        <v>3210000</v>
      </c>
      <c r="I15" s="36" t="s">
        <v>1045</v>
      </c>
      <c r="J15" s="39">
        <v>0.02</v>
      </c>
      <c r="K15" s="68">
        <v>6</v>
      </c>
      <c r="M15" s="95">
        <v>6</v>
      </c>
      <c r="N15" s="94" t="s">
        <v>1041</v>
      </c>
      <c r="O15" s="18">
        <v>7</v>
      </c>
      <c r="P15" s="8"/>
      <c r="Q15" s="103" t="s">
        <v>1041</v>
      </c>
      <c r="R15" s="102">
        <f t="array" ref="R15">IFERROR(AVERAGE(IF(($N$3:$N$33=$Q15)*($M$3:$M$33&gt;=R$13)*($M$3:$M$33&lt;R$14),$O$3:$O$33)),"")</f>
        <v>7.333333333333333</v>
      </c>
      <c r="S15" s="102">
        <f t="array" ref="S15">IFERROR(AVERAGE(IF(($N$3:$N$33=$Q15)*($M$3:$M$33&gt;=S$13)*($M$3:$M$33&lt;S$14),$O$3:$O$33)),"")</f>
        <v>16.75</v>
      </c>
      <c r="T15" s="102" t="str">
        <f t="array" ref="T15">IFERROR(AVERAGE(IF(($N$3:$N$33=$Q15)*($M$3:$M$33&gt;=T$13)*($M$3:$M$33&lt;T$14),$O$3:$O$33)),"")</f>
        <v/>
      </c>
      <c r="U15" s="102">
        <f t="array" ref="U15">IFERROR(AVERAGE(IF(($N$3:$N$33=$Q15)*($M$3:$M$33&gt;=U$13)*($M$3:$M$33&lt;U$14),$O$3:$O$33)),"")</f>
        <v>8</v>
      </c>
      <c r="V15" s="102" t="str">
        <f t="array" ref="V15">IFERROR(AVERAGE(IF(($N$3:$N$33=$Q15)*($M$3:$M$33&gt;=V$13)*($M$3:$M$33&lt;V$14),$O$3:$O$33)),"")</f>
        <v/>
      </c>
      <c r="Z15" s="8"/>
    </row>
    <row r="16" spans="1:26">
      <c r="A16" s="36" t="s">
        <v>1060</v>
      </c>
      <c r="B16" s="36" t="s">
        <v>1050</v>
      </c>
      <c r="C16" s="68">
        <v>60</v>
      </c>
      <c r="D16" s="67">
        <v>1500</v>
      </c>
      <c r="E16" s="67">
        <f t="shared" si="0"/>
        <v>90000</v>
      </c>
      <c r="G16" s="36" t="s">
        <v>1053</v>
      </c>
      <c r="H16" s="67">
        <v>2840000</v>
      </c>
      <c r="I16" s="36" t="s">
        <v>1045</v>
      </c>
      <c r="J16" s="39">
        <v>0.01</v>
      </c>
      <c r="K16" s="68">
        <v>12</v>
      </c>
      <c r="M16" s="95">
        <v>22</v>
      </c>
      <c r="N16" s="94" t="s">
        <v>1021</v>
      </c>
      <c r="O16" s="18">
        <v>21</v>
      </c>
      <c r="P16" s="8"/>
      <c r="Q16" s="94" t="s">
        <v>1021</v>
      </c>
      <c r="R16" s="102">
        <f t="array" ref="R16">IFERROR(AVERAGE(IF(($N$3:$N$33=$Q16)*($M$3:$M$33&gt;=R$13)*($M$3:$M$33&lt;R$14),$O$3:$O$33)),"")</f>
        <v>20.5</v>
      </c>
      <c r="S16" s="102">
        <f t="array" ref="S16">IFERROR(AVERAGE(IF(($N$3:$N$33=$Q16)*($M$3:$M$33&gt;=S$13)*($M$3:$M$33&lt;S$14),$O$3:$O$33)),"")</f>
        <v>21</v>
      </c>
      <c r="T16" s="102" t="str">
        <f t="array" ref="T16">IFERROR(AVERAGE(IF(($N$3:$N$33=$Q16)*($M$3:$M$33&gt;=T$13)*($M$3:$M$33&lt;T$14),$O$3:$O$33)),"")</f>
        <v/>
      </c>
      <c r="U16" s="102">
        <f t="array" ref="U16">IFERROR(AVERAGE(IF(($N$3:$N$33=$Q16)*($M$3:$M$33&gt;=U$13)*($M$3:$M$33&lt;U$14),$O$3:$O$33)),"")</f>
        <v>5</v>
      </c>
      <c r="V16" s="102">
        <f t="array" ref="V16">IFERROR(AVERAGE(IF(($N$3:$N$33=$Q16)*($M$3:$M$33&gt;=V$13)*($M$3:$M$33&lt;V$14),$O$3:$O$33)),"")</f>
        <v>23</v>
      </c>
      <c r="W16" s="8"/>
      <c r="Z16" s="8"/>
    </row>
    <row r="17" spans="1:26">
      <c r="A17" s="36" t="s">
        <v>850</v>
      </c>
      <c r="B17" s="36" t="s">
        <v>1023</v>
      </c>
      <c r="C17" s="68">
        <v>110</v>
      </c>
      <c r="D17" s="67">
        <v>3000</v>
      </c>
      <c r="E17" s="67">
        <f t="shared" si="0"/>
        <v>330000</v>
      </c>
      <c r="G17" s="36" t="s">
        <v>1059</v>
      </c>
      <c r="H17" s="67">
        <v>5130000</v>
      </c>
      <c r="I17" s="36" t="s">
        <v>1045</v>
      </c>
      <c r="J17" s="39">
        <v>0.03</v>
      </c>
      <c r="K17" s="68">
        <v>12</v>
      </c>
      <c r="M17" s="95">
        <v>21</v>
      </c>
      <c r="N17" s="94" t="s">
        <v>1034</v>
      </c>
      <c r="O17" s="18">
        <v>20</v>
      </c>
      <c r="P17" s="8"/>
      <c r="Q17" s="94" t="s">
        <v>1034</v>
      </c>
      <c r="R17" s="102">
        <f t="array" ref="R17">IFERROR(AVERAGE(IF(($N$3:$N$33=$Q17)*($M$3:$M$33&gt;=R$13)*($M$3:$M$33&lt;R$14),$O$3:$O$33)),"")</f>
        <v>9</v>
      </c>
      <c r="S17" s="102">
        <f t="array" ref="S17">IFERROR(AVERAGE(IF(($N$3:$N$33=$Q17)*($M$3:$M$33&gt;=S$13)*($M$3:$M$33&lt;S$14),$O$3:$O$33)),"")</f>
        <v>8.6666666666666661</v>
      </c>
      <c r="T17" s="102" t="str">
        <f t="array" ref="T17">IFERROR(AVERAGE(IF(($N$3:$N$33=$Q17)*($M$3:$M$33&gt;=T$13)*($M$3:$M$33&lt;T$14),$O$3:$O$33)),"")</f>
        <v/>
      </c>
      <c r="U17" s="102">
        <f t="array" ref="U17">IFERROR(AVERAGE(IF(($N$3:$N$33=$Q17)*($M$3:$M$33&gt;=U$13)*($M$3:$M$33&lt;U$14),$O$3:$O$33)),"")</f>
        <v>13</v>
      </c>
      <c r="V17" s="102" t="str">
        <f t="array" ref="V17">IFERROR(AVERAGE(IF(($N$3:$N$33=$Q17)*($M$3:$M$33&gt;=V$13)*($M$3:$M$33&lt;V$14),$O$3:$O$33)),"")</f>
        <v/>
      </c>
      <c r="W17" s="8"/>
      <c r="Z17" s="8"/>
    </row>
    <row r="18" spans="1:26">
      <c r="A18" s="36" t="s">
        <v>1058</v>
      </c>
      <c r="B18" s="36" t="s">
        <v>1050</v>
      </c>
      <c r="C18" s="68">
        <v>45</v>
      </c>
      <c r="D18" s="67">
        <v>1500</v>
      </c>
      <c r="E18" s="67">
        <f t="shared" si="0"/>
        <v>67500</v>
      </c>
      <c r="G18" s="36" t="s">
        <v>1057</v>
      </c>
      <c r="H18" s="67">
        <v>857000</v>
      </c>
      <c r="I18" s="36" t="s">
        <v>1046</v>
      </c>
      <c r="J18" s="39">
        <v>0.02</v>
      </c>
      <c r="K18" s="68">
        <v>3</v>
      </c>
      <c r="M18" s="95">
        <v>13</v>
      </c>
      <c r="N18" s="94" t="s">
        <v>1056</v>
      </c>
      <c r="O18" s="18">
        <v>8</v>
      </c>
      <c r="P18" s="8"/>
      <c r="Q18" s="94" t="s">
        <v>1056</v>
      </c>
      <c r="R18" s="102">
        <f t="array" ref="R18">IFERROR(AVERAGE(IF(($N$3:$N$33=$Q18)*($M$3:$M$33&gt;=R$13)*($M$3:$M$33&lt;R$14),$O$3:$O$33)),"")</f>
        <v>7.666666666666667</v>
      </c>
      <c r="S18" s="102">
        <f t="array" ref="S18">IFERROR(AVERAGE(IF(($N$3:$N$33=$Q18)*($M$3:$M$33&gt;=S$13)*($M$3:$M$33&lt;S$14),$O$3:$O$33)),"")</f>
        <v>16.5</v>
      </c>
      <c r="T18" s="102" t="str">
        <f t="array" ref="T18">IFERROR(AVERAGE(IF(($N$3:$N$33=$Q18)*($M$3:$M$33&gt;=T$13)*($M$3:$M$33&lt;T$14),$O$3:$O$33)),"")</f>
        <v/>
      </c>
      <c r="U18" s="102">
        <f t="array" ref="U18">IFERROR(AVERAGE(IF(($N$3:$N$33=$Q18)*($M$3:$M$33&gt;=U$13)*($M$3:$M$33&lt;U$14),$O$3:$O$33)),"")</f>
        <v>5</v>
      </c>
      <c r="V18" s="102">
        <f t="array" ref="V18">IFERROR(AVERAGE(IF(($N$3:$N$33=$Q18)*($M$3:$M$33&gt;=V$13)*($M$3:$M$33&lt;V$14),$O$3:$O$33)),"")</f>
        <v>7</v>
      </c>
    </row>
    <row r="19" spans="1:26">
      <c r="A19" s="36" t="s">
        <v>1055</v>
      </c>
      <c r="B19" s="36" t="s">
        <v>1054</v>
      </c>
      <c r="C19" s="68">
        <v>50</v>
      </c>
      <c r="D19" s="67">
        <v>2500</v>
      </c>
      <c r="E19" s="67">
        <f t="shared" si="0"/>
        <v>125000</v>
      </c>
      <c r="G19" s="36" t="s">
        <v>1053</v>
      </c>
      <c r="H19" s="67">
        <v>5840000</v>
      </c>
      <c r="I19" s="36" t="s">
        <v>1047</v>
      </c>
      <c r="J19" s="39">
        <v>0.03</v>
      </c>
      <c r="K19" s="68">
        <v>12</v>
      </c>
      <c r="M19" s="95">
        <v>29</v>
      </c>
      <c r="N19" s="94" t="s">
        <v>1041</v>
      </c>
      <c r="O19" s="18">
        <v>24</v>
      </c>
      <c r="P19" s="8"/>
      <c r="T19" s="8"/>
    </row>
    <row r="20" spans="1:26">
      <c r="A20" s="36" t="s">
        <v>1051</v>
      </c>
      <c r="B20" s="36" t="s">
        <v>1050</v>
      </c>
      <c r="C20" s="68">
        <v>80</v>
      </c>
      <c r="D20" s="67">
        <v>1500</v>
      </c>
      <c r="E20" s="67">
        <f t="shared" si="0"/>
        <v>120000</v>
      </c>
      <c r="J20" s="60"/>
      <c r="K20" s="101"/>
      <c r="M20" s="95">
        <v>61</v>
      </c>
      <c r="N20" s="94" t="s">
        <v>1021</v>
      </c>
      <c r="O20" s="18">
        <v>23</v>
      </c>
      <c r="P20" s="8"/>
      <c r="T20" s="8"/>
    </row>
    <row r="21" spans="1:26">
      <c r="G21" s="99" t="s">
        <v>1049</v>
      </c>
      <c r="M21" s="95">
        <v>12</v>
      </c>
      <c r="N21" s="94" t="s">
        <v>1021</v>
      </c>
      <c r="O21" s="18">
        <v>20</v>
      </c>
      <c r="P21" s="8"/>
      <c r="T21" s="8"/>
    </row>
    <row r="22" spans="1:26">
      <c r="A22" t="s">
        <v>1048</v>
      </c>
      <c r="G22" s="36" t="s">
        <v>1080</v>
      </c>
      <c r="H22" s="79" t="s">
        <v>1047</v>
      </c>
      <c r="I22" s="79" t="s">
        <v>1046</v>
      </c>
      <c r="J22" s="79" t="s">
        <v>1045</v>
      </c>
      <c r="M22" s="95">
        <v>64</v>
      </c>
      <c r="N22" s="94" t="s">
        <v>1056</v>
      </c>
      <c r="O22" s="18">
        <v>7</v>
      </c>
      <c r="P22" s="8"/>
      <c r="T22" s="8"/>
    </row>
    <row r="23" spans="1:26">
      <c r="A23" s="36" t="s">
        <v>1044</v>
      </c>
      <c r="B23" s="36" t="s">
        <v>1084</v>
      </c>
      <c r="C23" s="79" t="s">
        <v>1043</v>
      </c>
      <c r="D23" s="79" t="s">
        <v>1042</v>
      </c>
      <c r="G23" s="100">
        <v>3</v>
      </c>
      <c r="H23" s="36" t="str">
        <f t="array" ref="H23">REPT("★",SUM(IF(($K$3:$K$19=$G23)*($I$3:$I$19=H$22),1)))</f>
        <v>★★</v>
      </c>
      <c r="I23" s="36" t="str">
        <f t="array" ref="I23">REPT("★",SUM(IF(($K$3:$K$19=$G23)*($I$3:$I$19=I$22),1)))</f>
        <v>★★★★</v>
      </c>
      <c r="J23" s="36" t="str">
        <f t="array" ref="J23">REPT("★",SUM(IF(($K$3:$K$19=$G23)*($I$3:$I$19=J$22),1)))</f>
        <v>★★</v>
      </c>
      <c r="M23" s="95">
        <v>29</v>
      </c>
      <c r="N23" s="94" t="s">
        <v>1041</v>
      </c>
      <c r="O23" s="18">
        <v>17</v>
      </c>
      <c r="P23" s="8"/>
      <c r="T23" s="8"/>
    </row>
    <row r="24" spans="1:26">
      <c r="A24" s="36" t="s">
        <v>1093</v>
      </c>
      <c r="B24" s="36" t="s">
        <v>1039</v>
      </c>
      <c r="C24" s="67">
        <f t="array" ref="C24">AVERAGE(IF(LEFT($B$3:$B$20,2)=$B24,C$3:C$20))</f>
        <v>57.454545454545453</v>
      </c>
      <c r="D24" s="67">
        <f t="array" ref="D24">AVERAGE(IF(LEFT($B$3:$B$20,2)=$B24,D$3:D$20))</f>
        <v>3081.818181818182</v>
      </c>
      <c r="G24" s="100">
        <v>6</v>
      </c>
      <c r="H24" s="36" t="str">
        <f t="array" ref="H24">REPT("★",SUM(IF(($K$3:$K$19=$G24)*($I$3:$I$19=H$22),1)))</f>
        <v>★★</v>
      </c>
      <c r="I24" s="36" t="str">
        <f t="array" ref="I24">REPT("★",SUM(IF(($K$3:$K$19=$G24)*($I$3:$I$19=I$22),1)))</f>
        <v/>
      </c>
      <c r="J24" s="36" t="str">
        <f t="array" ref="J24">REPT("★",SUM(IF(($K$3:$K$19=$G24)*($I$3:$I$19=J$22),1)))</f>
        <v>★</v>
      </c>
      <c r="M24" s="95">
        <v>17</v>
      </c>
      <c r="N24" s="94" t="s">
        <v>1021</v>
      </c>
      <c r="O24" s="18">
        <v>21</v>
      </c>
      <c r="P24" s="8"/>
      <c r="T24" s="8"/>
    </row>
    <row r="25" spans="1:26">
      <c r="A25" s="36" t="s">
        <v>1038</v>
      </c>
      <c r="B25" s="36" t="s">
        <v>1037</v>
      </c>
      <c r="C25" s="67">
        <f t="array" ref="C25">AVERAGE(IF(LEFT($B$3:$B$20,2)=$B25,C$3:C$20))</f>
        <v>66.428571428571431</v>
      </c>
      <c r="D25" s="67">
        <f t="array" ref="D25">AVERAGE(IF(LEFT($B$3:$B$20,2)=$B25,D$3:D$20))</f>
        <v>2142.8571428571427</v>
      </c>
      <c r="G25" s="100">
        <v>12</v>
      </c>
      <c r="H25" s="36" t="str">
        <f t="array" ref="H25">REPT("★",SUM(IF(($K$3:$K$19=$G25)*($I$3:$I$19=H$22),1)))</f>
        <v>★★</v>
      </c>
      <c r="I25" s="36" t="str">
        <f t="array" ref="I25">REPT("★",SUM(IF(($K$3:$K$19=$G25)*($I$3:$I$19=I$22),1)))</f>
        <v>★★</v>
      </c>
      <c r="J25" s="36" t="str">
        <f t="array" ref="J25">REPT("★",SUM(IF(($K$3:$K$19=$G25)*($I$3:$I$19=J$22),1)))</f>
        <v>★★</v>
      </c>
      <c r="M25" s="95">
        <v>29</v>
      </c>
      <c r="N25" s="94" t="s">
        <v>1034</v>
      </c>
      <c r="O25" s="18">
        <v>2</v>
      </c>
      <c r="P25" s="8"/>
      <c r="T25" s="8"/>
      <c r="U25" s="8"/>
      <c r="V25" s="8"/>
      <c r="W25" s="8"/>
      <c r="Z25" s="8"/>
    </row>
    <row r="26" spans="1:26">
      <c r="M26" s="95">
        <v>26</v>
      </c>
      <c r="N26" s="94" t="s">
        <v>1034</v>
      </c>
      <c r="O26" s="18">
        <v>4</v>
      </c>
      <c r="P26" s="8"/>
      <c r="T26" s="8"/>
      <c r="U26" s="8"/>
      <c r="V26" s="8"/>
      <c r="W26" s="8"/>
      <c r="Z26" s="8"/>
    </row>
    <row r="27" spans="1:26">
      <c r="A27" t="s">
        <v>1092</v>
      </c>
      <c r="G27" s="99" t="s">
        <v>1091</v>
      </c>
      <c r="M27" s="95">
        <v>59</v>
      </c>
      <c r="N27" s="94" t="s">
        <v>1034</v>
      </c>
      <c r="O27" s="18">
        <v>2</v>
      </c>
      <c r="P27" s="8"/>
      <c r="Q27" s="19"/>
      <c r="R27" s="8"/>
      <c r="S27" s="8"/>
      <c r="T27" s="8"/>
      <c r="U27" s="8"/>
      <c r="V27" s="8"/>
      <c r="W27" s="8"/>
      <c r="Z27" s="8"/>
    </row>
    <row r="28" spans="1:26">
      <c r="A28" s="36" t="s">
        <v>1084</v>
      </c>
      <c r="B28" s="79" t="s">
        <v>1033</v>
      </c>
      <c r="G28" s="36" t="s">
        <v>1032</v>
      </c>
      <c r="H28" s="79" t="s">
        <v>1047</v>
      </c>
      <c r="I28" s="79" t="s">
        <v>1046</v>
      </c>
      <c r="J28" s="79" t="s">
        <v>1045</v>
      </c>
      <c r="M28" s="95">
        <v>43</v>
      </c>
      <c r="N28" s="94" t="s">
        <v>1021</v>
      </c>
      <c r="O28" s="18">
        <v>5</v>
      </c>
      <c r="P28" s="8"/>
      <c r="Q28" s="19"/>
      <c r="R28" s="8"/>
      <c r="S28" s="8"/>
      <c r="T28" s="8"/>
      <c r="U28" s="8"/>
      <c r="V28" s="8"/>
      <c r="W28" s="8"/>
      <c r="Z28" s="8"/>
    </row>
    <row r="29" spans="1:26">
      <c r="A29" s="68" t="s">
        <v>1030</v>
      </c>
      <c r="B29" s="68" t="str">
        <f t="array" ref="B29">REPT("★",QUOTIENT(SUM(($B$3:$B$20=A29)*$E$3:$E$20),100000))</f>
        <v>★★★</v>
      </c>
      <c r="D29" s="98"/>
      <c r="G29" s="97" t="s">
        <v>1029</v>
      </c>
      <c r="H29" s="96">
        <f t="array" ref="H29">AVERAGE(IF((RIGHT($G$3:$G$19,2)=$G29)*($I$3:$I$19=H$28),$H$3:$H$19))</f>
        <v>3700000</v>
      </c>
      <c r="I29" s="96">
        <f t="array" ref="I29">AVERAGE(IF((RIGHT($G$3:$G$19,2)=$G29)*($I$3:$I$19=I$28),$H$3:$H$19))</f>
        <v>2540000</v>
      </c>
      <c r="J29" s="96">
        <f t="array" ref="J29">AVERAGE(IF((RIGHT($G$3:$G$19,2)=$G29)*($I$3:$I$19=J$28),$H$3:$H$19))</f>
        <v>2840000</v>
      </c>
      <c r="M29" s="95">
        <v>53</v>
      </c>
      <c r="N29" s="94" t="s">
        <v>1034</v>
      </c>
      <c r="O29" s="18">
        <v>21</v>
      </c>
      <c r="P29" s="8"/>
      <c r="Q29" s="19"/>
      <c r="R29" s="8"/>
      <c r="S29" s="8"/>
      <c r="T29" s="8"/>
      <c r="U29" s="8"/>
      <c r="V29" s="8"/>
      <c r="W29" s="8"/>
      <c r="Z29" s="8"/>
    </row>
    <row r="30" spans="1:26">
      <c r="A30" s="68" t="s">
        <v>1050</v>
      </c>
      <c r="B30" s="68" t="str">
        <f t="array" ref="B30">REPT("★",QUOTIENT(SUM(($B$3:$B$20=A30)*$E$3:$E$20),100000))</f>
        <v>★★★</v>
      </c>
      <c r="G30" s="97" t="s">
        <v>1090</v>
      </c>
      <c r="H30" s="96">
        <f t="array" ref="H30">AVERAGE(IF((RIGHT($G$3:$G$19,2)=$G30)*($I$3:$I$19=H$28),$H$3:$H$19))</f>
        <v>1040000</v>
      </c>
      <c r="I30" s="96">
        <f t="array" ref="I30">AVERAGE(IF((RIGHT($G$3:$G$19,2)=$G30)*($I$3:$I$19=I$28),$H$3:$H$19))</f>
        <v>3512000</v>
      </c>
      <c r="J30" s="96">
        <f t="array" ref="J30">AVERAGE(IF((RIGHT($G$3:$G$19,2)=$G30)*($I$3:$I$19=J$28),$H$3:$H$19))</f>
        <v>6500000</v>
      </c>
      <c r="M30" s="95">
        <v>29</v>
      </c>
      <c r="N30" s="94" t="s">
        <v>1056</v>
      </c>
      <c r="O30" s="18">
        <v>18</v>
      </c>
      <c r="P30" s="8"/>
      <c r="Q30" s="19"/>
      <c r="R30" s="8"/>
      <c r="S30" s="8"/>
      <c r="T30" s="8"/>
      <c r="U30" s="8"/>
      <c r="V30" s="8"/>
      <c r="W30" s="8"/>
      <c r="Z30" s="8"/>
    </row>
    <row r="31" spans="1:26">
      <c r="A31" s="68" t="s">
        <v>1026</v>
      </c>
      <c r="B31" s="68" t="str">
        <f t="array" ref="B31">REPT("★",QUOTIENT(SUM(($B$3:$B$20=A31)*$E$3:$E$20),100000))</f>
        <v>★★★★★★★</v>
      </c>
      <c r="G31" s="97" t="s">
        <v>1089</v>
      </c>
      <c r="H31" s="96">
        <f t="array" ref="H31">AVERAGE(IF((RIGHT($G$3:$G$19,2)=$G31)*($I$3:$I$19=H$28),$H$3:$H$19))</f>
        <v>985200</v>
      </c>
      <c r="I31" s="96">
        <f t="array" ref="I31">AVERAGE(IF((RIGHT($G$3:$G$19,2)=$G31)*($I$3:$I$19=I$28),$H$3:$H$19))</f>
        <v>803500</v>
      </c>
      <c r="J31" s="96">
        <f t="array" ref="J31">AVERAGE(IF((RIGHT($G$3:$G$19,2)=$G31)*($I$3:$I$19=J$28),$H$3:$H$19))</f>
        <v>1000000</v>
      </c>
      <c r="M31" s="95">
        <v>18</v>
      </c>
      <c r="N31" s="94" t="s">
        <v>1041</v>
      </c>
      <c r="O31" s="18">
        <v>9</v>
      </c>
      <c r="P31" s="8"/>
      <c r="Q31" s="19"/>
      <c r="R31" s="8"/>
      <c r="S31" s="8"/>
      <c r="T31" s="8"/>
      <c r="U31" s="8"/>
      <c r="V31" s="8"/>
      <c r="W31" s="8"/>
      <c r="X31" s="8"/>
      <c r="Y31" s="8"/>
      <c r="Z31" s="8"/>
    </row>
    <row r="32" spans="1:26">
      <c r="A32" s="68" t="s">
        <v>1023</v>
      </c>
      <c r="B32" s="68" t="str">
        <f t="array" ref="B32">REPT("★",QUOTIENT(SUM(($B$3:$B$20=A32)*$E$3:$E$20),100000))</f>
        <v>★★★★★★</v>
      </c>
      <c r="G32" s="97" t="s">
        <v>1088</v>
      </c>
      <c r="H32" s="96">
        <f t="array" ref="H32">AVERAGE(IF((RIGHT($G$3:$G$19,2)=$G32)*($I$3:$I$19=H$28),$H$3:$H$19))</f>
        <v>7410000</v>
      </c>
      <c r="I32" s="96">
        <f t="array" ref="I32">AVERAGE(IF((RIGHT($G$3:$G$19,2)=$G32)*($I$3:$I$19=I$28),$H$3:$H$19))</f>
        <v>150000</v>
      </c>
      <c r="J32" s="96">
        <f t="array" ref="J32">AVERAGE(IF((RIGHT($G$3:$G$19,2)=$G32)*($I$3:$I$19=J$28),$H$3:$H$19))</f>
        <v>5130000</v>
      </c>
      <c r="M32" s="95">
        <v>41</v>
      </c>
      <c r="N32" s="94" t="s">
        <v>1021</v>
      </c>
      <c r="O32" s="18">
        <v>7</v>
      </c>
      <c r="P32" s="8"/>
      <c r="Q32" s="19"/>
      <c r="R32" s="8"/>
      <c r="S32" s="8"/>
      <c r="T32" s="8"/>
      <c r="U32" s="8"/>
      <c r="V32" s="8"/>
      <c r="W32" s="8"/>
      <c r="X32" s="8"/>
      <c r="Y32" s="8"/>
      <c r="Z32" s="8"/>
    </row>
    <row r="33" spans="1:26">
      <c r="A33" s="68" t="s">
        <v>1054</v>
      </c>
      <c r="B33" s="68" t="str">
        <f t="array" ref="B33">REPT("★",QUOTIENT(SUM(($B$3:$B$20=A33)*$E$3:$E$20),100000))</f>
        <v>★★★★★★★</v>
      </c>
      <c r="M33" s="95">
        <v>8</v>
      </c>
      <c r="N33" s="94" t="s">
        <v>1034</v>
      </c>
      <c r="O33" s="18">
        <v>9</v>
      </c>
      <c r="P33" s="8"/>
      <c r="Q33" s="19"/>
      <c r="R33" s="8"/>
      <c r="S33" s="8"/>
      <c r="T33" s="8"/>
      <c r="U33" s="8"/>
      <c r="V33" s="8"/>
      <c r="W33" s="8"/>
      <c r="X33" s="8"/>
      <c r="Y33" s="8"/>
      <c r="Z33" s="8"/>
    </row>
    <row r="34" spans="1:26">
      <c r="P34" s="8"/>
      <c r="Q34" s="19"/>
      <c r="R34" s="8"/>
      <c r="S34" s="8"/>
      <c r="T34" s="8"/>
      <c r="U34" s="8"/>
      <c r="V34" s="8"/>
      <c r="W34" s="8"/>
      <c r="X34" s="8"/>
      <c r="Y34" s="8"/>
      <c r="Z34" s="8"/>
    </row>
    <row r="35" spans="1:26">
      <c r="P35" s="8"/>
      <c r="Q35" s="19"/>
      <c r="R35" s="8"/>
      <c r="S35" s="8"/>
      <c r="T35" s="8"/>
      <c r="U35" s="8"/>
      <c r="V35" s="8"/>
      <c r="W35" s="8"/>
      <c r="X35" s="8"/>
      <c r="Y35" s="8"/>
      <c r="Z35" s="8"/>
    </row>
    <row r="36" spans="1:26">
      <c r="P36" s="8"/>
      <c r="Q36" s="19"/>
      <c r="R36" s="8"/>
      <c r="S36" s="8"/>
      <c r="T36" s="8"/>
      <c r="U36" s="8"/>
      <c r="V36" s="8"/>
      <c r="W36" s="8"/>
      <c r="X36" s="8"/>
      <c r="Y36" s="8"/>
      <c r="Z36" s="8"/>
    </row>
    <row r="37" spans="1:26">
      <c r="P37" s="8"/>
      <c r="Q37" s="19"/>
      <c r="R37" s="8"/>
      <c r="S37" s="8"/>
      <c r="T37" s="8"/>
      <c r="U37" s="8"/>
      <c r="V37" s="8"/>
      <c r="W37" s="8"/>
      <c r="X37" s="8"/>
      <c r="Y37" s="8"/>
      <c r="Z37" s="8"/>
    </row>
    <row r="38" spans="1:26">
      <c r="P38" s="8"/>
      <c r="Q38" s="19"/>
      <c r="R38" s="8"/>
      <c r="S38" s="8"/>
      <c r="T38" s="8"/>
      <c r="U38" s="5"/>
      <c r="V38" s="5"/>
      <c r="W38" s="5"/>
      <c r="X38" s="8"/>
      <c r="Y38" s="8"/>
      <c r="Z38" s="8"/>
    </row>
  </sheetData>
  <mergeCells count="2">
    <mergeCell ref="Q3:R3"/>
    <mergeCell ref="Q13:Q14"/>
  </mergeCells>
  <phoneticPr fontId="2" type="noConversion"/>
  <pageMargins left="0.7" right="0.7" top="0.75" bottom="0.75" header="0.3" footer="0.3"/>
  <ignoredErrors>
    <ignoredError sqref="G29:G32" numberStoredAsText="1"/>
  </ignoredError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18068-5C7F-45D0-BEBF-393F7C6571C6}">
  <dimension ref="A1:V40"/>
  <sheetViews>
    <sheetView workbookViewId="0"/>
  </sheetViews>
  <sheetFormatPr defaultRowHeight="16.5"/>
  <cols>
    <col min="1" max="4" width="9" style="14"/>
    <col min="5" max="5" width="1.625" style="14" customWidth="1"/>
    <col min="6" max="6" width="9.875" style="14" bestFit="1" customWidth="1"/>
    <col min="7" max="7" width="11.875" style="14" bestFit="1" customWidth="1"/>
    <col min="8" max="9" width="9" style="14"/>
    <col min="10" max="10" width="1.625" style="14" customWidth="1"/>
    <col min="11" max="11" width="10.25" style="14" bestFit="1" customWidth="1"/>
    <col min="12" max="14" width="9" style="14"/>
    <col min="15" max="15" width="14.375" style="14" bestFit="1" customWidth="1"/>
    <col min="16" max="16" width="1.625" style="14" customWidth="1"/>
    <col min="17" max="20" width="9" style="14"/>
    <col min="21" max="21" width="13.75" style="14" bestFit="1" customWidth="1"/>
    <col min="22" max="16384" width="9" style="14"/>
  </cols>
  <sheetData>
    <row r="1" spans="1:21" ht="17.25">
      <c r="A1" s="179" t="s">
        <v>2</v>
      </c>
      <c r="B1" s="179"/>
      <c r="C1" s="179"/>
      <c r="D1" s="179"/>
      <c r="F1" s="179" t="s">
        <v>49</v>
      </c>
      <c r="G1" s="179"/>
      <c r="H1" s="179"/>
      <c r="I1" s="179"/>
      <c r="K1" s="14" t="s">
        <v>375</v>
      </c>
      <c r="Q1" s="14" t="s">
        <v>376</v>
      </c>
    </row>
    <row r="2" spans="1:21">
      <c r="A2" s="180" t="s">
        <v>304</v>
      </c>
      <c r="B2" s="180" t="s">
        <v>1262</v>
      </c>
      <c r="C2" s="180" t="s">
        <v>1263</v>
      </c>
      <c r="D2" s="180" t="s">
        <v>1442</v>
      </c>
      <c r="F2" s="180" t="s">
        <v>1423</v>
      </c>
      <c r="G2" s="180" t="s">
        <v>1424</v>
      </c>
      <c r="H2" s="180" t="s">
        <v>1425</v>
      </c>
      <c r="I2" s="180" t="s">
        <v>1427</v>
      </c>
      <c r="K2" s="63" t="s">
        <v>1482</v>
      </c>
      <c r="L2" s="63" t="s">
        <v>6</v>
      </c>
      <c r="M2" s="63" t="s">
        <v>1237</v>
      </c>
      <c r="N2" s="63" t="s">
        <v>277</v>
      </c>
      <c r="O2" s="79" t="s">
        <v>1261</v>
      </c>
      <c r="Q2" s="63" t="s">
        <v>1431</v>
      </c>
      <c r="R2" s="63" t="s">
        <v>57</v>
      </c>
      <c r="S2" s="63" t="s">
        <v>1331</v>
      </c>
      <c r="T2" s="63" t="s">
        <v>1434</v>
      </c>
      <c r="U2" s="63" t="s">
        <v>1517</v>
      </c>
    </row>
    <row r="3" spans="1:21">
      <c r="A3" s="138" t="s">
        <v>313</v>
      </c>
      <c r="B3" s="181">
        <v>75</v>
      </c>
      <c r="C3" s="181">
        <v>95</v>
      </c>
      <c r="D3" s="181">
        <v>50</v>
      </c>
      <c r="F3" s="194" t="s">
        <v>1447</v>
      </c>
      <c r="G3" s="182" t="s">
        <v>1470</v>
      </c>
      <c r="H3" s="183">
        <v>218</v>
      </c>
      <c r="I3" s="182" t="s">
        <v>1462</v>
      </c>
      <c r="K3" s="63" t="s">
        <v>1477</v>
      </c>
      <c r="L3" s="63" t="s">
        <v>1429</v>
      </c>
      <c r="M3" s="63" t="s">
        <v>209</v>
      </c>
      <c r="N3" s="149">
        <v>500</v>
      </c>
      <c r="O3" s="63"/>
      <c r="Q3" s="63" t="s">
        <v>1486</v>
      </c>
      <c r="R3" s="63" t="s">
        <v>1402</v>
      </c>
      <c r="S3" s="63">
        <v>4.5</v>
      </c>
      <c r="T3" s="63" t="s">
        <v>1435</v>
      </c>
      <c r="U3" s="63" t="s">
        <v>1513</v>
      </c>
    </row>
    <row r="4" spans="1:21">
      <c r="A4" s="185" t="s">
        <v>1102</v>
      </c>
      <c r="B4" s="181">
        <v>90</v>
      </c>
      <c r="C4" s="181">
        <v>80</v>
      </c>
      <c r="D4" s="181">
        <v>94</v>
      </c>
      <c r="F4" s="194" t="s">
        <v>1448</v>
      </c>
      <c r="G4" s="182" t="s">
        <v>1471</v>
      </c>
      <c r="H4" s="183">
        <v>145</v>
      </c>
      <c r="I4" s="182" t="s">
        <v>1463</v>
      </c>
      <c r="K4" s="63" t="s">
        <v>1478</v>
      </c>
      <c r="L4" s="63" t="s">
        <v>1430</v>
      </c>
      <c r="M4" s="63" t="s">
        <v>165</v>
      </c>
      <c r="N4" s="149">
        <v>420</v>
      </c>
      <c r="O4" s="63"/>
      <c r="Q4" s="63" t="s">
        <v>1487</v>
      </c>
      <c r="R4" s="63" t="s">
        <v>1403</v>
      </c>
      <c r="S4" s="63">
        <v>4.5</v>
      </c>
      <c r="T4" s="63" t="s">
        <v>1435</v>
      </c>
      <c r="U4" s="63" t="s">
        <v>1502</v>
      </c>
    </row>
    <row r="5" spans="1:21">
      <c r="A5" s="138" t="s">
        <v>325</v>
      </c>
      <c r="B5" s="181">
        <v>87</v>
      </c>
      <c r="C5" s="181">
        <v>97</v>
      </c>
      <c r="D5" s="181">
        <v>70</v>
      </c>
      <c r="F5" s="194" t="s">
        <v>1449</v>
      </c>
      <c r="G5" s="182" t="s">
        <v>1472</v>
      </c>
      <c r="H5" s="183">
        <v>113</v>
      </c>
      <c r="I5" s="182" t="s">
        <v>1464</v>
      </c>
      <c r="K5" s="63" t="s">
        <v>1479</v>
      </c>
      <c r="L5" s="63" t="s">
        <v>1430</v>
      </c>
      <c r="M5" s="63" t="s">
        <v>209</v>
      </c>
      <c r="N5" s="149">
        <v>432</v>
      </c>
      <c r="O5" s="63"/>
      <c r="Q5" s="63" t="s">
        <v>1488</v>
      </c>
      <c r="R5" s="63" t="s">
        <v>1404</v>
      </c>
      <c r="S5" s="63">
        <v>3.5</v>
      </c>
      <c r="T5" s="63" t="s">
        <v>1436</v>
      </c>
      <c r="U5" s="63" t="s">
        <v>1514</v>
      </c>
    </row>
    <row r="6" spans="1:21">
      <c r="A6" s="142" t="s">
        <v>1095</v>
      </c>
      <c r="B6" s="181">
        <v>90</v>
      </c>
      <c r="C6" s="181">
        <v>87</v>
      </c>
      <c r="D6" s="181">
        <v>88</v>
      </c>
      <c r="F6" s="194" t="s">
        <v>1450</v>
      </c>
      <c r="G6" s="182" t="s">
        <v>1473</v>
      </c>
      <c r="H6" s="183">
        <v>187</v>
      </c>
      <c r="I6" s="182" t="s">
        <v>1465</v>
      </c>
      <c r="K6" s="63" t="s">
        <v>1477</v>
      </c>
      <c r="L6" s="63" t="s">
        <v>1429</v>
      </c>
      <c r="M6" s="63" t="s">
        <v>165</v>
      </c>
      <c r="N6" s="149">
        <v>365</v>
      </c>
      <c r="O6" s="63"/>
      <c r="Q6" s="63" t="s">
        <v>1489</v>
      </c>
      <c r="R6" s="63" t="s">
        <v>1405</v>
      </c>
      <c r="S6" s="63">
        <v>3</v>
      </c>
      <c r="T6" s="63" t="s">
        <v>1435</v>
      </c>
      <c r="U6" s="63" t="s">
        <v>1512</v>
      </c>
    </row>
    <row r="7" spans="1:21">
      <c r="A7" s="185" t="s">
        <v>1101</v>
      </c>
      <c r="B7" s="181">
        <v>89</v>
      </c>
      <c r="C7" s="181">
        <v>69</v>
      </c>
      <c r="D7" s="181">
        <v>37</v>
      </c>
      <c r="F7" s="194" t="s">
        <v>1451</v>
      </c>
      <c r="G7" s="182" t="s">
        <v>1474</v>
      </c>
      <c r="H7" s="183">
        <v>362</v>
      </c>
      <c r="I7" s="182" t="s">
        <v>1462</v>
      </c>
      <c r="K7" s="63" t="s">
        <v>1301</v>
      </c>
      <c r="L7" s="63" t="s">
        <v>1429</v>
      </c>
      <c r="M7" s="63" t="s">
        <v>160</v>
      </c>
      <c r="N7" s="149">
        <v>468</v>
      </c>
      <c r="O7" s="63"/>
      <c r="Q7" s="63" t="s">
        <v>1490</v>
      </c>
      <c r="R7" s="63" t="s">
        <v>1406</v>
      </c>
      <c r="S7" s="63">
        <v>5</v>
      </c>
      <c r="T7" s="63" t="s">
        <v>1435</v>
      </c>
      <c r="U7" s="63" t="s">
        <v>1510</v>
      </c>
    </row>
    <row r="8" spans="1:21">
      <c r="A8" s="185" t="s">
        <v>1101</v>
      </c>
      <c r="B8" s="181">
        <v>90</v>
      </c>
      <c r="C8" s="181">
        <v>85</v>
      </c>
      <c r="D8" s="181">
        <v>55</v>
      </c>
      <c r="F8" s="194" t="s">
        <v>1452</v>
      </c>
      <c r="G8" s="182" t="s">
        <v>1470</v>
      </c>
      <c r="H8" s="183">
        <v>403</v>
      </c>
      <c r="I8" s="182" t="s">
        <v>1464</v>
      </c>
      <c r="K8" s="63" t="s">
        <v>1299</v>
      </c>
      <c r="L8" s="63" t="s">
        <v>1430</v>
      </c>
      <c r="M8" s="63" t="s">
        <v>209</v>
      </c>
      <c r="N8" s="149">
        <v>436</v>
      </c>
      <c r="O8" s="63"/>
      <c r="Q8" s="63" t="s">
        <v>1491</v>
      </c>
      <c r="R8" s="63" t="s">
        <v>1407</v>
      </c>
      <c r="S8" s="63">
        <v>2.5</v>
      </c>
      <c r="T8" s="63" t="s">
        <v>1435</v>
      </c>
      <c r="U8" s="63" t="s">
        <v>1511</v>
      </c>
    </row>
    <row r="9" spans="1:21">
      <c r="A9" s="185" t="s">
        <v>1097</v>
      </c>
      <c r="B9" s="181">
        <v>99</v>
      </c>
      <c r="C9" s="181">
        <v>98</v>
      </c>
      <c r="D9" s="181">
        <v>76</v>
      </c>
      <c r="F9" s="194" t="s">
        <v>1453</v>
      </c>
      <c r="G9" s="182" t="s">
        <v>1471</v>
      </c>
      <c r="H9" s="183">
        <v>285</v>
      </c>
      <c r="I9" s="182" t="s">
        <v>1465</v>
      </c>
      <c r="K9" s="63" t="s">
        <v>1477</v>
      </c>
      <c r="L9" s="63" t="s">
        <v>1429</v>
      </c>
      <c r="M9" s="63" t="s">
        <v>165</v>
      </c>
      <c r="N9" s="149">
        <v>420</v>
      </c>
      <c r="O9" s="63"/>
      <c r="Q9" s="63" t="s">
        <v>1492</v>
      </c>
      <c r="R9" s="63" t="s">
        <v>1408</v>
      </c>
      <c r="S9" s="63">
        <v>2</v>
      </c>
      <c r="T9" s="63" t="s">
        <v>1435</v>
      </c>
      <c r="U9" s="63" t="s">
        <v>1515</v>
      </c>
    </row>
    <row r="10" spans="1:21">
      <c r="A10" s="142" t="s">
        <v>1103</v>
      </c>
      <c r="B10" s="181">
        <v>62</v>
      </c>
      <c r="C10" s="181">
        <v>43</v>
      </c>
      <c r="D10" s="181">
        <v>74</v>
      </c>
      <c r="F10" s="194" t="s">
        <v>1454</v>
      </c>
      <c r="G10" s="182" t="s">
        <v>1472</v>
      </c>
      <c r="H10" s="183">
        <v>194</v>
      </c>
      <c r="I10" s="182" t="s">
        <v>1462</v>
      </c>
      <c r="K10" s="63" t="s">
        <v>1478</v>
      </c>
      <c r="L10" s="63" t="s">
        <v>1429</v>
      </c>
      <c r="M10" s="63" t="s">
        <v>160</v>
      </c>
      <c r="N10" s="149">
        <v>363</v>
      </c>
      <c r="O10" s="63"/>
      <c r="Q10" s="63" t="s">
        <v>1493</v>
      </c>
      <c r="R10" s="63" t="s">
        <v>1409</v>
      </c>
      <c r="S10" s="63">
        <v>4.5</v>
      </c>
      <c r="T10" s="63" t="s">
        <v>1436</v>
      </c>
      <c r="U10" s="63" t="s">
        <v>1503</v>
      </c>
    </row>
    <row r="11" spans="1:21">
      <c r="A11" s="138" t="s">
        <v>309</v>
      </c>
      <c r="B11" s="181">
        <v>65</v>
      </c>
      <c r="C11" s="181">
        <v>99</v>
      </c>
      <c r="D11" s="181">
        <v>53</v>
      </c>
      <c r="F11" s="194" t="s">
        <v>1455</v>
      </c>
      <c r="G11" s="182" t="s">
        <v>1473</v>
      </c>
      <c r="H11" s="183">
        <v>249</v>
      </c>
      <c r="I11" s="182" t="s">
        <v>1463</v>
      </c>
      <c r="K11" s="63" t="s">
        <v>1479</v>
      </c>
      <c r="L11" s="63" t="s">
        <v>1430</v>
      </c>
      <c r="M11" s="63" t="s">
        <v>209</v>
      </c>
      <c r="N11" s="149">
        <v>498</v>
      </c>
      <c r="O11" s="63"/>
      <c r="Q11" s="63" t="s">
        <v>1494</v>
      </c>
      <c r="R11" s="63" t="s">
        <v>1410</v>
      </c>
      <c r="S11" s="63">
        <v>3</v>
      </c>
      <c r="T11" s="63" t="s">
        <v>1435</v>
      </c>
      <c r="U11" s="63" t="s">
        <v>1504</v>
      </c>
    </row>
    <row r="12" spans="1:21">
      <c r="A12" s="142" t="s">
        <v>1098</v>
      </c>
      <c r="B12" s="181">
        <v>38</v>
      </c>
      <c r="C12" s="181">
        <v>71</v>
      </c>
      <c r="D12" s="181">
        <v>59</v>
      </c>
      <c r="F12" s="194" t="s">
        <v>1456</v>
      </c>
      <c r="G12" s="182" t="s">
        <v>1474</v>
      </c>
      <c r="H12" s="183">
        <v>115</v>
      </c>
      <c r="I12" s="182" t="s">
        <v>1465</v>
      </c>
      <c r="K12" s="63" t="s">
        <v>1477</v>
      </c>
      <c r="L12" s="63" t="s">
        <v>1430</v>
      </c>
      <c r="M12" s="63" t="s">
        <v>165</v>
      </c>
      <c r="N12" s="149">
        <v>483</v>
      </c>
      <c r="O12" s="63"/>
      <c r="Q12" s="63" t="s">
        <v>1495</v>
      </c>
      <c r="R12" s="63" t="s">
        <v>1411</v>
      </c>
      <c r="S12" s="63">
        <v>5</v>
      </c>
      <c r="T12" s="63" t="s">
        <v>1436</v>
      </c>
      <c r="U12" s="63" t="s">
        <v>1505</v>
      </c>
    </row>
    <row r="13" spans="1:21">
      <c r="A13" s="138" t="s">
        <v>1443</v>
      </c>
      <c r="B13" s="181">
        <v>89</v>
      </c>
      <c r="C13" s="181">
        <v>69</v>
      </c>
      <c r="D13" s="181">
        <v>68</v>
      </c>
      <c r="F13" s="194" t="s">
        <v>1457</v>
      </c>
      <c r="G13" s="182" t="s">
        <v>1470</v>
      </c>
      <c r="H13" s="183">
        <v>140</v>
      </c>
      <c r="I13" s="182" t="s">
        <v>1464</v>
      </c>
      <c r="K13" s="63" t="s">
        <v>1301</v>
      </c>
      <c r="L13" s="63" t="s">
        <v>1429</v>
      </c>
      <c r="M13" s="63" t="s">
        <v>209</v>
      </c>
      <c r="N13" s="149">
        <v>309</v>
      </c>
      <c r="O13" s="63"/>
      <c r="Q13" s="63" t="s">
        <v>1496</v>
      </c>
      <c r="R13" s="63" t="s">
        <v>1412</v>
      </c>
      <c r="S13" s="63">
        <v>4</v>
      </c>
      <c r="T13" s="63" t="s">
        <v>1437</v>
      </c>
      <c r="U13" s="63" t="s">
        <v>1506</v>
      </c>
    </row>
    <row r="14" spans="1:21">
      <c r="A14" s="138" t="s">
        <v>317</v>
      </c>
      <c r="B14" s="181">
        <v>48</v>
      </c>
      <c r="C14" s="181">
        <v>64</v>
      </c>
      <c r="D14" s="181">
        <v>39</v>
      </c>
      <c r="F14" s="194" t="s">
        <v>1458</v>
      </c>
      <c r="G14" s="182" t="s">
        <v>1471</v>
      </c>
      <c r="H14" s="183">
        <v>180</v>
      </c>
      <c r="I14" s="182" t="s">
        <v>1462</v>
      </c>
      <c r="K14" s="63" t="s">
        <v>1299</v>
      </c>
      <c r="L14" s="63" t="s">
        <v>1429</v>
      </c>
      <c r="M14" s="63" t="s">
        <v>165</v>
      </c>
      <c r="N14" s="149">
        <v>423</v>
      </c>
      <c r="O14" s="63"/>
      <c r="Q14" s="63" t="s">
        <v>1497</v>
      </c>
      <c r="R14" s="63" t="s">
        <v>1410</v>
      </c>
      <c r="S14" s="63">
        <v>3.5</v>
      </c>
      <c r="T14" s="63" t="s">
        <v>1435</v>
      </c>
      <c r="U14" s="63" t="s">
        <v>1507</v>
      </c>
    </row>
    <row r="15" spans="1:21">
      <c r="A15" s="185" t="s">
        <v>1099</v>
      </c>
      <c r="B15" s="181">
        <v>42</v>
      </c>
      <c r="C15" s="181">
        <v>79</v>
      </c>
      <c r="D15" s="181">
        <v>9</v>
      </c>
      <c r="F15" s="194" t="s">
        <v>1459</v>
      </c>
      <c r="G15" s="182" t="s">
        <v>1472</v>
      </c>
      <c r="H15" s="183">
        <v>23</v>
      </c>
      <c r="I15" s="182" t="s">
        <v>1462</v>
      </c>
      <c r="K15" s="63" t="s">
        <v>1480</v>
      </c>
      <c r="L15" s="63" t="s">
        <v>1430</v>
      </c>
      <c r="M15" s="63" t="s">
        <v>160</v>
      </c>
      <c r="N15" s="149">
        <v>364</v>
      </c>
      <c r="O15" s="63"/>
      <c r="Q15" s="63" t="s">
        <v>1498</v>
      </c>
      <c r="R15" s="63" t="s">
        <v>1483</v>
      </c>
      <c r="S15" s="63">
        <v>4.5</v>
      </c>
      <c r="T15" s="63" t="s">
        <v>1435</v>
      </c>
      <c r="U15" s="63" t="s">
        <v>1508</v>
      </c>
    </row>
    <row r="16" spans="1:21">
      <c r="A16" s="142" t="s">
        <v>1100</v>
      </c>
      <c r="B16" s="181">
        <v>57</v>
      </c>
      <c r="C16" s="181">
        <v>95</v>
      </c>
      <c r="D16" s="181">
        <v>35</v>
      </c>
      <c r="F16" s="194" t="s">
        <v>1460</v>
      </c>
      <c r="G16" s="182" t="s">
        <v>1473</v>
      </c>
      <c r="H16" s="183">
        <v>123</v>
      </c>
      <c r="I16" s="182" t="s">
        <v>1463</v>
      </c>
      <c r="K16" s="63" t="s">
        <v>1300</v>
      </c>
      <c r="L16" s="63" t="s">
        <v>1429</v>
      </c>
      <c r="M16" s="63" t="s">
        <v>160</v>
      </c>
      <c r="N16" s="63">
        <v>470</v>
      </c>
      <c r="O16" s="63"/>
      <c r="Q16" s="63" t="s">
        <v>1499</v>
      </c>
      <c r="R16" s="63" t="s">
        <v>1484</v>
      </c>
      <c r="S16" s="63">
        <v>2</v>
      </c>
      <c r="T16" s="63" t="s">
        <v>1435</v>
      </c>
      <c r="U16" s="63" t="s">
        <v>1509</v>
      </c>
    </row>
    <row r="17" spans="1:22">
      <c r="A17" s="142" t="s">
        <v>1100</v>
      </c>
      <c r="B17" s="181">
        <v>38</v>
      </c>
      <c r="C17" s="181">
        <v>86</v>
      </c>
      <c r="D17" s="181">
        <v>69</v>
      </c>
      <c r="F17" s="194" t="s">
        <v>1461</v>
      </c>
      <c r="G17" s="182" t="s">
        <v>1474</v>
      </c>
      <c r="H17" s="183">
        <v>501</v>
      </c>
      <c r="I17" s="182" t="s">
        <v>1465</v>
      </c>
      <c r="K17" s="63" t="s">
        <v>1481</v>
      </c>
      <c r="L17" s="63" t="s">
        <v>1430</v>
      </c>
      <c r="M17" s="63" t="s">
        <v>165</v>
      </c>
      <c r="N17" s="63">
        <v>390</v>
      </c>
      <c r="O17" s="63"/>
      <c r="Q17" s="63" t="s">
        <v>1500</v>
      </c>
      <c r="R17" s="63" t="s">
        <v>1485</v>
      </c>
      <c r="S17" s="63">
        <v>3.5</v>
      </c>
      <c r="T17" s="63" t="s">
        <v>1435</v>
      </c>
      <c r="U17" s="63" t="s">
        <v>1516</v>
      </c>
    </row>
    <row r="18" spans="1:22">
      <c r="A18" s="186"/>
      <c r="B18" s="187"/>
      <c r="C18" s="187"/>
      <c r="D18" s="187"/>
      <c r="F18" s="188"/>
      <c r="G18" s="189"/>
      <c r="H18" s="190"/>
      <c r="I18" s="189"/>
    </row>
    <row r="19" spans="1:22" ht="17.25">
      <c r="A19" s="179" t="s">
        <v>4</v>
      </c>
      <c r="B19" s="179"/>
      <c r="C19" s="179"/>
      <c r="D19" s="179"/>
      <c r="F19" s="179" t="s">
        <v>51</v>
      </c>
      <c r="G19" s="179"/>
      <c r="H19" s="179" t="s">
        <v>106</v>
      </c>
      <c r="I19" s="179"/>
      <c r="K19" s="89" t="s">
        <v>483</v>
      </c>
      <c r="Q19" s="89" t="s">
        <v>466</v>
      </c>
      <c r="T19" s="14" t="s">
        <v>1441</v>
      </c>
    </row>
    <row r="20" spans="1:22" ht="17.25">
      <c r="A20" s="191"/>
      <c r="B20" s="79" t="s">
        <v>1262</v>
      </c>
      <c r="C20" s="79" t="s">
        <v>1263</v>
      </c>
      <c r="D20" s="79" t="s">
        <v>1442</v>
      </c>
      <c r="F20" s="180" t="s">
        <v>1426</v>
      </c>
      <c r="G20" s="79" t="s">
        <v>1427</v>
      </c>
      <c r="H20" s="180" t="s">
        <v>1427</v>
      </c>
      <c r="I20" s="79" t="s">
        <v>1428</v>
      </c>
      <c r="K20" s="63" t="s">
        <v>1237</v>
      </c>
      <c r="L20" s="196">
        <v>0.9</v>
      </c>
      <c r="M20" s="196">
        <v>0.7</v>
      </c>
      <c r="N20" s="196">
        <v>0.5</v>
      </c>
      <c r="O20" s="196">
        <v>0.3</v>
      </c>
      <c r="Q20" s="218" t="s">
        <v>1432</v>
      </c>
      <c r="R20" s="218"/>
      <c r="S20" s="79" t="s">
        <v>1433</v>
      </c>
      <c r="T20" s="184" t="s">
        <v>1438</v>
      </c>
      <c r="U20" s="79" t="s">
        <v>1501</v>
      </c>
      <c r="V20" s="79" t="s">
        <v>1439</v>
      </c>
    </row>
    <row r="21" spans="1:22">
      <c r="A21" s="180" t="s">
        <v>304</v>
      </c>
      <c r="B21" s="79" t="s">
        <v>1422</v>
      </c>
      <c r="C21" s="79" t="s">
        <v>1422</v>
      </c>
      <c r="D21" s="79" t="s">
        <v>1422</v>
      </c>
      <c r="F21" s="182" t="s">
        <v>1470</v>
      </c>
      <c r="G21" s="173"/>
      <c r="H21" s="182" t="s">
        <v>1466</v>
      </c>
      <c r="I21" s="173"/>
      <c r="K21" s="146" t="s">
        <v>209</v>
      </c>
      <c r="L21" s="184"/>
      <c r="M21" s="184"/>
      <c r="N21" s="184"/>
      <c r="O21" s="184"/>
      <c r="Q21" s="193">
        <v>0</v>
      </c>
      <c r="R21" s="192">
        <v>2</v>
      </c>
      <c r="S21" s="184"/>
      <c r="T21" s="63" t="s">
        <v>1440</v>
      </c>
      <c r="U21" s="63"/>
      <c r="V21" s="63"/>
    </row>
    <row r="22" spans="1:22" ht="17.25">
      <c r="A22" s="182" t="s">
        <v>1444</v>
      </c>
      <c r="B22" s="191"/>
      <c r="C22" s="191"/>
      <c r="D22" s="191"/>
      <c r="F22" s="182" t="s">
        <v>1471</v>
      </c>
      <c r="G22" s="173"/>
      <c r="H22" s="182" t="s">
        <v>1467</v>
      </c>
      <c r="I22" s="173"/>
      <c r="K22" s="146" t="s">
        <v>160</v>
      </c>
      <c r="L22" s="184"/>
      <c r="M22" s="184"/>
      <c r="N22" s="184"/>
      <c r="O22" s="184"/>
      <c r="Q22" s="193">
        <v>2</v>
      </c>
      <c r="R22" s="192">
        <v>3</v>
      </c>
      <c r="S22" s="184"/>
      <c r="T22" s="63" t="s">
        <v>1437</v>
      </c>
      <c r="U22" s="63"/>
      <c r="V22" s="63"/>
    </row>
    <row r="23" spans="1:22" ht="17.25">
      <c r="A23" s="182" t="s">
        <v>1445</v>
      </c>
      <c r="B23" s="191"/>
      <c r="C23" s="191"/>
      <c r="D23" s="191"/>
      <c r="F23" s="182" t="s">
        <v>1472</v>
      </c>
      <c r="G23" s="173"/>
      <c r="H23" s="182" t="s">
        <v>1468</v>
      </c>
      <c r="I23" s="173"/>
      <c r="K23" s="146" t="s">
        <v>165</v>
      </c>
      <c r="L23" s="184"/>
      <c r="M23" s="184"/>
      <c r="N23" s="184"/>
      <c r="O23" s="184"/>
      <c r="Q23" s="193">
        <v>3</v>
      </c>
      <c r="R23" s="192">
        <v>4</v>
      </c>
      <c r="S23" s="184"/>
    </row>
    <row r="24" spans="1:22" ht="17.25">
      <c r="A24" s="182" t="s">
        <v>1446</v>
      </c>
      <c r="B24" s="191"/>
      <c r="C24" s="191"/>
      <c r="D24" s="191"/>
      <c r="F24" s="182" t="s">
        <v>1473</v>
      </c>
      <c r="G24" s="173"/>
      <c r="H24" s="182" t="s">
        <v>1469</v>
      </c>
      <c r="I24" s="173"/>
      <c r="K24"/>
      <c r="L24"/>
      <c r="M24"/>
      <c r="N24"/>
      <c r="O24"/>
      <c r="Q24" s="193">
        <v>4</v>
      </c>
      <c r="R24" s="192">
        <v>5</v>
      </c>
      <c r="S24" s="184"/>
    </row>
    <row r="26" spans="1:22">
      <c r="F26" s="89" t="s">
        <v>108</v>
      </c>
      <c r="G26" s="14" t="s">
        <v>1475</v>
      </c>
    </row>
    <row r="27" spans="1:22">
      <c r="F27" s="63" t="s">
        <v>1427</v>
      </c>
      <c r="G27" s="195" t="s">
        <v>1476</v>
      </c>
      <c r="H27"/>
      <c r="I27"/>
    </row>
    <row r="28" spans="1:22">
      <c r="F28" s="182" t="s">
        <v>1466</v>
      </c>
      <c r="G28" s="63"/>
      <c r="H28"/>
      <c r="I28"/>
      <c r="Q28"/>
      <c r="R28"/>
      <c r="S28"/>
    </row>
    <row r="29" spans="1:22">
      <c r="F29" s="182" t="s">
        <v>1467</v>
      </c>
      <c r="G29" s="63"/>
      <c r="H29"/>
      <c r="I29"/>
      <c r="Q29"/>
      <c r="R29"/>
      <c r="S29"/>
      <c r="T29"/>
      <c r="U29"/>
    </row>
    <row r="30" spans="1:22">
      <c r="F30" s="182" t="s">
        <v>1468</v>
      </c>
      <c r="G30" s="63"/>
      <c r="H30"/>
      <c r="I30"/>
      <c r="Q30"/>
      <c r="R30"/>
      <c r="S30"/>
      <c r="T30"/>
      <c r="U30"/>
    </row>
    <row r="31" spans="1:22">
      <c r="F31" s="182" t="s">
        <v>1469</v>
      </c>
      <c r="G31" s="63"/>
      <c r="H31"/>
      <c r="I31"/>
      <c r="Q31"/>
      <c r="R31"/>
      <c r="S31"/>
      <c r="T31"/>
      <c r="U31"/>
    </row>
    <row r="32" spans="1:22">
      <c r="Q32"/>
      <c r="R32"/>
      <c r="S32"/>
      <c r="T32"/>
      <c r="U32"/>
    </row>
    <row r="33" spans="17:21">
      <c r="Q33"/>
      <c r="R33"/>
      <c r="S33"/>
      <c r="T33"/>
      <c r="U33"/>
    </row>
    <row r="34" spans="17:21">
      <c r="Q34"/>
      <c r="R34"/>
      <c r="S34"/>
      <c r="T34"/>
      <c r="U34"/>
    </row>
    <row r="35" spans="17:21">
      <c r="Q35"/>
      <c r="R35"/>
      <c r="S35"/>
      <c r="T35"/>
      <c r="U35"/>
    </row>
    <row r="36" spans="17:21">
      <c r="Q36"/>
      <c r="R36"/>
      <c r="S36"/>
      <c r="T36"/>
      <c r="U36"/>
    </row>
    <row r="37" spans="17:21">
      <c r="Q37"/>
      <c r="R37"/>
      <c r="S37"/>
      <c r="T37"/>
      <c r="U37"/>
    </row>
    <row r="38" spans="17:21">
      <c r="Q38"/>
      <c r="R38"/>
      <c r="S38"/>
      <c r="T38"/>
      <c r="U38"/>
    </row>
    <row r="39" spans="17:21">
      <c r="Q39"/>
      <c r="R39"/>
      <c r="S39"/>
      <c r="T39"/>
      <c r="U39"/>
    </row>
    <row r="40" spans="17:21">
      <c r="T40"/>
      <c r="U40"/>
    </row>
  </sheetData>
  <sortState xmlns:xlrd2="http://schemas.microsoft.com/office/spreadsheetml/2017/richdata2" ref="A3:D17">
    <sortCondition ref="A3:A17"/>
  </sortState>
  <mergeCells count="1">
    <mergeCell ref="Q20:R20"/>
  </mergeCells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39544-E53C-4F66-8E9D-D9D6BDDB2611}">
  <dimension ref="A1:V40"/>
  <sheetViews>
    <sheetView workbookViewId="0"/>
  </sheetViews>
  <sheetFormatPr defaultRowHeight="16.5"/>
  <cols>
    <col min="1" max="4" width="9" style="14"/>
    <col min="5" max="5" width="1.625" style="14" customWidth="1"/>
    <col min="6" max="6" width="9.875" style="14" bestFit="1" customWidth="1"/>
    <col min="7" max="7" width="11.875" style="14" bestFit="1" customWidth="1"/>
    <col min="8" max="9" width="9" style="14"/>
    <col min="10" max="10" width="1.625" style="14" customWidth="1"/>
    <col min="11" max="11" width="10.25" style="14" bestFit="1" customWidth="1"/>
    <col min="12" max="14" width="9" style="14"/>
    <col min="15" max="15" width="14.375" style="14" bestFit="1" customWidth="1"/>
    <col min="16" max="16" width="1.625" style="14" customWidth="1"/>
    <col min="17" max="20" width="9" style="14"/>
    <col min="21" max="21" width="13.75" style="14" bestFit="1" customWidth="1"/>
    <col min="22" max="16384" width="9" style="14"/>
  </cols>
  <sheetData>
    <row r="1" spans="1:21" ht="17.25">
      <c r="A1" s="179" t="s">
        <v>2</v>
      </c>
      <c r="B1" s="179"/>
      <c r="C1" s="179"/>
      <c r="D1" s="179"/>
      <c r="F1" s="179" t="s">
        <v>49</v>
      </c>
      <c r="G1" s="179"/>
      <c r="H1" s="179"/>
      <c r="I1" s="179"/>
      <c r="K1" s="14" t="s">
        <v>375</v>
      </c>
      <c r="Q1" s="14" t="s">
        <v>376</v>
      </c>
    </row>
    <row r="2" spans="1:21">
      <c r="A2" s="180" t="s">
        <v>304</v>
      </c>
      <c r="B2" s="180" t="s">
        <v>1262</v>
      </c>
      <c r="C2" s="180" t="s">
        <v>1263</v>
      </c>
      <c r="D2" s="180" t="s">
        <v>1442</v>
      </c>
      <c r="F2" s="180" t="s">
        <v>1423</v>
      </c>
      <c r="G2" s="180" t="s">
        <v>1424</v>
      </c>
      <c r="H2" s="180" t="s">
        <v>1425</v>
      </c>
      <c r="I2" s="180" t="s">
        <v>1427</v>
      </c>
      <c r="K2" s="63" t="s">
        <v>1482</v>
      </c>
      <c r="L2" s="63" t="s">
        <v>6</v>
      </c>
      <c r="M2" s="63" t="s">
        <v>1237</v>
      </c>
      <c r="N2" s="63" t="s">
        <v>277</v>
      </c>
      <c r="O2" s="79" t="s">
        <v>1261</v>
      </c>
      <c r="Q2" s="63" t="s">
        <v>1431</v>
      </c>
      <c r="R2" s="63" t="s">
        <v>57</v>
      </c>
      <c r="S2" s="63" t="s">
        <v>1331</v>
      </c>
      <c r="T2" s="63" t="s">
        <v>1434</v>
      </c>
      <c r="U2" s="63" t="s">
        <v>1517</v>
      </c>
    </row>
    <row r="3" spans="1:21">
      <c r="A3" s="138" t="s">
        <v>313</v>
      </c>
      <c r="B3" s="181">
        <v>75</v>
      </c>
      <c r="C3" s="181">
        <v>95</v>
      </c>
      <c r="D3" s="181">
        <v>50</v>
      </c>
      <c r="F3" s="194" t="s">
        <v>1447</v>
      </c>
      <c r="G3" s="182" t="s">
        <v>1470</v>
      </c>
      <c r="H3" s="183">
        <v>218</v>
      </c>
      <c r="I3" s="182" t="s">
        <v>1462</v>
      </c>
      <c r="K3" s="63" t="s">
        <v>1477</v>
      </c>
      <c r="L3" s="63" t="s">
        <v>1429</v>
      </c>
      <c r="M3" s="63" t="s">
        <v>209</v>
      </c>
      <c r="N3" s="149">
        <v>500</v>
      </c>
      <c r="O3" s="63" t="str">
        <f>LOOKUP(L3,{"공기업","사기업"},{1,2})&amp;"-"&amp;SUBSTITUTE(K3,".","")&amp;"-"&amp;ROW()</f>
        <v>1-20240501-3</v>
      </c>
      <c r="Q3" s="63" t="s">
        <v>1486</v>
      </c>
      <c r="R3" s="63" t="s">
        <v>1402</v>
      </c>
      <c r="S3" s="63">
        <v>4.5</v>
      </c>
      <c r="T3" s="63" t="s">
        <v>1435</v>
      </c>
      <c r="U3" s="63" t="s">
        <v>1513</v>
      </c>
    </row>
    <row r="4" spans="1:21">
      <c r="A4" s="185" t="s">
        <v>1102</v>
      </c>
      <c r="B4" s="181">
        <v>90</v>
      </c>
      <c r="C4" s="181">
        <v>80</v>
      </c>
      <c r="D4" s="181">
        <v>94</v>
      </c>
      <c r="F4" s="194" t="s">
        <v>1448</v>
      </c>
      <c r="G4" s="182" t="s">
        <v>1471</v>
      </c>
      <c r="H4" s="183">
        <v>145</v>
      </c>
      <c r="I4" s="182" t="s">
        <v>1463</v>
      </c>
      <c r="K4" s="63" t="s">
        <v>1478</v>
      </c>
      <c r="L4" s="63" t="s">
        <v>1430</v>
      </c>
      <c r="M4" s="63" t="s">
        <v>165</v>
      </c>
      <c r="N4" s="149">
        <v>420</v>
      </c>
      <c r="O4" s="63" t="str">
        <f>LOOKUP(L4,{"공기업","사기업"},{1,2})&amp;"-"&amp;SUBSTITUTE(K4,".","")&amp;"-"&amp;ROW()</f>
        <v>2-20240502-4</v>
      </c>
      <c r="Q4" s="63" t="s">
        <v>1487</v>
      </c>
      <c r="R4" s="63" t="s">
        <v>1403</v>
      </c>
      <c r="S4" s="63">
        <v>4.5</v>
      </c>
      <c r="T4" s="63" t="s">
        <v>1435</v>
      </c>
      <c r="U4" s="63" t="s">
        <v>1502</v>
      </c>
    </row>
    <row r="5" spans="1:21">
      <c r="A5" s="138" t="s">
        <v>325</v>
      </c>
      <c r="B5" s="181">
        <v>87</v>
      </c>
      <c r="C5" s="181">
        <v>97</v>
      </c>
      <c r="D5" s="181">
        <v>70</v>
      </c>
      <c r="F5" s="194" t="s">
        <v>1449</v>
      </c>
      <c r="G5" s="182" t="s">
        <v>1472</v>
      </c>
      <c r="H5" s="183">
        <v>113</v>
      </c>
      <c r="I5" s="182" t="s">
        <v>1464</v>
      </c>
      <c r="K5" s="63" t="s">
        <v>1479</v>
      </c>
      <c r="L5" s="63" t="s">
        <v>1430</v>
      </c>
      <c r="M5" s="63" t="s">
        <v>209</v>
      </c>
      <c r="N5" s="149">
        <v>432</v>
      </c>
      <c r="O5" s="63" t="str">
        <f>LOOKUP(L5,{"공기업","사기업"},{1,2})&amp;"-"&amp;SUBSTITUTE(K5,".","")&amp;"-"&amp;ROW()</f>
        <v>2-20230503-5</v>
      </c>
      <c r="Q5" s="63" t="s">
        <v>1488</v>
      </c>
      <c r="R5" s="63" t="s">
        <v>1404</v>
      </c>
      <c r="S5" s="63">
        <v>3.5</v>
      </c>
      <c r="T5" s="63" t="s">
        <v>1436</v>
      </c>
      <c r="U5" s="63" t="s">
        <v>1514</v>
      </c>
    </row>
    <row r="6" spans="1:21">
      <c r="A6" s="142" t="s">
        <v>1095</v>
      </c>
      <c r="B6" s="181">
        <v>90</v>
      </c>
      <c r="C6" s="181">
        <v>87</v>
      </c>
      <c r="D6" s="181">
        <v>88</v>
      </c>
      <c r="F6" s="194" t="s">
        <v>1450</v>
      </c>
      <c r="G6" s="182" t="s">
        <v>1473</v>
      </c>
      <c r="H6" s="183">
        <v>187</v>
      </c>
      <c r="I6" s="182" t="s">
        <v>1465</v>
      </c>
      <c r="K6" s="63" t="s">
        <v>1477</v>
      </c>
      <c r="L6" s="63" t="s">
        <v>1429</v>
      </c>
      <c r="M6" s="63" t="s">
        <v>165</v>
      </c>
      <c r="N6" s="149">
        <v>365</v>
      </c>
      <c r="O6" s="63" t="str">
        <f>LOOKUP(L6,{"공기업","사기업"},{1,2})&amp;"-"&amp;SUBSTITUTE(K6,".","")&amp;"-"&amp;ROW()</f>
        <v>1-20240501-6</v>
      </c>
      <c r="Q6" s="63" t="s">
        <v>1489</v>
      </c>
      <c r="R6" s="63" t="s">
        <v>1405</v>
      </c>
      <c r="S6" s="63">
        <v>3</v>
      </c>
      <c r="T6" s="63" t="s">
        <v>1435</v>
      </c>
      <c r="U6" s="63" t="s">
        <v>1512</v>
      </c>
    </row>
    <row r="7" spans="1:21">
      <c r="A7" s="185" t="s">
        <v>1101</v>
      </c>
      <c r="B7" s="181">
        <v>89</v>
      </c>
      <c r="C7" s="181">
        <v>69</v>
      </c>
      <c r="D7" s="181">
        <v>37</v>
      </c>
      <c r="F7" s="194" t="s">
        <v>1451</v>
      </c>
      <c r="G7" s="182" t="s">
        <v>1474</v>
      </c>
      <c r="H7" s="183">
        <v>362</v>
      </c>
      <c r="I7" s="182" t="s">
        <v>1462</v>
      </c>
      <c r="K7" s="63" t="s">
        <v>1301</v>
      </c>
      <c r="L7" s="63" t="s">
        <v>1429</v>
      </c>
      <c r="M7" s="63" t="s">
        <v>160</v>
      </c>
      <c r="N7" s="149">
        <v>468</v>
      </c>
      <c r="O7" s="63" t="str">
        <f>LOOKUP(L7,{"공기업","사기업"},{1,2})&amp;"-"&amp;SUBSTITUTE(K7,".","")&amp;"-"&amp;ROW()</f>
        <v>1-20250502-7</v>
      </c>
      <c r="Q7" s="63" t="s">
        <v>1490</v>
      </c>
      <c r="R7" s="63" t="s">
        <v>1406</v>
      </c>
      <c r="S7" s="63">
        <v>5</v>
      </c>
      <c r="T7" s="63" t="s">
        <v>1435</v>
      </c>
      <c r="U7" s="63" t="s">
        <v>1510</v>
      </c>
    </row>
    <row r="8" spans="1:21">
      <c r="A8" s="185" t="s">
        <v>1101</v>
      </c>
      <c r="B8" s="181">
        <v>90</v>
      </c>
      <c r="C8" s="181">
        <v>85</v>
      </c>
      <c r="D8" s="181">
        <v>55</v>
      </c>
      <c r="F8" s="194" t="s">
        <v>1452</v>
      </c>
      <c r="G8" s="182" t="s">
        <v>1470</v>
      </c>
      <c r="H8" s="183">
        <v>403</v>
      </c>
      <c r="I8" s="182" t="s">
        <v>1464</v>
      </c>
      <c r="K8" s="63" t="s">
        <v>1299</v>
      </c>
      <c r="L8" s="63" t="s">
        <v>1430</v>
      </c>
      <c r="M8" s="63" t="s">
        <v>209</v>
      </c>
      <c r="N8" s="149">
        <v>436</v>
      </c>
      <c r="O8" s="63" t="str">
        <f>LOOKUP(L8,{"공기업","사기업"},{1,2})&amp;"-"&amp;SUBSTITUTE(K8,".","")&amp;"-"&amp;ROW()</f>
        <v>2-20250503-8</v>
      </c>
      <c r="Q8" s="63" t="s">
        <v>1491</v>
      </c>
      <c r="R8" s="63" t="s">
        <v>1407</v>
      </c>
      <c r="S8" s="63">
        <v>2.5</v>
      </c>
      <c r="T8" s="63" t="s">
        <v>1435</v>
      </c>
      <c r="U8" s="63" t="s">
        <v>1511</v>
      </c>
    </row>
    <row r="9" spans="1:21">
      <c r="A9" s="185" t="s">
        <v>1097</v>
      </c>
      <c r="B9" s="181">
        <v>99</v>
      </c>
      <c r="C9" s="181">
        <v>98</v>
      </c>
      <c r="D9" s="181">
        <v>76</v>
      </c>
      <c r="F9" s="194" t="s">
        <v>1453</v>
      </c>
      <c r="G9" s="182" t="s">
        <v>1471</v>
      </c>
      <c r="H9" s="183">
        <v>285</v>
      </c>
      <c r="I9" s="182" t="s">
        <v>1465</v>
      </c>
      <c r="K9" s="63" t="s">
        <v>1477</v>
      </c>
      <c r="L9" s="63" t="s">
        <v>1429</v>
      </c>
      <c r="M9" s="63" t="s">
        <v>165</v>
      </c>
      <c r="N9" s="149">
        <v>420</v>
      </c>
      <c r="O9" s="63" t="str">
        <f>LOOKUP(L9,{"공기업","사기업"},{1,2})&amp;"-"&amp;SUBSTITUTE(K9,".","")&amp;"-"&amp;ROW()</f>
        <v>1-20240501-9</v>
      </c>
      <c r="Q9" s="63" t="s">
        <v>1492</v>
      </c>
      <c r="R9" s="63" t="s">
        <v>1408</v>
      </c>
      <c r="S9" s="63">
        <v>2</v>
      </c>
      <c r="T9" s="63" t="s">
        <v>1435</v>
      </c>
      <c r="U9" s="63" t="s">
        <v>1515</v>
      </c>
    </row>
    <row r="10" spans="1:21">
      <c r="A10" s="142" t="s">
        <v>1103</v>
      </c>
      <c r="B10" s="181">
        <v>62</v>
      </c>
      <c r="C10" s="181">
        <v>43</v>
      </c>
      <c r="D10" s="181">
        <v>74</v>
      </c>
      <c r="F10" s="194" t="s">
        <v>1454</v>
      </c>
      <c r="G10" s="182" t="s">
        <v>1472</v>
      </c>
      <c r="H10" s="183">
        <v>194</v>
      </c>
      <c r="I10" s="182" t="s">
        <v>1462</v>
      </c>
      <c r="K10" s="63" t="s">
        <v>1478</v>
      </c>
      <c r="L10" s="63" t="s">
        <v>1429</v>
      </c>
      <c r="M10" s="63" t="s">
        <v>160</v>
      </c>
      <c r="N10" s="149">
        <v>363</v>
      </c>
      <c r="O10" s="63" t="str">
        <f>LOOKUP(L10,{"공기업","사기업"},{1,2})&amp;"-"&amp;SUBSTITUTE(K10,".","")&amp;"-"&amp;ROW()</f>
        <v>1-20240502-10</v>
      </c>
      <c r="Q10" s="63" t="s">
        <v>1493</v>
      </c>
      <c r="R10" s="63" t="s">
        <v>1409</v>
      </c>
      <c r="S10" s="63">
        <v>4.5</v>
      </c>
      <c r="T10" s="63" t="s">
        <v>1436</v>
      </c>
      <c r="U10" s="63" t="s">
        <v>1503</v>
      </c>
    </row>
    <row r="11" spans="1:21">
      <c r="A11" s="138" t="s">
        <v>309</v>
      </c>
      <c r="B11" s="181">
        <v>65</v>
      </c>
      <c r="C11" s="181">
        <v>99</v>
      </c>
      <c r="D11" s="181">
        <v>53</v>
      </c>
      <c r="F11" s="194" t="s">
        <v>1455</v>
      </c>
      <c r="G11" s="182" t="s">
        <v>1473</v>
      </c>
      <c r="H11" s="183">
        <v>249</v>
      </c>
      <c r="I11" s="182" t="s">
        <v>1463</v>
      </c>
      <c r="K11" s="63" t="s">
        <v>1479</v>
      </c>
      <c r="L11" s="63" t="s">
        <v>1430</v>
      </c>
      <c r="M11" s="63" t="s">
        <v>209</v>
      </c>
      <c r="N11" s="149">
        <v>498</v>
      </c>
      <c r="O11" s="63" t="str">
        <f>LOOKUP(L11,{"공기업","사기업"},{1,2})&amp;"-"&amp;SUBSTITUTE(K11,".","")&amp;"-"&amp;ROW()</f>
        <v>2-20230503-11</v>
      </c>
      <c r="Q11" s="63" t="s">
        <v>1494</v>
      </c>
      <c r="R11" s="63" t="s">
        <v>1410</v>
      </c>
      <c r="S11" s="63">
        <v>3</v>
      </c>
      <c r="T11" s="63" t="s">
        <v>1435</v>
      </c>
      <c r="U11" s="63" t="s">
        <v>1504</v>
      </c>
    </row>
    <row r="12" spans="1:21">
      <c r="A12" s="142" t="s">
        <v>1098</v>
      </c>
      <c r="B12" s="181">
        <v>38</v>
      </c>
      <c r="C12" s="181">
        <v>71</v>
      </c>
      <c r="D12" s="181">
        <v>59</v>
      </c>
      <c r="F12" s="194" t="s">
        <v>1456</v>
      </c>
      <c r="G12" s="182" t="s">
        <v>1474</v>
      </c>
      <c r="H12" s="183">
        <v>115</v>
      </c>
      <c r="I12" s="182" t="s">
        <v>1465</v>
      </c>
      <c r="K12" s="63" t="s">
        <v>1477</v>
      </c>
      <c r="L12" s="63" t="s">
        <v>1430</v>
      </c>
      <c r="M12" s="63" t="s">
        <v>165</v>
      </c>
      <c r="N12" s="149">
        <v>483</v>
      </c>
      <c r="O12" s="63" t="str">
        <f>LOOKUP(L12,{"공기업","사기업"},{1,2})&amp;"-"&amp;SUBSTITUTE(K12,".","")&amp;"-"&amp;ROW()</f>
        <v>2-20240501-12</v>
      </c>
      <c r="Q12" s="63" t="s">
        <v>1495</v>
      </c>
      <c r="R12" s="63" t="s">
        <v>1411</v>
      </c>
      <c r="S12" s="63">
        <v>5</v>
      </c>
      <c r="T12" s="63" t="s">
        <v>1436</v>
      </c>
      <c r="U12" s="63" t="s">
        <v>1505</v>
      </c>
    </row>
    <row r="13" spans="1:21">
      <c r="A13" s="138" t="s">
        <v>1443</v>
      </c>
      <c r="B13" s="181">
        <v>89</v>
      </c>
      <c r="C13" s="181">
        <v>69</v>
      </c>
      <c r="D13" s="181">
        <v>68</v>
      </c>
      <c r="F13" s="194" t="s">
        <v>1457</v>
      </c>
      <c r="G13" s="182" t="s">
        <v>1470</v>
      </c>
      <c r="H13" s="183">
        <v>140</v>
      </c>
      <c r="I13" s="182" t="s">
        <v>1464</v>
      </c>
      <c r="K13" s="63" t="s">
        <v>1301</v>
      </c>
      <c r="L13" s="63" t="s">
        <v>1429</v>
      </c>
      <c r="M13" s="63" t="s">
        <v>209</v>
      </c>
      <c r="N13" s="149">
        <v>309</v>
      </c>
      <c r="O13" s="63" t="str">
        <f>LOOKUP(L13,{"공기업","사기업"},{1,2})&amp;"-"&amp;SUBSTITUTE(K13,".","")&amp;"-"&amp;ROW()</f>
        <v>1-20250502-13</v>
      </c>
      <c r="Q13" s="63" t="s">
        <v>1496</v>
      </c>
      <c r="R13" s="63" t="s">
        <v>1412</v>
      </c>
      <c r="S13" s="63">
        <v>4</v>
      </c>
      <c r="T13" s="63" t="s">
        <v>1437</v>
      </c>
      <c r="U13" s="63" t="s">
        <v>1506</v>
      </c>
    </row>
    <row r="14" spans="1:21">
      <c r="A14" s="138" t="s">
        <v>317</v>
      </c>
      <c r="B14" s="181">
        <v>48</v>
      </c>
      <c r="C14" s="181">
        <v>64</v>
      </c>
      <c r="D14" s="181">
        <v>39</v>
      </c>
      <c r="F14" s="194" t="s">
        <v>1458</v>
      </c>
      <c r="G14" s="182" t="s">
        <v>1471</v>
      </c>
      <c r="H14" s="183">
        <v>180</v>
      </c>
      <c r="I14" s="182" t="s">
        <v>1462</v>
      </c>
      <c r="K14" s="63" t="s">
        <v>1299</v>
      </c>
      <c r="L14" s="63" t="s">
        <v>1429</v>
      </c>
      <c r="M14" s="63" t="s">
        <v>165</v>
      </c>
      <c r="N14" s="149">
        <v>423</v>
      </c>
      <c r="O14" s="63" t="str">
        <f>LOOKUP(L14,{"공기업","사기업"},{1,2})&amp;"-"&amp;SUBSTITUTE(K14,".","")&amp;"-"&amp;ROW()</f>
        <v>1-20250503-14</v>
      </c>
      <c r="Q14" s="63" t="s">
        <v>1497</v>
      </c>
      <c r="R14" s="63" t="s">
        <v>1410</v>
      </c>
      <c r="S14" s="63">
        <v>3.5</v>
      </c>
      <c r="T14" s="63" t="s">
        <v>1435</v>
      </c>
      <c r="U14" s="63" t="s">
        <v>1507</v>
      </c>
    </row>
    <row r="15" spans="1:21">
      <c r="A15" s="185" t="s">
        <v>1099</v>
      </c>
      <c r="B15" s="181">
        <v>42</v>
      </c>
      <c r="C15" s="181">
        <v>79</v>
      </c>
      <c r="D15" s="181">
        <v>9</v>
      </c>
      <c r="F15" s="194" t="s">
        <v>1459</v>
      </c>
      <c r="G15" s="182" t="s">
        <v>1472</v>
      </c>
      <c r="H15" s="183">
        <v>23</v>
      </c>
      <c r="I15" s="182" t="s">
        <v>1462</v>
      </c>
      <c r="K15" s="63" t="s">
        <v>1480</v>
      </c>
      <c r="L15" s="63" t="s">
        <v>1430</v>
      </c>
      <c r="M15" s="63" t="s">
        <v>160</v>
      </c>
      <c r="N15" s="149">
        <v>364</v>
      </c>
      <c r="O15" s="63" t="str">
        <f>LOOKUP(L15,{"공기업","사기업"},{1,2})&amp;"-"&amp;SUBSTITUTE(K15,".","")&amp;"-"&amp;ROW()</f>
        <v>2-20250504-15</v>
      </c>
      <c r="Q15" s="63" t="s">
        <v>1498</v>
      </c>
      <c r="R15" s="63" t="s">
        <v>1483</v>
      </c>
      <c r="S15" s="63">
        <v>4.5</v>
      </c>
      <c r="T15" s="63" t="s">
        <v>1435</v>
      </c>
      <c r="U15" s="63" t="s">
        <v>1508</v>
      </c>
    </row>
    <row r="16" spans="1:21">
      <c r="A16" s="142" t="s">
        <v>1100</v>
      </c>
      <c r="B16" s="181">
        <v>57</v>
      </c>
      <c r="C16" s="181">
        <v>95</v>
      </c>
      <c r="D16" s="181">
        <v>35</v>
      </c>
      <c r="F16" s="194" t="s">
        <v>1460</v>
      </c>
      <c r="G16" s="182" t="s">
        <v>1473</v>
      </c>
      <c r="H16" s="183">
        <v>123</v>
      </c>
      <c r="I16" s="182" t="s">
        <v>1463</v>
      </c>
      <c r="K16" s="63" t="s">
        <v>1300</v>
      </c>
      <c r="L16" s="63" t="s">
        <v>1429</v>
      </c>
      <c r="M16" s="63" t="s">
        <v>160</v>
      </c>
      <c r="N16" s="63">
        <v>470</v>
      </c>
      <c r="O16" s="63" t="str">
        <f>LOOKUP(L16,{"공기업","사기업"},{1,2})&amp;"-"&amp;SUBSTITUTE(K16,".","")&amp;"-"&amp;ROW()</f>
        <v>1-20250505-16</v>
      </c>
      <c r="Q16" s="63" t="s">
        <v>1499</v>
      </c>
      <c r="R16" s="63" t="s">
        <v>1484</v>
      </c>
      <c r="S16" s="63">
        <v>2</v>
      </c>
      <c r="T16" s="63" t="s">
        <v>1435</v>
      </c>
      <c r="U16" s="63" t="s">
        <v>1509</v>
      </c>
    </row>
    <row r="17" spans="1:22">
      <c r="A17" s="142" t="s">
        <v>1100</v>
      </c>
      <c r="B17" s="181">
        <v>38</v>
      </c>
      <c r="C17" s="181">
        <v>86</v>
      </c>
      <c r="D17" s="181">
        <v>69</v>
      </c>
      <c r="F17" s="194" t="s">
        <v>1461</v>
      </c>
      <c r="G17" s="182" t="s">
        <v>1474</v>
      </c>
      <c r="H17" s="183">
        <v>501</v>
      </c>
      <c r="I17" s="182" t="s">
        <v>1465</v>
      </c>
      <c r="K17" s="63" t="s">
        <v>1481</v>
      </c>
      <c r="L17" s="63" t="s">
        <v>1430</v>
      </c>
      <c r="M17" s="63" t="s">
        <v>165</v>
      </c>
      <c r="N17" s="63">
        <v>390</v>
      </c>
      <c r="O17" s="63" t="str">
        <f>LOOKUP(L17,{"공기업","사기업"},{1,2})&amp;"-"&amp;SUBSTITUTE(K17,".","")&amp;"-"&amp;ROW()</f>
        <v>2-20240503-17</v>
      </c>
      <c r="Q17" s="63" t="s">
        <v>1500</v>
      </c>
      <c r="R17" s="63" t="s">
        <v>1485</v>
      </c>
      <c r="S17" s="63">
        <v>3.5</v>
      </c>
      <c r="T17" s="63" t="s">
        <v>1435</v>
      </c>
      <c r="U17" s="63" t="s">
        <v>1516</v>
      </c>
    </row>
    <row r="18" spans="1:22">
      <c r="A18" s="186"/>
      <c r="B18" s="187"/>
      <c r="C18" s="187"/>
      <c r="D18" s="187"/>
      <c r="F18" s="188"/>
      <c r="G18" s="189"/>
      <c r="H18" s="190"/>
      <c r="I18" s="189"/>
    </row>
    <row r="19" spans="1:22" ht="17.25">
      <c r="A19" s="179" t="s">
        <v>4</v>
      </c>
      <c r="B19" s="179"/>
      <c r="C19" s="179"/>
      <c r="D19" s="179"/>
      <c r="F19" s="179" t="s">
        <v>51</v>
      </c>
      <c r="G19" s="179"/>
      <c r="H19" s="179" t="s">
        <v>106</v>
      </c>
      <c r="I19" s="179"/>
      <c r="K19" s="89" t="s">
        <v>483</v>
      </c>
      <c r="Q19" s="89" t="s">
        <v>466</v>
      </c>
      <c r="T19" s="14" t="s">
        <v>1441</v>
      </c>
    </row>
    <row r="20" spans="1:22" ht="17.25">
      <c r="A20" s="191"/>
      <c r="B20" s="79" t="s">
        <v>1262</v>
      </c>
      <c r="C20" s="79" t="s">
        <v>1263</v>
      </c>
      <c r="D20" s="79" t="s">
        <v>1442</v>
      </c>
      <c r="F20" s="180" t="s">
        <v>1426</v>
      </c>
      <c r="G20" s="79" t="s">
        <v>1427</v>
      </c>
      <c r="H20" s="180" t="s">
        <v>1427</v>
      </c>
      <c r="I20" s="79" t="s">
        <v>1428</v>
      </c>
      <c r="K20" s="63" t="s">
        <v>1237</v>
      </c>
      <c r="L20" s="196">
        <v>0.9</v>
      </c>
      <c r="M20" s="196">
        <v>0.7</v>
      </c>
      <c r="N20" s="196">
        <v>0.5</v>
      </c>
      <c r="O20" s="196">
        <v>0.3</v>
      </c>
      <c r="Q20" s="218" t="s">
        <v>1432</v>
      </c>
      <c r="R20" s="218"/>
      <c r="S20" s="79" t="s">
        <v>1433</v>
      </c>
      <c r="T20" s="184" t="s">
        <v>1438</v>
      </c>
      <c r="U20" s="79" t="s">
        <v>1501</v>
      </c>
      <c r="V20" s="79" t="s">
        <v>1439</v>
      </c>
    </row>
    <row r="21" spans="1:22">
      <c r="A21" s="180" t="s">
        <v>304</v>
      </c>
      <c r="B21" s="79" t="s">
        <v>1422</v>
      </c>
      <c r="C21" s="79" t="s">
        <v>1422</v>
      </c>
      <c r="D21" s="79" t="s">
        <v>1422</v>
      </c>
      <c r="F21" s="182" t="s">
        <v>1470</v>
      </c>
      <c r="G21" s="173" t="str">
        <f t="array" ref="G21">VLOOKUP(LARGE(($G$3:$G$17=F21)*$H$3:$H$17,1),$H$3:$I$17,2,0)</f>
        <v>번동</v>
      </c>
      <c r="H21" s="182" t="s">
        <v>1466</v>
      </c>
      <c r="I21" s="173" t="str">
        <f t="array" ref="I21">INDEX($F$3:$F$17,MATCH(MAX(($I$3:$I$17=$H21)*$H$3:$H$17),($I$3:$I$17=$H21)*$H$3:$H$17,0))</f>
        <v>BG0-005</v>
      </c>
      <c r="K21" s="146" t="s">
        <v>209</v>
      </c>
      <c r="L21" s="184">
        <f t="array" ref="L21">ROUND(_xlfn.PERCENTILE.INC(IF($M$3:$M$17=$K21,$N$3:$N$17),L$20),0)</f>
        <v>499</v>
      </c>
      <c r="M21" s="184">
        <f t="array" ref="M21">ROUND(_xlfn.PERCENTILE.INC(IF($M$3:$M$17=$K21,$N$3:$N$17),M$20),0)</f>
        <v>486</v>
      </c>
      <c r="N21" s="184">
        <f t="array" ref="N21">ROUND(_xlfn.PERCENTILE.INC(IF($M$3:$M$17=$K21,$N$3:$N$17),N$20),0)</f>
        <v>436</v>
      </c>
      <c r="O21" s="184">
        <f t="array" ref="O21">ROUND(_xlfn.PERCENTILE.INC(IF($M$3:$M$17=$K21,$N$3:$N$17),O$20),0)</f>
        <v>433</v>
      </c>
      <c r="Q21" s="193">
        <v>0</v>
      </c>
      <c r="R21" s="192">
        <v>2</v>
      </c>
      <c r="S21" s="184">
        <f t="array" ref="S21:S24">FREQUENCY(IF((RIGHT(R3:R17,1)="M")+(RIGHT(R3:R17,1)="L"), S3:S17), R21:R24)</f>
        <v>1</v>
      </c>
      <c r="T21" s="63" t="s">
        <v>1440</v>
      </c>
      <c r="U21" s="63" t="str">
        <f t="array" ref="U21">_xlfn.CONCAT(SUM(IF(($T$3:$T$17=$T21)*(LEFT($U$3:$U$17,2)=U$20), 1)),"/",COUNTA($U$3:$U$17))</f>
        <v>1/15</v>
      </c>
      <c r="V21" s="63" t="str">
        <f t="array" ref="V21">_xlfn.CONCAT(SUM(IF(($T$3:$T$17=$T21)*(LEFT($U$3:$U$17,2)=V$20), 1)),"/",COUNTA($U$3:$U$17))</f>
        <v>2/15</v>
      </c>
    </row>
    <row r="22" spans="1:22" ht="17.25">
      <c r="A22" s="182" t="s">
        <v>1444</v>
      </c>
      <c r="B22" s="191">
        <f t="array" ref="B22">_xlfn.RANK.EQ(MAX(($A$3:$A$17=$A22)*B$3:B$17),B$3:B$17)</f>
        <v>8</v>
      </c>
      <c r="C22" s="191">
        <f t="array" ref="C22">_xlfn.RANK.EQ(MAX(($A$3:$A$17=$A22)*C$3:C$17),C$3:C$17)</f>
        <v>4</v>
      </c>
      <c r="D22" s="191">
        <f t="array" ref="D22">_xlfn.RANK.EQ(MAX(($A$3:$A$17=$A22)*D$3:D$17),D$3:D$17)</f>
        <v>11</v>
      </c>
      <c r="F22" s="182" t="s">
        <v>1471</v>
      </c>
      <c r="G22" s="173" t="str">
        <f t="array" ref="G22">VLOOKUP(LARGE(($G$3:$G$17=F22)*$H$3:$H$17,1),$H$3:$I$17,2,0)</f>
        <v>미아동</v>
      </c>
      <c r="H22" s="182" t="s">
        <v>1467</v>
      </c>
      <c r="I22" s="173" t="str">
        <f t="array" ref="I22">INDEX($F$3:$F$17,MATCH(MAX(($I$3:$I$17=$H22)*$H$3:$H$17),($I$3:$I$17=$H22)*$H$3:$H$17,0))</f>
        <v>BG0-009</v>
      </c>
      <c r="K22" s="146" t="s">
        <v>160</v>
      </c>
      <c r="L22" s="184">
        <f t="array" ref="L22">ROUND(_xlfn.PERCENTILE.INC(IF($M$3:$M$17=$K22,$N$3:$N$17),L$20),0)</f>
        <v>469</v>
      </c>
      <c r="M22" s="184">
        <f t="array" ref="M22">ROUND(_xlfn.PERCENTILE.INC(IF($M$3:$M$17=$K22,$N$3:$N$17),M$20),0)</f>
        <v>468</v>
      </c>
      <c r="N22" s="184">
        <f t="array" ref="N22">ROUND(_xlfn.PERCENTILE.INC(IF($M$3:$M$17=$K22,$N$3:$N$17),N$20),0)</f>
        <v>416</v>
      </c>
      <c r="O22" s="184">
        <f t="array" ref="O22">ROUND(_xlfn.PERCENTILE.INC(IF($M$3:$M$17=$K22,$N$3:$N$17),O$20),0)</f>
        <v>364</v>
      </c>
      <c r="Q22" s="193">
        <v>2</v>
      </c>
      <c r="R22" s="192">
        <v>3</v>
      </c>
      <c r="S22" s="184">
        <v>2</v>
      </c>
      <c r="T22" s="63" t="s">
        <v>1437</v>
      </c>
      <c r="U22" s="63" t="str">
        <f t="array" ref="U22">_xlfn.CONCAT(SUM(IF(($T$3:$T$17=$T22)*(LEFT($U$3:$U$17,2)=U$20), 1)),"/",COUNTA($U$3:$U$17))</f>
        <v>7/15</v>
      </c>
      <c r="V22" s="63" t="str">
        <f t="array" ref="V22">_xlfn.CONCAT(SUM(IF(($T$3:$T$17=$T22)*(LEFT($U$3:$U$17,2)=V$20), 1)),"/",COUNTA($U$3:$U$17))</f>
        <v>5/15</v>
      </c>
    </row>
    <row r="23" spans="1:22" ht="17.25">
      <c r="A23" s="182" t="s">
        <v>1445</v>
      </c>
      <c r="B23" s="191">
        <f t="array" ref="B23">_xlfn.RANK.EQ(MAX(($A$3:$A$17=$A23)*B$3:B$17),B$3:B$17)</f>
        <v>7</v>
      </c>
      <c r="C23" s="191">
        <f t="array" ref="C23">_xlfn.RANK.EQ(MAX(($A$3:$A$17=$A23)*C$3:C$17),C$3:C$17)</f>
        <v>3</v>
      </c>
      <c r="D23" s="191">
        <f t="array" ref="D23">_xlfn.RANK.EQ(MAX(($A$3:$A$17=$A23)*D$3:D$17),D$3:D$17)</f>
        <v>5</v>
      </c>
      <c r="F23" s="182" t="s">
        <v>1472</v>
      </c>
      <c r="G23" s="173" t="str">
        <f t="array" ref="G23">VLOOKUP(LARGE(($G$3:$G$17=F23)*$H$3:$H$17,1),$H$3:$I$17,2,0)</f>
        <v>우이동</v>
      </c>
      <c r="H23" s="182" t="s">
        <v>1468</v>
      </c>
      <c r="I23" s="173" t="str">
        <f t="array" ref="I23">INDEX($F$3:$F$17,MATCH(MAX(($I$3:$I$17=$H23)*$H$3:$H$17),($I$3:$I$17=$H23)*$H$3:$H$17,0))</f>
        <v>BG0-015</v>
      </c>
      <c r="K23" s="146" t="s">
        <v>165</v>
      </c>
      <c r="L23" s="184">
        <f t="array" ref="L23">ROUND(_xlfn.PERCENTILE.INC(IF($M$3:$M$17=$K23,$N$3:$N$17),L$20),0)</f>
        <v>453</v>
      </c>
      <c r="M23" s="184">
        <f t="array" ref="M23">ROUND(_xlfn.PERCENTILE.INC(IF($M$3:$M$17=$K23,$N$3:$N$17),M$20),0)</f>
        <v>422</v>
      </c>
      <c r="N23" s="184">
        <f t="array" ref="N23">ROUND(_xlfn.PERCENTILE.INC(IF($M$3:$M$17=$K23,$N$3:$N$17),N$20),0)</f>
        <v>420</v>
      </c>
      <c r="O23" s="184">
        <f t="array" ref="O23">ROUND(_xlfn.PERCENTILE.INC(IF($M$3:$M$17=$K23,$N$3:$N$17),O$20),0)</f>
        <v>405</v>
      </c>
      <c r="Q23" s="193">
        <v>3</v>
      </c>
      <c r="R23" s="192">
        <v>4</v>
      </c>
      <c r="S23" s="184">
        <v>2</v>
      </c>
    </row>
    <row r="24" spans="1:22" ht="17.25">
      <c r="A24" s="182" t="s">
        <v>1446</v>
      </c>
      <c r="B24" s="191">
        <f t="array" ref="B24">_xlfn.RANK.EQ(MAX(($A$3:$A$17=$A24)*B$3:B$17),B$3:B$17)</f>
        <v>9</v>
      </c>
      <c r="C24" s="191">
        <f t="array" ref="C24">_xlfn.RANK.EQ(MAX(($A$3:$A$17=$A24)*C$3:C$17),C$3:C$17)</f>
        <v>1</v>
      </c>
      <c r="D24" s="191">
        <f t="array" ref="D24">_xlfn.RANK.EQ(MAX(($A$3:$A$17=$A24)*D$3:D$17),D$3:D$17)</f>
        <v>10</v>
      </c>
      <c r="F24" s="182" t="s">
        <v>1473</v>
      </c>
      <c r="G24" s="173" t="str">
        <f t="array" ref="G24">VLOOKUP(LARGE(($G$3:$G$17=F24)*$H$3:$H$17,1),$H$3:$I$17,2,0)</f>
        <v>수유동</v>
      </c>
      <c r="H24" s="182" t="s">
        <v>1469</v>
      </c>
      <c r="I24" s="173" t="str">
        <f t="array" ref="I24">INDEX($F$3:$F$17,MATCH(MAX(($I$3:$I$17=$H24)*$H$3:$H$17),($I$3:$I$17=$H24)*$H$3:$H$17,0))</f>
        <v>BG0-006</v>
      </c>
      <c r="K24"/>
      <c r="L24"/>
      <c r="M24"/>
      <c r="N24"/>
      <c r="O24"/>
      <c r="Q24" s="193">
        <v>4</v>
      </c>
      <c r="R24" s="192">
        <v>5</v>
      </c>
      <c r="S24" s="184">
        <v>4</v>
      </c>
    </row>
    <row r="26" spans="1:22">
      <c r="F26" s="89" t="s">
        <v>108</v>
      </c>
      <c r="G26" s="14" t="s">
        <v>1475</v>
      </c>
    </row>
    <row r="27" spans="1:22">
      <c r="F27" s="63" t="s">
        <v>1427</v>
      </c>
      <c r="G27" s="195" t="s">
        <v>1476</v>
      </c>
      <c r="H27"/>
      <c r="I27"/>
    </row>
    <row r="28" spans="1:22">
      <c r="F28" s="182" t="s">
        <v>1466</v>
      </c>
      <c r="G28" s="63" t="str">
        <f t="array" ref="G28">"약 "&amp;ROUND(AVERAGE(LARGE(($I$3:$I$17=F28)*($H$3:$H$17),{1,2,3})),1)&amp;"대"</f>
        <v>약 258대</v>
      </c>
      <c r="H28"/>
      <c r="I28"/>
      <c r="Q28"/>
      <c r="R28"/>
      <c r="S28"/>
    </row>
    <row r="29" spans="1:22">
      <c r="F29" s="182" t="s">
        <v>1467</v>
      </c>
      <c r="G29" s="63" t="str">
        <f t="array" ref="G29">"약 "&amp;ROUND(AVERAGE(LARGE(($I$3:$I$17=F29)*($H$3:$H$17),{1,2,3})),1)&amp;"대"</f>
        <v>약 172.3대</v>
      </c>
      <c r="H29"/>
      <c r="I29"/>
      <c r="Q29"/>
      <c r="R29"/>
      <c r="S29"/>
      <c r="T29"/>
      <c r="U29"/>
    </row>
    <row r="30" spans="1:22">
      <c r="F30" s="182" t="s">
        <v>1468</v>
      </c>
      <c r="G30" s="63" t="str">
        <f t="array" ref="G30">"약 "&amp;ROUND(AVERAGE(LARGE(($I$3:$I$17=F30)*($H$3:$H$17),{1,2,3})),1)&amp;"대"</f>
        <v>약 324.3대</v>
      </c>
      <c r="H30"/>
      <c r="I30"/>
      <c r="Q30"/>
      <c r="R30"/>
      <c r="S30"/>
      <c r="T30"/>
      <c r="U30"/>
    </row>
    <row r="31" spans="1:22">
      <c r="F31" s="182" t="s">
        <v>1469</v>
      </c>
      <c r="G31" s="63" t="str">
        <f t="array" ref="G31">"약 "&amp;ROUND(AVERAGE(LARGE(($I$3:$I$17=F31)*($H$3:$H$17),{1,2,3})),1)&amp;"대"</f>
        <v>약 218.7대</v>
      </c>
      <c r="H31"/>
      <c r="I31"/>
      <c r="Q31"/>
      <c r="R31"/>
      <c r="S31"/>
      <c r="T31"/>
      <c r="U31"/>
    </row>
    <row r="32" spans="1:22">
      <c r="Q32"/>
      <c r="R32"/>
      <c r="S32"/>
      <c r="T32"/>
      <c r="U32"/>
    </row>
    <row r="33" spans="17:21">
      <c r="Q33"/>
      <c r="R33"/>
      <c r="S33"/>
      <c r="T33"/>
      <c r="U33"/>
    </row>
    <row r="34" spans="17:21">
      <c r="Q34"/>
      <c r="R34"/>
      <c r="S34"/>
      <c r="T34"/>
      <c r="U34"/>
    </row>
    <row r="35" spans="17:21">
      <c r="Q35"/>
      <c r="R35"/>
      <c r="S35"/>
      <c r="T35"/>
      <c r="U35"/>
    </row>
    <row r="36" spans="17:21">
      <c r="Q36"/>
      <c r="R36"/>
      <c r="S36"/>
      <c r="T36"/>
      <c r="U36"/>
    </row>
    <row r="37" spans="17:21">
      <c r="Q37"/>
      <c r="R37"/>
      <c r="S37"/>
      <c r="T37"/>
      <c r="U37"/>
    </row>
    <row r="38" spans="17:21">
      <c r="Q38"/>
      <c r="R38"/>
      <c r="S38"/>
      <c r="T38"/>
      <c r="U38"/>
    </row>
    <row r="39" spans="17:21">
      <c r="Q39"/>
      <c r="R39"/>
      <c r="S39"/>
      <c r="T39"/>
      <c r="U39"/>
    </row>
    <row r="40" spans="17:21">
      <c r="T40"/>
      <c r="U40"/>
    </row>
  </sheetData>
  <mergeCells count="1">
    <mergeCell ref="Q20:R20"/>
  </mergeCells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8D2FB-D8EE-4562-8CD9-1D37E0BD5E3D}">
  <sheetPr codeName="Sheet39"/>
  <dimension ref="A1:N25"/>
  <sheetViews>
    <sheetView workbookViewId="0"/>
  </sheetViews>
  <sheetFormatPr defaultColWidth="9" defaultRowHeight="16.5"/>
  <cols>
    <col min="2" max="2" width="11.125" bestFit="1" customWidth="1"/>
    <col min="4" max="4" width="15" bestFit="1" customWidth="1"/>
    <col min="5" max="5" width="1.625" customWidth="1"/>
    <col min="8" max="8" width="14.75" bestFit="1" customWidth="1"/>
    <col min="9" max="9" width="1.625" customWidth="1"/>
    <col min="12" max="12" width="9.25" customWidth="1"/>
    <col min="13" max="13" width="9.625" customWidth="1"/>
    <col min="14" max="14" width="10.75" bestFit="1" customWidth="1"/>
  </cols>
  <sheetData>
    <row r="1" spans="1:14">
      <c r="A1" t="s">
        <v>2</v>
      </c>
      <c r="F1" t="s">
        <v>4</v>
      </c>
      <c r="J1" s="106" t="s">
        <v>49</v>
      </c>
      <c r="K1" s="19"/>
      <c r="L1" s="112"/>
      <c r="M1" s="112"/>
      <c r="N1" s="112"/>
    </row>
    <row r="2" spans="1:14">
      <c r="A2" s="41" t="s">
        <v>1251</v>
      </c>
      <c r="B2" s="41" t="s">
        <v>1248</v>
      </c>
      <c r="C2" s="41" t="s">
        <v>1246</v>
      </c>
      <c r="D2" s="79" t="s">
        <v>1261</v>
      </c>
      <c r="F2" s="41" t="s">
        <v>1275</v>
      </c>
      <c r="G2" s="41" t="s">
        <v>1286</v>
      </c>
      <c r="H2" s="79" t="s">
        <v>1104</v>
      </c>
      <c r="J2" s="80" t="s">
        <v>1079</v>
      </c>
      <c r="K2" s="80" t="s">
        <v>291</v>
      </c>
      <c r="L2" s="118" t="s">
        <v>1078</v>
      </c>
      <c r="M2" s="118" t="s">
        <v>1109</v>
      </c>
      <c r="N2" s="116" t="s">
        <v>1108</v>
      </c>
    </row>
    <row r="3" spans="1:14">
      <c r="A3" s="135" t="s">
        <v>420</v>
      </c>
      <c r="B3" s="64">
        <v>45868</v>
      </c>
      <c r="C3" s="131" t="s">
        <v>1247</v>
      </c>
      <c r="D3" s="96"/>
      <c r="F3" s="107" t="s">
        <v>1276</v>
      </c>
      <c r="G3" s="107">
        <v>80</v>
      </c>
      <c r="H3" s="96"/>
      <c r="J3" s="111">
        <v>24</v>
      </c>
      <c r="K3" s="107" t="s">
        <v>1024</v>
      </c>
      <c r="L3" s="17">
        <v>5</v>
      </c>
      <c r="M3" s="17">
        <v>3</v>
      </c>
      <c r="N3" s="117"/>
    </row>
    <row r="4" spans="1:14">
      <c r="A4" s="135" t="s">
        <v>1252</v>
      </c>
      <c r="B4" s="64">
        <v>45899</v>
      </c>
      <c r="C4" s="131" t="s">
        <v>1249</v>
      </c>
      <c r="D4" s="96"/>
      <c r="F4" s="94" t="s">
        <v>1285</v>
      </c>
      <c r="G4" s="94">
        <v>70</v>
      </c>
      <c r="H4" s="96"/>
      <c r="J4" s="95">
        <v>41</v>
      </c>
      <c r="K4" s="94" t="s">
        <v>1020</v>
      </c>
      <c r="L4" s="18">
        <v>3</v>
      </c>
      <c r="M4" s="18">
        <v>0</v>
      </c>
      <c r="N4" s="117"/>
    </row>
    <row r="5" spans="1:14">
      <c r="A5" s="135" t="s">
        <v>1253</v>
      </c>
      <c r="B5" s="64">
        <v>45930</v>
      </c>
      <c r="C5" s="131" t="s">
        <v>1250</v>
      </c>
      <c r="D5" s="96"/>
      <c r="F5" s="94" t="s">
        <v>1277</v>
      </c>
      <c r="G5" s="94">
        <v>85</v>
      </c>
      <c r="H5" s="96"/>
      <c r="J5" s="95">
        <v>50</v>
      </c>
      <c r="K5" s="94" t="s">
        <v>1019</v>
      </c>
      <c r="L5" s="18">
        <v>15</v>
      </c>
      <c r="M5" s="18">
        <v>0</v>
      </c>
      <c r="N5" s="117"/>
    </row>
    <row r="6" spans="1:14">
      <c r="A6" s="135" t="s">
        <v>1254</v>
      </c>
      <c r="B6" s="64">
        <v>45960</v>
      </c>
      <c r="C6" s="131" t="s">
        <v>1247</v>
      </c>
      <c r="D6" s="96"/>
      <c r="F6" s="94" t="s">
        <v>1278</v>
      </c>
      <c r="G6" s="94">
        <v>95</v>
      </c>
      <c r="H6" s="96"/>
      <c r="J6" s="95">
        <v>29</v>
      </c>
      <c r="K6" s="94" t="s">
        <v>1027</v>
      </c>
      <c r="L6" s="18">
        <v>15</v>
      </c>
      <c r="M6" s="18">
        <v>0</v>
      </c>
      <c r="N6" s="117"/>
    </row>
    <row r="7" spans="1:14">
      <c r="A7" s="135" t="s">
        <v>1255</v>
      </c>
      <c r="B7" s="64">
        <v>45991</v>
      </c>
      <c r="C7" s="131" t="s">
        <v>1249</v>
      </c>
      <c r="D7" s="96"/>
      <c r="F7" s="94" t="s">
        <v>1279</v>
      </c>
      <c r="G7" s="94">
        <v>90</v>
      </c>
      <c r="H7" s="96"/>
      <c r="J7" s="95">
        <v>42</v>
      </c>
      <c r="K7" s="94" t="s">
        <v>1027</v>
      </c>
      <c r="L7" s="18">
        <v>5</v>
      </c>
      <c r="M7" s="18">
        <v>1</v>
      </c>
      <c r="N7" s="117"/>
    </row>
    <row r="8" spans="1:14">
      <c r="A8" s="135" t="s">
        <v>1256</v>
      </c>
      <c r="B8" s="64">
        <v>46021</v>
      </c>
      <c r="C8" s="131" t="s">
        <v>1247</v>
      </c>
      <c r="D8" s="96"/>
      <c r="F8" s="94" t="s">
        <v>1280</v>
      </c>
      <c r="G8" s="94">
        <v>75</v>
      </c>
      <c r="H8" s="96"/>
      <c r="J8" s="95">
        <v>7</v>
      </c>
      <c r="K8" s="94" t="s">
        <v>1027</v>
      </c>
      <c r="L8" s="18">
        <v>10</v>
      </c>
      <c r="M8" s="18">
        <v>0</v>
      </c>
      <c r="N8" s="117"/>
    </row>
    <row r="9" spans="1:14">
      <c r="A9" s="135" t="s">
        <v>1257</v>
      </c>
      <c r="B9" s="64">
        <v>46052</v>
      </c>
      <c r="C9" s="131" t="s">
        <v>1250</v>
      </c>
      <c r="D9" s="96"/>
      <c r="F9" s="94" t="s">
        <v>1281</v>
      </c>
      <c r="G9" s="94">
        <v>65</v>
      </c>
      <c r="H9" s="96"/>
      <c r="J9" s="95">
        <v>45</v>
      </c>
      <c r="K9" s="94" t="s">
        <v>1019</v>
      </c>
      <c r="L9" s="18">
        <v>14</v>
      </c>
      <c r="M9" s="18">
        <v>1</v>
      </c>
      <c r="N9" s="117"/>
    </row>
    <row r="10" spans="1:14">
      <c r="A10" s="135" t="s">
        <v>1258</v>
      </c>
      <c r="B10" s="64">
        <v>46078</v>
      </c>
      <c r="C10" s="131" t="s">
        <v>1249</v>
      </c>
      <c r="D10" s="96"/>
      <c r="F10" s="94" t="s">
        <v>1282</v>
      </c>
      <c r="G10" s="94">
        <v>95</v>
      </c>
      <c r="H10" s="96"/>
      <c r="J10" s="95">
        <v>16</v>
      </c>
      <c r="K10" s="94" t="s">
        <v>1027</v>
      </c>
      <c r="L10" s="18">
        <v>5</v>
      </c>
      <c r="M10" s="18">
        <v>1</v>
      </c>
      <c r="N10" s="117"/>
    </row>
    <row r="11" spans="1:14">
      <c r="A11" s="135" t="s">
        <v>1259</v>
      </c>
      <c r="B11" s="64">
        <v>46111</v>
      </c>
      <c r="C11" s="131" t="s">
        <v>1250</v>
      </c>
      <c r="D11" s="96"/>
      <c r="F11" s="94" t="s">
        <v>1283</v>
      </c>
      <c r="G11" s="94">
        <v>90</v>
      </c>
      <c r="H11" s="96"/>
      <c r="J11" s="95">
        <v>51</v>
      </c>
      <c r="K11" s="94" t="s">
        <v>1024</v>
      </c>
      <c r="L11" s="18">
        <v>8</v>
      </c>
      <c r="M11" s="18">
        <v>0</v>
      </c>
      <c r="N11" s="117"/>
    </row>
    <row r="12" spans="1:14">
      <c r="A12" s="135" t="s">
        <v>1260</v>
      </c>
      <c r="B12" s="64">
        <v>46142</v>
      </c>
      <c r="C12" s="131" t="s">
        <v>1249</v>
      </c>
      <c r="D12" s="96"/>
      <c r="F12" s="94" t="s">
        <v>1284</v>
      </c>
      <c r="G12" s="94">
        <v>80</v>
      </c>
      <c r="H12" s="96"/>
      <c r="J12" s="95">
        <v>46</v>
      </c>
      <c r="K12" s="94" t="s">
        <v>1024</v>
      </c>
      <c r="L12" s="18">
        <v>8</v>
      </c>
      <c r="M12" s="18">
        <v>2</v>
      </c>
      <c r="N12" s="117"/>
    </row>
    <row r="14" spans="1:14">
      <c r="A14" t="s">
        <v>51</v>
      </c>
      <c r="B14" s="56"/>
      <c r="F14" s="5" t="s">
        <v>106</v>
      </c>
      <c r="G14" s="5"/>
      <c r="H14" s="5"/>
      <c r="J14" t="s">
        <v>108</v>
      </c>
    </row>
    <row r="15" spans="1:14">
      <c r="A15" s="41" t="s">
        <v>57</v>
      </c>
      <c r="B15" s="41" t="s">
        <v>1262</v>
      </c>
      <c r="C15" s="41" t="s">
        <v>1263</v>
      </c>
      <c r="D15" s="79" t="s">
        <v>1264</v>
      </c>
      <c r="F15" s="80" t="s">
        <v>304</v>
      </c>
      <c r="G15" s="80" t="s">
        <v>1106</v>
      </c>
      <c r="H15" s="116" t="s">
        <v>1105</v>
      </c>
      <c r="J15" s="41" t="s">
        <v>206</v>
      </c>
      <c r="K15" s="80" t="s">
        <v>1287</v>
      </c>
      <c r="L15" s="118" t="s">
        <v>1288</v>
      </c>
      <c r="M15" s="118" t="s">
        <v>1289</v>
      </c>
      <c r="N15" s="116" t="s">
        <v>181</v>
      </c>
    </row>
    <row r="16" spans="1:14">
      <c r="A16" s="134" t="s">
        <v>1265</v>
      </c>
      <c r="B16" s="136">
        <v>5</v>
      </c>
      <c r="C16" s="137">
        <v>5</v>
      </c>
      <c r="D16" s="67"/>
      <c r="F16" s="135" t="s">
        <v>905</v>
      </c>
      <c r="G16" s="114">
        <v>35</v>
      </c>
      <c r="H16" s="113"/>
      <c r="J16" s="135" t="s">
        <v>1103</v>
      </c>
      <c r="K16" s="107">
        <v>100</v>
      </c>
      <c r="L16" s="17">
        <v>95</v>
      </c>
      <c r="M16" s="17">
        <v>95</v>
      </c>
      <c r="N16" s="117"/>
    </row>
    <row r="17" spans="1:14">
      <c r="A17" s="134" t="s">
        <v>1266</v>
      </c>
      <c r="B17" s="136">
        <v>3</v>
      </c>
      <c r="C17" s="137">
        <v>3</v>
      </c>
      <c r="D17" s="67"/>
      <c r="F17" s="135" t="s">
        <v>902</v>
      </c>
      <c r="G17" s="114">
        <v>19.2</v>
      </c>
      <c r="H17" s="113"/>
      <c r="J17" s="135" t="s">
        <v>1095</v>
      </c>
      <c r="K17" s="94">
        <v>100</v>
      </c>
      <c r="L17" s="18">
        <v>89</v>
      </c>
      <c r="M17" s="18">
        <v>85</v>
      </c>
      <c r="N17" s="117"/>
    </row>
    <row r="18" spans="1:14">
      <c r="A18" s="134" t="s">
        <v>1267</v>
      </c>
      <c r="B18" s="136">
        <v>2.5</v>
      </c>
      <c r="C18" s="137">
        <v>2</v>
      </c>
      <c r="D18" s="67"/>
      <c r="F18" s="135" t="s">
        <v>900</v>
      </c>
      <c r="G18" s="114">
        <v>18.400000000000002</v>
      </c>
      <c r="H18" s="113"/>
      <c r="J18" s="135" t="s">
        <v>1100</v>
      </c>
      <c r="K18" s="94">
        <v>99</v>
      </c>
      <c r="L18" s="18">
        <v>99</v>
      </c>
      <c r="M18" s="18">
        <v>88</v>
      </c>
      <c r="N18" s="117"/>
    </row>
    <row r="19" spans="1:14">
      <c r="A19" s="134" t="s">
        <v>1268</v>
      </c>
      <c r="B19" s="136">
        <v>5</v>
      </c>
      <c r="C19" s="137">
        <v>5</v>
      </c>
      <c r="D19" s="67"/>
      <c r="F19" s="135" t="s">
        <v>898</v>
      </c>
      <c r="G19" s="114">
        <v>28.799999999999997</v>
      </c>
      <c r="H19" s="113"/>
      <c r="J19" s="115" t="s">
        <v>1101</v>
      </c>
      <c r="K19" s="94">
        <v>95</v>
      </c>
      <c r="L19" s="18">
        <v>80</v>
      </c>
      <c r="M19" s="18">
        <v>80</v>
      </c>
      <c r="N19" s="117"/>
    </row>
    <row r="20" spans="1:14">
      <c r="A20" s="134" t="s">
        <v>1269</v>
      </c>
      <c r="B20" s="136">
        <v>4</v>
      </c>
      <c r="C20" s="137">
        <v>3</v>
      </c>
      <c r="D20" s="67"/>
      <c r="F20" s="135" t="s">
        <v>895</v>
      </c>
      <c r="G20" s="114">
        <v>25.2</v>
      </c>
      <c r="H20" s="113"/>
      <c r="J20" s="115" t="s">
        <v>1102</v>
      </c>
      <c r="K20" s="94">
        <v>98</v>
      </c>
      <c r="L20" s="18">
        <v>75</v>
      </c>
      <c r="M20" s="18">
        <v>75</v>
      </c>
      <c r="N20" s="117"/>
    </row>
    <row r="21" spans="1:14">
      <c r="A21" s="134" t="s">
        <v>1270</v>
      </c>
      <c r="B21" s="136">
        <v>3</v>
      </c>
      <c r="C21" s="137">
        <v>2</v>
      </c>
      <c r="D21" s="67"/>
      <c r="F21" s="135" t="s">
        <v>892</v>
      </c>
      <c r="G21" s="114">
        <v>30</v>
      </c>
      <c r="H21" s="113"/>
      <c r="J21" s="135" t="s">
        <v>1098</v>
      </c>
      <c r="K21" s="94">
        <v>100</v>
      </c>
      <c r="L21" s="18">
        <v>85</v>
      </c>
      <c r="M21" s="18">
        <v>99</v>
      </c>
      <c r="N21" s="117"/>
    </row>
    <row r="22" spans="1:14">
      <c r="A22" s="134" t="s">
        <v>1271</v>
      </c>
      <c r="B22" s="136">
        <v>2</v>
      </c>
      <c r="C22" s="137">
        <v>2.5</v>
      </c>
      <c r="D22" s="67"/>
      <c r="F22" s="135" t="s">
        <v>731</v>
      </c>
      <c r="G22" s="114">
        <v>30.799999999999997</v>
      </c>
      <c r="H22" s="113"/>
      <c r="J22" s="115" t="s">
        <v>1101</v>
      </c>
      <c r="K22" s="94">
        <v>99</v>
      </c>
      <c r="L22" s="18">
        <v>90</v>
      </c>
      <c r="M22" s="18">
        <v>88</v>
      </c>
      <c r="N22" s="117"/>
    </row>
    <row r="23" spans="1:14">
      <c r="A23" s="134" t="s">
        <v>1272</v>
      </c>
      <c r="B23" s="136">
        <v>2.5</v>
      </c>
      <c r="C23" s="137">
        <v>4.5</v>
      </c>
      <c r="D23" s="67"/>
      <c r="F23" s="135" t="s">
        <v>887</v>
      </c>
      <c r="G23" s="114">
        <v>27.599999999999998</v>
      </c>
      <c r="H23" s="113"/>
      <c r="J23" s="135" t="s">
        <v>1100</v>
      </c>
      <c r="K23" s="94">
        <v>100</v>
      </c>
      <c r="L23" s="18">
        <v>85</v>
      </c>
      <c r="M23" s="18">
        <v>85</v>
      </c>
      <c r="N23" s="117"/>
    </row>
    <row r="24" spans="1:14">
      <c r="A24" s="134" t="s">
        <v>1273</v>
      </c>
      <c r="B24" s="136">
        <v>3.5</v>
      </c>
      <c r="C24" s="137">
        <v>2.5</v>
      </c>
      <c r="D24" s="67"/>
      <c r="F24" s="135" t="s">
        <v>881</v>
      </c>
      <c r="G24" s="114">
        <v>30.799999999999997</v>
      </c>
      <c r="H24" s="113"/>
      <c r="J24" s="115" t="s">
        <v>1099</v>
      </c>
      <c r="K24" s="94">
        <v>99</v>
      </c>
      <c r="L24" s="18">
        <v>75</v>
      </c>
      <c r="M24" s="18">
        <v>75</v>
      </c>
      <c r="N24" s="117"/>
    </row>
    <row r="25" spans="1:14">
      <c r="A25" s="134" t="s">
        <v>1274</v>
      </c>
      <c r="B25" s="136">
        <v>4.5</v>
      </c>
      <c r="C25" s="137">
        <v>1.5</v>
      </c>
      <c r="D25" s="67"/>
      <c r="F25" s="63" t="s">
        <v>1096</v>
      </c>
      <c r="G25" s="114">
        <v>7.2</v>
      </c>
      <c r="H25" s="113"/>
      <c r="J25" s="115" t="s">
        <v>1097</v>
      </c>
      <c r="K25" s="94">
        <v>80</v>
      </c>
      <c r="L25" s="18">
        <v>70</v>
      </c>
      <c r="M25" s="18">
        <v>65</v>
      </c>
      <c r="N25" s="11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8"/>
  <dimension ref="A1:N25"/>
  <sheetViews>
    <sheetView workbookViewId="0"/>
  </sheetViews>
  <sheetFormatPr defaultColWidth="9" defaultRowHeight="16.5"/>
  <cols>
    <col min="2" max="2" width="11.125" bestFit="1" customWidth="1"/>
    <col min="4" max="4" width="15" bestFit="1" customWidth="1"/>
    <col min="5" max="5" width="1.625" customWidth="1"/>
    <col min="8" max="8" width="14.75" bestFit="1" customWidth="1"/>
    <col min="9" max="9" width="1.625" customWidth="1"/>
    <col min="12" max="12" width="9.25" customWidth="1"/>
    <col min="13" max="13" width="9.625" customWidth="1"/>
    <col min="14" max="14" width="10.75" bestFit="1" customWidth="1"/>
  </cols>
  <sheetData>
    <row r="1" spans="1:14">
      <c r="A1" t="s">
        <v>1087</v>
      </c>
      <c r="F1" t="s">
        <v>1110</v>
      </c>
      <c r="J1" s="106" t="s">
        <v>916</v>
      </c>
      <c r="K1" s="19"/>
      <c r="L1" s="112"/>
      <c r="M1" s="112"/>
      <c r="N1" s="112"/>
    </row>
    <row r="2" spans="1:14">
      <c r="A2" s="41" t="s">
        <v>1251</v>
      </c>
      <c r="B2" s="41" t="s">
        <v>1248</v>
      </c>
      <c r="C2" s="41" t="s">
        <v>1246</v>
      </c>
      <c r="D2" s="79" t="s">
        <v>1261</v>
      </c>
      <c r="F2" s="41" t="s">
        <v>1275</v>
      </c>
      <c r="G2" s="41" t="s">
        <v>1286</v>
      </c>
      <c r="H2" s="79" t="s">
        <v>1104</v>
      </c>
      <c r="J2" s="80" t="s">
        <v>1079</v>
      </c>
      <c r="K2" s="80" t="s">
        <v>291</v>
      </c>
      <c r="L2" s="118" t="s">
        <v>1078</v>
      </c>
      <c r="M2" s="118" t="s">
        <v>1109</v>
      </c>
      <c r="N2" s="116" t="s">
        <v>1108</v>
      </c>
    </row>
    <row r="3" spans="1:14">
      <c r="A3" s="130" t="s">
        <v>420</v>
      </c>
      <c r="B3" s="64">
        <v>45868</v>
      </c>
      <c r="C3" s="131" t="s">
        <v>1247</v>
      </c>
      <c r="D3" s="96" t="str" cm="1">
        <f t="array" ref="D3">fn분류결과(C3,B3)</f>
        <v>2025-현금납부</v>
      </c>
      <c r="F3" s="107" t="s">
        <v>1276</v>
      </c>
      <c r="G3" s="107">
        <v>80</v>
      </c>
      <c r="H3" s="96" t="str" cm="1">
        <f t="array" ref="H3">fn비고결과(G3,F3)</f>
        <v>주간보호센터</v>
      </c>
      <c r="J3" s="111">
        <v>24</v>
      </c>
      <c r="K3" s="107" t="s">
        <v>1024</v>
      </c>
      <c r="L3" s="17">
        <v>5</v>
      </c>
      <c r="M3" s="17">
        <v>3</v>
      </c>
      <c r="N3" s="117" t="str" cm="1">
        <f t="array" ref="N3">fn가입상태결과(L3,M3)</f>
        <v>휴면보험</v>
      </c>
    </row>
    <row r="4" spans="1:14">
      <c r="A4" s="130" t="s">
        <v>1252</v>
      </c>
      <c r="B4" s="64">
        <v>45899</v>
      </c>
      <c r="C4" s="131" t="s">
        <v>1249</v>
      </c>
      <c r="D4" s="96" t="str" cm="1">
        <f t="array" ref="D4">fn분류결과(C4,B4)</f>
        <v>2025-카드납부</v>
      </c>
      <c r="F4" s="94" t="s">
        <v>1285</v>
      </c>
      <c r="G4" s="94">
        <v>70</v>
      </c>
      <c r="H4" s="96" t="str" cm="1">
        <f t="array" ref="H4">fn비고결과(G4,F4)</f>
        <v/>
      </c>
      <c r="J4" s="95">
        <v>41</v>
      </c>
      <c r="K4" s="94" t="s">
        <v>1020</v>
      </c>
      <c r="L4" s="18">
        <v>3</v>
      </c>
      <c r="M4" s="18">
        <v>0</v>
      </c>
      <c r="N4" s="117" t="str" cm="1">
        <f t="array" ref="N4">fn가입상태결과(L4,M4)</f>
        <v>정상</v>
      </c>
    </row>
    <row r="5" spans="1:14">
      <c r="A5" s="130" t="s">
        <v>1253</v>
      </c>
      <c r="B5" s="64">
        <v>45930</v>
      </c>
      <c r="C5" s="131" t="s">
        <v>1250</v>
      </c>
      <c r="D5" s="96" t="str" cm="1">
        <f t="array" ref="D5">fn분류결과(C5,B5)</f>
        <v>2025-현금납부</v>
      </c>
      <c r="F5" s="94" t="s">
        <v>1277</v>
      </c>
      <c r="G5" s="94">
        <v>85</v>
      </c>
      <c r="H5" s="96" t="str" cm="1">
        <f t="array" ref="H5">fn비고결과(G5,F5)</f>
        <v>요양</v>
      </c>
      <c r="J5" s="95">
        <v>50</v>
      </c>
      <c r="K5" s="94" t="s">
        <v>1019</v>
      </c>
      <c r="L5" s="18">
        <v>15</v>
      </c>
      <c r="M5" s="18">
        <v>0</v>
      </c>
      <c r="N5" s="117" t="str" cm="1">
        <f t="array" ref="N5">fn가입상태결과(L5,M5)</f>
        <v>정상</v>
      </c>
    </row>
    <row r="6" spans="1:14">
      <c r="A6" s="130" t="s">
        <v>1254</v>
      </c>
      <c r="B6" s="64">
        <v>45960</v>
      </c>
      <c r="C6" s="131" t="s">
        <v>1247</v>
      </c>
      <c r="D6" s="96" t="str" cm="1">
        <f t="array" ref="D6">fn분류결과(C6,B6)</f>
        <v>2025-현금납부</v>
      </c>
      <c r="F6" s="94" t="s">
        <v>1278</v>
      </c>
      <c r="G6" s="94">
        <v>95</v>
      </c>
      <c r="H6" s="96" t="str" cm="1">
        <f t="array" ref="H6">fn비고결과(G6,F6)</f>
        <v>주간보호센터</v>
      </c>
      <c r="J6" s="95">
        <v>29</v>
      </c>
      <c r="K6" s="94" t="s">
        <v>1027</v>
      </c>
      <c r="L6" s="18">
        <v>15</v>
      </c>
      <c r="M6" s="18">
        <v>0</v>
      </c>
      <c r="N6" s="117" t="str" cm="1">
        <f t="array" ref="N6">fn가입상태결과(L6,M6)</f>
        <v>정상</v>
      </c>
    </row>
    <row r="7" spans="1:14">
      <c r="A7" s="130" t="s">
        <v>1255</v>
      </c>
      <c r="B7" s="64">
        <v>45991</v>
      </c>
      <c r="C7" s="131" t="s">
        <v>1249</v>
      </c>
      <c r="D7" s="96" t="str" cm="1">
        <f t="array" ref="D7">fn분류결과(C7,B7)</f>
        <v>2025-카드납부</v>
      </c>
      <c r="F7" s="94" t="s">
        <v>1279</v>
      </c>
      <c r="G7" s="94">
        <v>90</v>
      </c>
      <c r="H7" s="96" t="str" cm="1">
        <f t="array" ref="H7">fn비고결과(G7,F7)</f>
        <v>주간보호센터</v>
      </c>
      <c r="J7" s="95">
        <v>42</v>
      </c>
      <c r="K7" s="94" t="s">
        <v>1027</v>
      </c>
      <c r="L7" s="18">
        <v>5</v>
      </c>
      <c r="M7" s="18">
        <v>1</v>
      </c>
      <c r="N7" s="117" t="str" cm="1">
        <f t="array" ref="N7">fn가입상태결과(L7,M7)</f>
        <v>1개월 미납</v>
      </c>
    </row>
    <row r="8" spans="1:14">
      <c r="A8" s="130" t="s">
        <v>1256</v>
      </c>
      <c r="B8" s="64">
        <v>46021</v>
      </c>
      <c r="C8" s="131" t="s">
        <v>1247</v>
      </c>
      <c r="D8" s="96" t="str" cm="1">
        <f t="array" ref="D8">fn분류결과(C8,B8)</f>
        <v>2025-현금납부</v>
      </c>
      <c r="F8" s="94" t="s">
        <v>1280</v>
      </c>
      <c r="G8" s="94">
        <v>75</v>
      </c>
      <c r="H8" s="96" t="str" cm="1">
        <f t="array" ref="H8">fn비고결과(G8,F8)</f>
        <v/>
      </c>
      <c r="J8" s="95">
        <v>7</v>
      </c>
      <c r="K8" s="94" t="s">
        <v>1027</v>
      </c>
      <c r="L8" s="18">
        <v>10</v>
      </c>
      <c r="M8" s="18">
        <v>0</v>
      </c>
      <c r="N8" s="117" t="str" cm="1">
        <f t="array" ref="N8">fn가입상태결과(L8,M8)</f>
        <v>정상</v>
      </c>
    </row>
    <row r="9" spans="1:14">
      <c r="A9" s="130" t="s">
        <v>1257</v>
      </c>
      <c r="B9" s="64">
        <v>46052</v>
      </c>
      <c r="C9" s="131" t="s">
        <v>1250</v>
      </c>
      <c r="D9" s="96" t="str" cm="1">
        <f t="array" ref="D9">fn분류결과(C9,B9)</f>
        <v>2026-현금납부</v>
      </c>
      <c r="F9" s="94" t="s">
        <v>1281</v>
      </c>
      <c r="G9" s="94">
        <v>65</v>
      </c>
      <c r="H9" s="96" t="str" cm="1">
        <f t="array" ref="H9">fn비고결과(G9,F9)</f>
        <v/>
      </c>
      <c r="J9" s="95">
        <v>45</v>
      </c>
      <c r="K9" s="94" t="s">
        <v>1019</v>
      </c>
      <c r="L9" s="18">
        <v>14</v>
      </c>
      <c r="M9" s="18">
        <v>1</v>
      </c>
      <c r="N9" s="117" t="str" cm="1">
        <f t="array" ref="N9">fn가입상태결과(L9,M9)</f>
        <v>1개월 미납</v>
      </c>
    </row>
    <row r="10" spans="1:14">
      <c r="A10" s="130" t="s">
        <v>1258</v>
      </c>
      <c r="B10" s="64">
        <v>46078</v>
      </c>
      <c r="C10" s="131" t="s">
        <v>1249</v>
      </c>
      <c r="D10" s="96" t="str" cm="1">
        <f t="array" ref="D10">fn분류결과(C10,B10)</f>
        <v>2026-카드납부</v>
      </c>
      <c r="F10" s="94" t="s">
        <v>1282</v>
      </c>
      <c r="G10" s="94">
        <v>95</v>
      </c>
      <c r="H10" s="96" t="str" cm="1">
        <f t="array" ref="H10">fn비고결과(G10,F10)</f>
        <v>주간보호센터</v>
      </c>
      <c r="J10" s="95">
        <v>16</v>
      </c>
      <c r="K10" s="94" t="s">
        <v>1027</v>
      </c>
      <c r="L10" s="18">
        <v>5</v>
      </c>
      <c r="M10" s="18">
        <v>1</v>
      </c>
      <c r="N10" s="117" t="str" cm="1">
        <f t="array" ref="N10">fn가입상태결과(L10,M10)</f>
        <v>1개월 미납</v>
      </c>
    </row>
    <row r="11" spans="1:14">
      <c r="A11" s="130" t="s">
        <v>1259</v>
      </c>
      <c r="B11" s="64">
        <v>46111</v>
      </c>
      <c r="C11" s="131" t="s">
        <v>1250</v>
      </c>
      <c r="D11" s="96" t="str" cm="1">
        <f t="array" ref="D11">fn분류결과(C11,B11)</f>
        <v>2026-현금납부</v>
      </c>
      <c r="F11" s="94" t="s">
        <v>1283</v>
      </c>
      <c r="G11" s="94">
        <v>90</v>
      </c>
      <c r="H11" s="96" t="str" cm="1">
        <f t="array" ref="H11">fn비고결과(G11,F11)</f>
        <v>주간보호센터</v>
      </c>
      <c r="J11" s="95">
        <v>51</v>
      </c>
      <c r="K11" s="94" t="s">
        <v>1024</v>
      </c>
      <c r="L11" s="18">
        <v>8</v>
      </c>
      <c r="M11" s="18">
        <v>0</v>
      </c>
      <c r="N11" s="117" t="str" cm="1">
        <f t="array" ref="N11">fn가입상태결과(L11,M11)</f>
        <v>정상</v>
      </c>
    </row>
    <row r="12" spans="1:14">
      <c r="A12" s="130" t="s">
        <v>1260</v>
      </c>
      <c r="B12" s="64">
        <v>46142</v>
      </c>
      <c r="C12" s="131" t="s">
        <v>1249</v>
      </c>
      <c r="D12" s="96" t="str" cm="1">
        <f t="array" ref="D12">fn분류결과(C12,B12)</f>
        <v>2026-카드납부</v>
      </c>
      <c r="F12" s="94" t="s">
        <v>1284</v>
      </c>
      <c r="G12" s="94">
        <v>80</v>
      </c>
      <c r="H12" s="96" t="str" cm="1">
        <f t="array" ref="H12">fn비고결과(G12,F12)</f>
        <v>요양</v>
      </c>
      <c r="J12" s="95">
        <v>46</v>
      </c>
      <c r="K12" s="94" t="s">
        <v>1024</v>
      </c>
      <c r="L12" s="18">
        <v>8</v>
      </c>
      <c r="M12" s="18">
        <v>2</v>
      </c>
      <c r="N12" s="117" t="str" cm="1">
        <f t="array" ref="N12">fn가입상태결과(L12,M12)</f>
        <v>2개월 미납</v>
      </c>
    </row>
    <row r="14" spans="1:14">
      <c r="A14" t="s">
        <v>1113</v>
      </c>
      <c r="B14" s="56"/>
      <c r="F14" s="5" t="s">
        <v>1107</v>
      </c>
      <c r="G14" s="5"/>
      <c r="H14" s="5"/>
      <c r="J14" t="s">
        <v>1112</v>
      </c>
    </row>
    <row r="15" spans="1:14">
      <c r="A15" s="41" t="s">
        <v>57</v>
      </c>
      <c r="B15" s="41" t="s">
        <v>1262</v>
      </c>
      <c r="C15" s="41" t="s">
        <v>1263</v>
      </c>
      <c r="D15" s="79" t="s">
        <v>1264</v>
      </c>
      <c r="F15" s="80" t="s">
        <v>304</v>
      </c>
      <c r="G15" s="80" t="s">
        <v>1106</v>
      </c>
      <c r="H15" s="116" t="s">
        <v>1111</v>
      </c>
      <c r="J15" s="41" t="s">
        <v>206</v>
      </c>
      <c r="K15" s="80" t="s">
        <v>1287</v>
      </c>
      <c r="L15" s="118" t="s">
        <v>1288</v>
      </c>
      <c r="M15" s="118" t="s">
        <v>1289</v>
      </c>
      <c r="N15" s="116" t="s">
        <v>181</v>
      </c>
    </row>
    <row r="16" spans="1:14">
      <c r="A16" s="132" t="s">
        <v>1265</v>
      </c>
      <c r="B16" s="136">
        <v>5</v>
      </c>
      <c r="C16" s="137">
        <v>5</v>
      </c>
      <c r="D16" s="67" cm="1">
        <f t="array" ref="D16">fn포인트결과(B16,C16)</f>
        <v>1000</v>
      </c>
      <c r="F16" s="133" t="s">
        <v>905</v>
      </c>
      <c r="G16" s="114">
        <v>35</v>
      </c>
      <c r="H16" s="113" t="str" cm="1">
        <f t="array" ref="H16">fn기타결과(G16)</f>
        <v>■■■</v>
      </c>
      <c r="J16" s="133" t="s">
        <v>1103</v>
      </c>
      <c r="K16" s="107">
        <v>100</v>
      </c>
      <c r="L16" s="17">
        <v>95</v>
      </c>
      <c r="M16" s="17">
        <v>95</v>
      </c>
      <c r="N16" s="117" t="str" cm="1">
        <f t="array" ref="N16">fn등급결과(K16,L16,M16)</f>
        <v>1등급</v>
      </c>
    </row>
    <row r="17" spans="1:14">
      <c r="A17" s="132" t="s">
        <v>1266</v>
      </c>
      <c r="B17" s="136">
        <v>3</v>
      </c>
      <c r="C17" s="137">
        <v>3</v>
      </c>
      <c r="D17" s="67" cm="1">
        <f t="array" ref="D17">fn포인트결과(B17,C17)</f>
        <v>500</v>
      </c>
      <c r="F17" s="133" t="s">
        <v>902</v>
      </c>
      <c r="G17" s="114">
        <v>19.2</v>
      </c>
      <c r="H17" s="113" t="str" cm="1">
        <f t="array" ref="H17">fn기타결과(G17)</f>
        <v>■</v>
      </c>
      <c r="J17" s="133" t="s">
        <v>1095</v>
      </c>
      <c r="K17" s="94">
        <v>100</v>
      </c>
      <c r="L17" s="18">
        <v>89</v>
      </c>
      <c r="M17" s="18">
        <v>85</v>
      </c>
      <c r="N17" s="117" t="str" cm="1">
        <f t="array" ref="N17">fn등급결과(K17,L17,M17)</f>
        <v/>
      </c>
    </row>
    <row r="18" spans="1:14">
      <c r="A18" s="132" t="s">
        <v>1267</v>
      </c>
      <c r="B18" s="136">
        <v>2.5</v>
      </c>
      <c r="C18" s="137">
        <v>2</v>
      </c>
      <c r="D18" s="67" cm="1">
        <f t="array" ref="D18">fn포인트결과(B18,C18)</f>
        <v>0</v>
      </c>
      <c r="F18" s="133" t="s">
        <v>900</v>
      </c>
      <c r="G18" s="114">
        <v>18.400000000000002</v>
      </c>
      <c r="H18" s="113" t="str" cm="1">
        <f t="array" ref="H18">fn기타결과(G18)</f>
        <v>■</v>
      </c>
      <c r="J18" s="133" t="s">
        <v>1100</v>
      </c>
      <c r="K18" s="94">
        <v>99</v>
      </c>
      <c r="L18" s="18">
        <v>99</v>
      </c>
      <c r="M18" s="18">
        <v>88</v>
      </c>
      <c r="N18" s="117" t="str" cm="1">
        <f t="array" ref="N18">fn등급결과(K18,L18,M18)</f>
        <v>2등급</v>
      </c>
    </row>
    <row r="19" spans="1:14">
      <c r="A19" s="132" t="s">
        <v>1268</v>
      </c>
      <c r="B19" s="136">
        <v>5</v>
      </c>
      <c r="C19" s="137">
        <v>5</v>
      </c>
      <c r="D19" s="67" cm="1">
        <f t="array" ref="D19">fn포인트결과(B19,C19)</f>
        <v>1000</v>
      </c>
      <c r="F19" s="133" t="s">
        <v>898</v>
      </c>
      <c r="G19" s="114">
        <v>28.799999999999997</v>
      </c>
      <c r="H19" s="113" t="str" cm="1">
        <f t="array" ref="H19">fn기타결과(G19)</f>
        <v>■■</v>
      </c>
      <c r="J19" s="115" t="s">
        <v>1101</v>
      </c>
      <c r="K19" s="94">
        <v>95</v>
      </c>
      <c r="L19" s="18">
        <v>80</v>
      </c>
      <c r="M19" s="18">
        <v>80</v>
      </c>
      <c r="N19" s="117" t="str" cm="1">
        <f t="array" ref="N19">fn등급결과(K19,L19,M19)</f>
        <v/>
      </c>
    </row>
    <row r="20" spans="1:14">
      <c r="A20" s="132" t="s">
        <v>1269</v>
      </c>
      <c r="B20" s="136">
        <v>4</v>
      </c>
      <c r="C20" s="137">
        <v>3</v>
      </c>
      <c r="D20" s="67" cm="1">
        <f t="array" ref="D20">fn포인트결과(B20,C20)</f>
        <v>700</v>
      </c>
      <c r="F20" s="133" t="s">
        <v>895</v>
      </c>
      <c r="G20" s="114">
        <v>25.2</v>
      </c>
      <c r="H20" s="113" t="str" cm="1">
        <f t="array" ref="H20">fn기타결과(G20)</f>
        <v>■■</v>
      </c>
      <c r="J20" s="115" t="s">
        <v>1102</v>
      </c>
      <c r="K20" s="94">
        <v>98</v>
      </c>
      <c r="L20" s="18">
        <v>75</v>
      </c>
      <c r="M20" s="18">
        <v>75</v>
      </c>
      <c r="N20" s="117" t="str" cm="1">
        <f t="array" ref="N20">fn등급결과(K20,L20,M20)</f>
        <v/>
      </c>
    </row>
    <row r="21" spans="1:14">
      <c r="A21" s="132" t="s">
        <v>1270</v>
      </c>
      <c r="B21" s="136">
        <v>3</v>
      </c>
      <c r="C21" s="137">
        <v>2</v>
      </c>
      <c r="D21" s="67" cm="1">
        <f t="array" ref="D21">fn포인트결과(B21,C21)</f>
        <v>500</v>
      </c>
      <c r="F21" s="133" t="s">
        <v>892</v>
      </c>
      <c r="G21" s="114">
        <v>30</v>
      </c>
      <c r="H21" s="113" t="str" cm="1">
        <f t="array" ref="H21">fn기타결과(G21)</f>
        <v>■■■</v>
      </c>
      <c r="J21" s="133" t="s">
        <v>1098</v>
      </c>
      <c r="K21" s="94">
        <v>100</v>
      </c>
      <c r="L21" s="18">
        <v>85</v>
      </c>
      <c r="M21" s="18">
        <v>99</v>
      </c>
      <c r="N21" s="117" t="str" cm="1">
        <f t="array" ref="N21">fn등급결과(K21,L21,M21)</f>
        <v>2등급</v>
      </c>
    </row>
    <row r="22" spans="1:14">
      <c r="A22" s="132" t="s">
        <v>1271</v>
      </c>
      <c r="B22" s="136">
        <v>2</v>
      </c>
      <c r="C22" s="137">
        <v>2.5</v>
      </c>
      <c r="D22" s="67" cm="1">
        <f t="array" ref="D22">fn포인트결과(B22,C22)</f>
        <v>0</v>
      </c>
      <c r="F22" s="133" t="s">
        <v>731</v>
      </c>
      <c r="G22" s="114">
        <v>30.799999999999997</v>
      </c>
      <c r="H22" s="113" t="str" cm="1">
        <f t="array" ref="H22">fn기타결과(G22)</f>
        <v>■■■</v>
      </c>
      <c r="J22" s="115" t="s">
        <v>1101</v>
      </c>
      <c r="K22" s="94">
        <v>99</v>
      </c>
      <c r="L22" s="18">
        <v>90</v>
      </c>
      <c r="M22" s="18">
        <v>88</v>
      </c>
      <c r="N22" s="117" t="str" cm="1">
        <f t="array" ref="N22">fn등급결과(K22,L22,M22)</f>
        <v/>
      </c>
    </row>
    <row r="23" spans="1:14">
      <c r="A23" s="132" t="s">
        <v>1272</v>
      </c>
      <c r="B23" s="136">
        <v>2.5</v>
      </c>
      <c r="C23" s="137">
        <v>4.5</v>
      </c>
      <c r="D23" s="67" cm="1">
        <f t="array" ref="D23">fn포인트결과(B23,C23)</f>
        <v>700</v>
      </c>
      <c r="F23" s="133" t="s">
        <v>887</v>
      </c>
      <c r="G23" s="114">
        <v>27.599999999999998</v>
      </c>
      <c r="H23" s="113" t="str" cm="1">
        <f t="array" ref="H23">fn기타결과(G23)</f>
        <v>■■</v>
      </c>
      <c r="J23" s="133" t="s">
        <v>1100</v>
      </c>
      <c r="K23" s="94">
        <v>100</v>
      </c>
      <c r="L23" s="18">
        <v>85</v>
      </c>
      <c r="M23" s="18">
        <v>85</v>
      </c>
      <c r="N23" s="117" t="str" cm="1">
        <f t="array" ref="N23">fn등급결과(K23,L23,M23)</f>
        <v/>
      </c>
    </row>
    <row r="24" spans="1:14">
      <c r="A24" s="132" t="s">
        <v>1273</v>
      </c>
      <c r="B24" s="136">
        <v>3.5</v>
      </c>
      <c r="C24" s="137">
        <v>2.5</v>
      </c>
      <c r="D24" s="67" cm="1">
        <f t="array" ref="D24">fn포인트결과(B24,C24)</f>
        <v>500</v>
      </c>
      <c r="F24" s="133" t="s">
        <v>881</v>
      </c>
      <c r="G24" s="114">
        <v>30.799999999999997</v>
      </c>
      <c r="H24" s="113" t="str" cm="1">
        <f t="array" ref="H24">fn기타결과(G24)</f>
        <v>■■■</v>
      </c>
      <c r="J24" s="115" t="s">
        <v>1099</v>
      </c>
      <c r="K24" s="94">
        <v>99</v>
      </c>
      <c r="L24" s="18">
        <v>75</v>
      </c>
      <c r="M24" s="18">
        <v>75</v>
      </c>
      <c r="N24" s="117" t="str" cm="1">
        <f t="array" ref="N24">fn등급결과(K24,L24,M24)</f>
        <v/>
      </c>
    </row>
    <row r="25" spans="1:14">
      <c r="A25" s="132" t="s">
        <v>1274</v>
      </c>
      <c r="B25" s="136">
        <v>4.5</v>
      </c>
      <c r="C25" s="137">
        <v>1.5</v>
      </c>
      <c r="D25" s="67" cm="1">
        <f t="array" ref="D25">fn포인트결과(B25,C25)</f>
        <v>500</v>
      </c>
      <c r="F25" s="63" t="s">
        <v>1096</v>
      </c>
      <c r="G25" s="114">
        <v>7.2</v>
      </c>
      <c r="H25" s="113" t="str" cm="1">
        <f t="array" ref="H25">fn기타결과(G25)</f>
        <v>노력요함</v>
      </c>
      <c r="J25" s="115" t="s">
        <v>1097</v>
      </c>
      <c r="K25" s="94">
        <v>80</v>
      </c>
      <c r="L25" s="18">
        <v>70</v>
      </c>
      <c r="M25" s="18">
        <v>65</v>
      </c>
      <c r="N25" s="117" t="str" cm="1">
        <f t="array" ref="N25">fn등급결과(K25,L25,M25)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데이터베이스</vt:lpstr>
      <vt:lpstr>데이터베이스(결과)</vt:lpstr>
      <vt:lpstr>수학삼각</vt:lpstr>
      <vt:lpstr>수학삼각(결과)</vt:lpstr>
      <vt:lpstr>통계</vt:lpstr>
      <vt:lpstr>통계(결과)</vt:lpstr>
      <vt:lpstr>찾기참조1</vt:lpstr>
      <vt:lpstr>찾기참조1(결과)</vt:lpstr>
      <vt:lpstr>찾기참조2</vt:lpstr>
      <vt:lpstr>찾기참조2(결과)</vt:lpstr>
      <vt:lpstr>날짜</vt:lpstr>
      <vt:lpstr>날짜(결과)</vt:lpstr>
      <vt:lpstr>텍스트1</vt:lpstr>
      <vt:lpstr>텍스트1(결과)</vt:lpstr>
      <vt:lpstr>텍스트2</vt:lpstr>
      <vt:lpstr>텍스트2(결과)</vt:lpstr>
      <vt:lpstr>논리1</vt:lpstr>
      <vt:lpstr>논리1(결과)</vt:lpstr>
      <vt:lpstr>논리2</vt:lpstr>
      <vt:lpstr>논리2(결과)</vt:lpstr>
      <vt:lpstr>재무</vt:lpstr>
      <vt:lpstr>재무(결과)</vt:lpstr>
      <vt:lpstr>정보</vt:lpstr>
      <vt:lpstr>정보(결과)</vt:lpstr>
      <vt:lpstr>배열1</vt:lpstr>
      <vt:lpstr>배열1(결과)</vt:lpstr>
      <vt:lpstr>배열2</vt:lpstr>
      <vt:lpstr>배열2(결과)</vt:lpstr>
      <vt:lpstr>사용자정의</vt:lpstr>
      <vt:lpstr>사용자정의(결과)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2020-04-05T12:37:38Z</dcterms:created>
  <dcterms:modified xsi:type="dcterms:W3CDTF">2024-08-14T08:07:11Z</dcterms:modified>
</cp:coreProperties>
</file>