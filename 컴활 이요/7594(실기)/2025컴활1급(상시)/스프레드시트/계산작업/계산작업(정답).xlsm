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5년)\1급\기본서\2025컴활1급\3권_문제집\계산작업\"/>
    </mc:Choice>
  </mc:AlternateContent>
  <xr:revisionPtr revIDLastSave="0" documentId="13_ncr:1_{F4F5EF28-ADE7-440C-A3B1-D42809585F9A}" xr6:coauthVersionLast="47" xr6:coauthVersionMax="47" xr10:uidLastSave="{00000000-0000-0000-0000-000000000000}"/>
  <bookViews>
    <workbookView xWindow="11835" yWindow="1155" windowWidth="14175" windowHeight="13155" tabRatio="886" xr2:uid="{00000000-000D-0000-FFFF-FFFF00000000}"/>
  </bookViews>
  <sheets>
    <sheet name="계산작업1회" sheetId="26" r:id="rId1"/>
    <sheet name="계산작업2회" sheetId="23" r:id="rId2"/>
    <sheet name="계산작업3회" sheetId="3" r:id="rId3"/>
    <sheet name="계산작업4회" sheetId="4" r:id="rId4"/>
    <sheet name="계산작업5회" sheetId="5" r:id="rId5"/>
    <sheet name="계산작업6회" sheetId="6" r:id="rId6"/>
    <sheet name="계산작업7회" sheetId="25" r:id="rId7"/>
    <sheet name="계산작업8회" sheetId="10" r:id="rId8"/>
    <sheet name="계산작업9회" sheetId="9" r:id="rId9"/>
    <sheet name="계산작업10회" sheetId="21" r:id="rId10"/>
  </sheets>
  <functionGroups builtInGroupCount="19"/>
  <definedNames>
    <definedName name="_xlnm._FilterDatabase" localSheetId="1" hidden="1">계산작업2회!$A$2:$I$26</definedName>
    <definedName name="_xlnm._FilterDatabase" localSheetId="6" hidden="1">계산작업7회!$A$2:$E$28</definedName>
    <definedName name="_xlnm._FilterDatabase" localSheetId="8" hidden="1">계산작업9회!$C$2:$C$22</definedName>
    <definedName name="_xlnm.Criteria" localSheetId="6">계산작업7회!#REF!</definedName>
    <definedName name="_xlnm.Extract" localSheetId="6">계산작업7회!#REF!</definedName>
    <definedName name="_xlnm.Extract" localSheetId="8">계산작업9회!$G$10</definedName>
    <definedName name="이익금합계" localSheetId="0">#REF!</definedName>
    <definedName name="이익금합계">#REF!</definedName>
    <definedName name="할인율" localSheetId="0">#REF!</definedName>
    <definedName name="할인율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25" l="1" a="1"/>
  <c r="J3" i="25" s="1"/>
  <c r="N26" i="25" a="1"/>
  <c r="N26" i="25" s="1"/>
  <c r="N27" i="25" a="1"/>
  <c r="N27" i="25" s="1"/>
  <c r="M27" i="25" a="1"/>
  <c r="M27" i="25" s="1"/>
  <c r="M26" i="25" a="1"/>
  <c r="M26" i="25" s="1"/>
  <c r="L9" i="23" l="1" a="1"/>
  <c r="L9" i="23" s="1"/>
  <c r="N18" i="25" a="1"/>
  <c r="N18" i="25" s="1"/>
  <c r="L10" i="23" a="1"/>
  <c r="L10" i="23" s="1"/>
  <c r="L11" i="23" a="1"/>
  <c r="L11" i="23"/>
  <c r="L12" i="23" a="1"/>
  <c r="L12" i="23"/>
  <c r="L13" i="23" a="1"/>
  <c r="L13" i="23"/>
  <c r="L14" i="23" a="1"/>
  <c r="L14" i="23" s="1"/>
  <c r="L15" i="23" a="1"/>
  <c r="L15" i="23"/>
  <c r="F3" i="25" a="1"/>
  <c r="N22" i="25" l="1"/>
  <c r="N21" i="25"/>
  <c r="N20" i="25"/>
  <c r="N19" i="25"/>
  <c r="F3" i="25"/>
  <c r="K10" i="26"/>
  <c r="L4" i="26" a="1"/>
  <c r="L4" i="26"/>
  <c r="M4" i="26" a="1"/>
  <c r="M4" i="26" s="1"/>
  <c r="N4" i="26" a="1"/>
  <c r="N4" i="26" s="1"/>
  <c r="L5" i="26" a="1"/>
  <c r="L5" i="26"/>
  <c r="M5" i="26" a="1"/>
  <c r="M5" i="26" s="1"/>
  <c r="N5" i="26" a="1"/>
  <c r="N5" i="26" s="1"/>
  <c r="L6" i="26" a="1"/>
  <c r="L6" i="26" s="1"/>
  <c r="M6" i="26" a="1"/>
  <c r="M6" i="26" s="1"/>
  <c r="N6" i="26" a="1"/>
  <c r="N6" i="26" s="1"/>
  <c r="K5" i="26" a="1"/>
  <c r="K5" i="26" s="1"/>
  <c r="K6" i="26" a="1"/>
  <c r="K6" i="26" s="1"/>
  <c r="K4" i="26" a="1"/>
  <c r="K4" i="26" s="1"/>
  <c r="G23" i="26"/>
  <c r="A23" i="26"/>
  <c r="G22" i="26"/>
  <c r="A22" i="26"/>
  <c r="G21" i="26"/>
  <c r="A21" i="26"/>
  <c r="G20" i="26"/>
  <c r="A20" i="26"/>
  <c r="G19" i="26"/>
  <c r="A19" i="26"/>
  <c r="G18" i="26"/>
  <c r="A18" i="26"/>
  <c r="G17" i="26"/>
  <c r="A17" i="26"/>
  <c r="G16" i="26"/>
  <c r="A16" i="26"/>
  <c r="G15" i="26"/>
  <c r="A15" i="26"/>
  <c r="G14" i="26"/>
  <c r="A14" i="26"/>
  <c r="G13" i="26"/>
  <c r="A13" i="26"/>
  <c r="L12" i="26"/>
  <c r="K12" i="26"/>
  <c r="G12" i="26"/>
  <c r="A12" i="26"/>
  <c r="L11" i="26"/>
  <c r="K11" i="26"/>
  <c r="G11" i="26"/>
  <c r="A11" i="26"/>
  <c r="L10" i="26"/>
  <c r="G10" i="26"/>
  <c r="A10" i="26"/>
  <c r="G9" i="26"/>
  <c r="A9" i="26"/>
  <c r="G8" i="26"/>
  <c r="A8" i="26"/>
  <c r="G7" i="26"/>
  <c r="A7" i="26"/>
  <c r="G6" i="26"/>
  <c r="A6" i="26"/>
  <c r="G5" i="26"/>
  <c r="A5" i="26"/>
  <c r="G4" i="26"/>
  <c r="A4" i="26"/>
  <c r="G3" i="26"/>
  <c r="A3" i="26"/>
  <c r="H9" i="26" a="1"/>
  <c r="H15" i="26" a="1"/>
  <c r="H22" i="26" a="1"/>
  <c r="H20" i="26" a="1"/>
  <c r="H13" i="26" a="1"/>
  <c r="H17" i="26" a="1"/>
  <c r="H11" i="26" a="1"/>
  <c r="H10" i="26" a="1"/>
  <c r="H7" i="26" a="1"/>
  <c r="H18" i="26" a="1"/>
  <c r="H21" i="26" a="1"/>
  <c r="H8" i="26" a="1"/>
  <c r="H19" i="26" a="1"/>
  <c r="H12" i="26" a="1"/>
  <c r="H16" i="26" a="1"/>
  <c r="H4" i="26" a="1"/>
  <c r="H5" i="26" a="1"/>
  <c r="H3" i="26" a="1"/>
  <c r="H23" i="26" a="1"/>
  <c r="H6" i="26" a="1"/>
  <c r="H14" i="26" a="1"/>
  <c r="H3" i="26" l="1"/>
  <c r="H12" i="26"/>
  <c r="H19" i="26"/>
  <c r="H8" i="26"/>
  <c r="H13" i="26"/>
  <c r="H20" i="26"/>
  <c r="H21" i="26"/>
  <c r="H22" i="26"/>
  <c r="H18" i="26"/>
  <c r="H5" i="26"/>
  <c r="H15" i="26"/>
  <c r="H4" i="26"/>
  <c r="H7" i="26"/>
  <c r="H9" i="26"/>
  <c r="H14" i="26"/>
  <c r="H10" i="26"/>
  <c r="H6" i="26"/>
  <c r="H16" i="26"/>
  <c r="H11" i="26"/>
  <c r="H23" i="26"/>
  <c r="H17" i="26"/>
  <c r="J27" i="25" l="1" a="1"/>
  <c r="J27" i="25" s="1"/>
  <c r="B27" i="25"/>
  <c r="J26" i="25" a="1"/>
  <c r="J26" i="25" s="1"/>
  <c r="B26" i="25"/>
  <c r="J25" i="25" a="1"/>
  <c r="J25" i="25" s="1"/>
  <c r="B25" i="25"/>
  <c r="J24" i="25" a="1"/>
  <c r="J24" i="25" s="1"/>
  <c r="B24" i="25"/>
  <c r="J23" i="25" a="1"/>
  <c r="J23" i="25" s="1"/>
  <c r="B23" i="25"/>
  <c r="J22" i="25" a="1"/>
  <c r="J22" i="25" s="1"/>
  <c r="B22" i="25"/>
  <c r="J21" i="25" a="1"/>
  <c r="J21" i="25" s="1"/>
  <c r="B21" i="25"/>
  <c r="J20" i="25" a="1"/>
  <c r="J20" i="25" s="1"/>
  <c r="B20" i="25"/>
  <c r="J19" i="25" a="1"/>
  <c r="J19" i="25" s="1"/>
  <c r="B19" i="25"/>
  <c r="J18" i="25" a="1"/>
  <c r="J18" i="25" s="1"/>
  <c r="B18" i="25"/>
  <c r="J17" i="25" a="1"/>
  <c r="J17" i="25" s="1"/>
  <c r="B17" i="25"/>
  <c r="J16" i="25" a="1"/>
  <c r="J16" i="25" s="1"/>
  <c r="B16" i="25"/>
  <c r="J15" i="25" a="1"/>
  <c r="J15" i="25" s="1"/>
  <c r="B15" i="25"/>
  <c r="J14" i="25" a="1"/>
  <c r="J14" i="25" s="1"/>
  <c r="B14" i="25"/>
  <c r="J13" i="25" a="1"/>
  <c r="J13" i="25" s="1"/>
  <c r="B13" i="25"/>
  <c r="J12" i="25" a="1"/>
  <c r="J12" i="25" s="1"/>
  <c r="B12" i="25"/>
  <c r="J11" i="25" a="1"/>
  <c r="J11" i="25" s="1"/>
  <c r="B11" i="25"/>
  <c r="J10" i="25" a="1"/>
  <c r="J10" i="25" s="1"/>
  <c r="B10" i="25"/>
  <c r="J9" i="25" a="1"/>
  <c r="J9" i="25" s="1"/>
  <c r="B9" i="25"/>
  <c r="J8" i="25" a="1"/>
  <c r="J8" i="25" s="1"/>
  <c r="B8" i="25"/>
  <c r="J7" i="25" a="1"/>
  <c r="J7" i="25" s="1"/>
  <c r="B7" i="25"/>
  <c r="J6" i="25" a="1"/>
  <c r="J6" i="25" s="1"/>
  <c r="B6" i="25"/>
  <c r="J5" i="25" a="1"/>
  <c r="J5" i="25" s="1"/>
  <c r="B5" i="25"/>
  <c r="J4" i="25" a="1"/>
  <c r="J4" i="25" s="1"/>
  <c r="B4" i="25"/>
  <c r="B3" i="25"/>
  <c r="F16" i="25" a="1"/>
  <c r="F9" i="25" a="1"/>
  <c r="F10" i="25" a="1"/>
  <c r="F5" i="25" a="1"/>
  <c r="F4" i="25" a="1"/>
  <c r="F24" i="25" a="1"/>
  <c r="F7" i="25" a="1"/>
  <c r="F19" i="25" a="1"/>
  <c r="F11" i="25" a="1"/>
  <c r="F12" i="25" a="1"/>
  <c r="F20" i="25" a="1"/>
  <c r="F22" i="25" a="1"/>
  <c r="F23" i="25" a="1"/>
  <c r="F6" i="25" a="1"/>
  <c r="F17" i="25" a="1"/>
  <c r="F8" i="25" a="1"/>
  <c r="F13" i="25" a="1"/>
  <c r="F18" i="25" a="1"/>
  <c r="F21" i="25" a="1"/>
  <c r="F27" i="25" a="1"/>
  <c r="F26" i="25" a="1"/>
  <c r="F14" i="25" a="1"/>
  <c r="F15" i="25" a="1"/>
  <c r="F25" i="25" a="1"/>
  <c r="F23" i="25" l="1"/>
  <c r="F22" i="25"/>
  <c r="F21" i="25"/>
  <c r="F20" i="25"/>
  <c r="F18" i="25"/>
  <c r="F5" i="25"/>
  <c r="F26" i="25"/>
  <c r="F13" i="25"/>
  <c r="F12" i="25"/>
  <c r="F11" i="25"/>
  <c r="F10" i="25"/>
  <c r="F19" i="25"/>
  <c r="F9" i="25"/>
  <c r="F8" i="25"/>
  <c r="F27" i="25"/>
  <c r="F17" i="25"/>
  <c r="F7" i="25"/>
  <c r="F16" i="25"/>
  <c r="F6" i="25"/>
  <c r="F25" i="25"/>
  <c r="F15" i="25"/>
  <c r="F24" i="25"/>
  <c r="F14" i="25"/>
  <c r="F4" i="25"/>
  <c r="M3" i="23" l="1"/>
  <c r="N3" i="23"/>
  <c r="M4" i="23"/>
  <c r="N4" i="23"/>
  <c r="L4" i="23"/>
  <c r="L3" i="23"/>
  <c r="I26" i="23"/>
  <c r="A26" i="23"/>
  <c r="I25" i="23"/>
  <c r="A25" i="23"/>
  <c r="I24" i="23"/>
  <c r="A24" i="23"/>
  <c r="I23" i="23"/>
  <c r="A23" i="23"/>
  <c r="I22" i="23"/>
  <c r="A22" i="23"/>
  <c r="I21" i="23"/>
  <c r="A21" i="23"/>
  <c r="I20" i="23"/>
  <c r="A20" i="23"/>
  <c r="I19" i="23"/>
  <c r="A19" i="23"/>
  <c r="I18" i="23"/>
  <c r="A18" i="23"/>
  <c r="I17" i="23"/>
  <c r="A17" i="23"/>
  <c r="I16" i="23"/>
  <c r="A16" i="23"/>
  <c r="I15" i="23"/>
  <c r="A15" i="23"/>
  <c r="I14" i="23"/>
  <c r="A14" i="23"/>
  <c r="I13" i="23"/>
  <c r="A13" i="23"/>
  <c r="I12" i="23"/>
  <c r="A12" i="23"/>
  <c r="I11" i="23"/>
  <c r="A11" i="23"/>
  <c r="I10" i="23"/>
  <c r="A10" i="23"/>
  <c r="I9" i="23"/>
  <c r="A9" i="23"/>
  <c r="I8" i="23"/>
  <c r="A8" i="23"/>
  <c r="I7" i="23"/>
  <c r="A7" i="23"/>
  <c r="I6" i="23"/>
  <c r="A6" i="23"/>
  <c r="I5" i="23"/>
  <c r="A5" i="23"/>
  <c r="I4" i="23"/>
  <c r="A4" i="23"/>
  <c r="I3" i="23"/>
  <c r="A3" i="23"/>
  <c r="H4" i="23" a="1"/>
  <c r="H10" i="23" a="1"/>
  <c r="H23" i="23" a="1"/>
  <c r="H25" i="23" a="1"/>
  <c r="H8" i="23" a="1"/>
  <c r="H3" i="23" a="1"/>
  <c r="H7" i="23" a="1"/>
  <c r="H14" i="23" a="1"/>
  <c r="H21" i="23" a="1"/>
  <c r="H20" i="23" a="1"/>
  <c r="H9" i="23" a="1"/>
  <c r="H6" i="23" a="1"/>
  <c r="H19" i="23" a="1"/>
  <c r="H5" i="23" a="1"/>
  <c r="H18" i="23" a="1"/>
  <c r="H16" i="23" a="1"/>
  <c r="H17" i="23" a="1"/>
  <c r="H15" i="23" a="1"/>
  <c r="H11" i="23" a="1"/>
  <c r="H13" i="23" a="1"/>
  <c r="H12" i="23" a="1"/>
  <c r="H26" i="23" a="1"/>
  <c r="H24" i="23" a="1"/>
  <c r="H22" i="23" a="1"/>
  <c r="H14" i="23" l="1"/>
  <c r="H15" i="23"/>
  <c r="H16" i="23"/>
  <c r="H24" i="23"/>
  <c r="H12" i="23"/>
  <c r="H21" i="23"/>
  <c r="H10" i="23"/>
  <c r="H19" i="23"/>
  <c r="H5" i="23"/>
  <c r="H20" i="23"/>
  <c r="H6" i="23"/>
  <c r="H25" i="23"/>
  <c r="H22" i="23"/>
  <c r="H13" i="23"/>
  <c r="H23" i="23"/>
  <c r="H9" i="23"/>
  <c r="H4" i="23"/>
  <c r="H18" i="23"/>
  <c r="H11" i="23"/>
  <c r="H17" i="23"/>
  <c r="H7" i="23"/>
  <c r="H26" i="23"/>
  <c r="H8" i="23"/>
  <c r="H3" i="23"/>
  <c r="F4" i="10" l="1" a="1"/>
  <c r="F4" i="10"/>
  <c r="F5" i="10" a="1"/>
  <c r="F5" i="10"/>
  <c r="F6" i="10" a="1"/>
  <c r="F6" i="10"/>
  <c r="F7" i="10" a="1"/>
  <c r="F7" i="10"/>
  <c r="F8" i="10" a="1"/>
  <c r="F8" i="10" s="1"/>
  <c r="F9" i="10" a="1"/>
  <c r="F9" i="10"/>
  <c r="F10" i="10" a="1"/>
  <c r="F10" i="10"/>
  <c r="F11" i="10" a="1"/>
  <c r="F11" i="10" s="1"/>
  <c r="F12" i="10" a="1"/>
  <c r="F12" i="10" s="1"/>
  <c r="F13" i="10" a="1"/>
  <c r="F13" i="10"/>
  <c r="F14" i="10" a="1"/>
  <c r="F14" i="10"/>
  <c r="F15" i="10" a="1"/>
  <c r="F15" i="10"/>
  <c r="F16" i="10" a="1"/>
  <c r="F16" i="10"/>
  <c r="F3" i="10" a="1"/>
  <c r="F3" i="10" s="1"/>
  <c r="D4" i="5" a="1"/>
  <c r="D4" i="5" s="1"/>
  <c r="D5" i="5" a="1"/>
  <c r="D5" i="5" s="1"/>
  <c r="D6" i="5" a="1"/>
  <c r="D6" i="5" s="1"/>
  <c r="D7" i="5" a="1"/>
  <c r="D7" i="5" s="1"/>
  <c r="D8" i="5" a="1"/>
  <c r="D8" i="5" s="1"/>
  <c r="D9" i="5" a="1"/>
  <c r="D9" i="5" s="1"/>
  <c r="D10" i="5" a="1"/>
  <c r="D10" i="5"/>
  <c r="D11" i="5" a="1"/>
  <c r="D11" i="5" s="1"/>
  <c r="D12" i="5" a="1"/>
  <c r="D12" i="5" s="1"/>
  <c r="D13" i="5" a="1"/>
  <c r="D13" i="5" s="1"/>
  <c r="D14" i="5" a="1"/>
  <c r="D14" i="5" s="1"/>
  <c r="D15" i="5" a="1"/>
  <c r="D15" i="5" s="1"/>
  <c r="D16" i="5" a="1"/>
  <c r="D16" i="5" s="1"/>
  <c r="D17" i="5" a="1"/>
  <c r="D17" i="5"/>
  <c r="D18" i="5" a="1"/>
  <c r="D18" i="5"/>
  <c r="D19" i="5" a="1"/>
  <c r="D19" i="5" s="1"/>
  <c r="D20" i="5" a="1"/>
  <c r="D20" i="5"/>
  <c r="D21" i="5" a="1"/>
  <c r="D21" i="5" s="1"/>
  <c r="D22" i="5" a="1"/>
  <c r="D22" i="5"/>
  <c r="D23" i="5" a="1"/>
  <c r="D23" i="5" s="1"/>
  <c r="D24" i="5" a="1"/>
  <c r="D24" i="5" s="1"/>
  <c r="D25" i="5" a="1"/>
  <c r="D25" i="5" s="1"/>
  <c r="D26" i="5" a="1"/>
  <c r="D26" i="5" s="1"/>
  <c r="D3" i="5" a="1"/>
  <c r="D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3" i="5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3" i="10"/>
  <c r="J17" i="6"/>
  <c r="O4" i="5" a="1"/>
  <c r="O9" i="5" s="1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3" i="3"/>
  <c r="F16" i="3" a="1"/>
  <c r="B12" i="10" a="1"/>
  <c r="F23" i="6" a="1"/>
  <c r="F16" i="6" a="1"/>
  <c r="G11" i="5" a="1"/>
  <c r="F12" i="6" a="1"/>
  <c r="F21" i="6" a="1"/>
  <c r="F24" i="6" a="1"/>
  <c r="F15" i="3" a="1"/>
  <c r="E5" i="9" a="1"/>
  <c r="E6" i="9" a="1"/>
  <c r="E13" i="9" a="1"/>
  <c r="F15" i="6" a="1"/>
  <c r="B14" i="10" a="1"/>
  <c r="E27" i="21" a="1"/>
  <c r="B5" i="10" a="1"/>
  <c r="E22" i="9" a="1"/>
  <c r="B8" i="10" a="1"/>
  <c r="G10" i="5" a="1"/>
  <c r="G20" i="5" a="1"/>
  <c r="E14" i="9" a="1"/>
  <c r="E4" i="9" a="1"/>
  <c r="F17" i="6" a="1"/>
  <c r="E15" i="9" a="1"/>
  <c r="E16" i="9" a="1"/>
  <c r="B10" i="10" a="1"/>
  <c r="F7" i="3" a="1"/>
  <c r="F4" i="3" a="1"/>
  <c r="E28" i="21" a="1"/>
  <c r="E26" i="21" a="1"/>
  <c r="G4" i="5" a="1"/>
  <c r="G7" i="5" a="1"/>
  <c r="E33" i="21" a="1"/>
  <c r="G26" i="5" a="1"/>
  <c r="G24" i="5" a="1"/>
  <c r="G21" i="5" a="1"/>
  <c r="F11" i="3" a="1"/>
  <c r="G18" i="5" a="1"/>
  <c r="F10" i="3" a="1"/>
  <c r="G22" i="5" a="1"/>
  <c r="F18" i="6" a="1"/>
  <c r="E30" i="21" a="1"/>
  <c r="F9" i="6" a="1"/>
  <c r="E32" i="21" a="1"/>
  <c r="G19" i="5" a="1"/>
  <c r="G25" i="5" a="1"/>
  <c r="F7" i="6" a="1"/>
  <c r="F5" i="3" a="1"/>
  <c r="F11" i="6" a="1"/>
  <c r="F10" i="6" a="1"/>
  <c r="G14" i="5" a="1"/>
  <c r="G16" i="5" a="1"/>
  <c r="E17" i="9" a="1"/>
  <c r="B9" i="10" a="1"/>
  <c r="F9" i="3" a="1"/>
  <c r="F14" i="6" a="1"/>
  <c r="E12" i="9" a="1"/>
  <c r="E7" i="9" a="1"/>
  <c r="F22" i="6" a="1"/>
  <c r="E19" i="9" a="1"/>
  <c r="F6" i="6" a="1"/>
  <c r="F8" i="6" a="1"/>
  <c r="B16" i="10" a="1"/>
  <c r="B7" i="10" a="1"/>
  <c r="B15" i="10" a="1"/>
  <c r="G9" i="5" a="1"/>
  <c r="G5" i="5" a="1"/>
  <c r="F20" i="6" a="1"/>
  <c r="E3" i="9" a="1"/>
  <c r="G8" i="5" a="1"/>
  <c r="E11" i="9" a="1"/>
  <c r="F19" i="6" a="1"/>
  <c r="F3" i="6" a="1"/>
  <c r="E34" i="21" a="1"/>
  <c r="B4" i="10" a="1"/>
  <c r="F12" i="3" a="1"/>
  <c r="G3" i="5" a="1"/>
  <c r="B13" i="10" a="1"/>
  <c r="I3" i="4" a="1"/>
  <c r="F13" i="3" a="1"/>
  <c r="G12" i="5" a="1"/>
  <c r="G17" i="5" a="1"/>
  <c r="E25" i="21" a="1"/>
  <c r="F8" i="3" a="1"/>
  <c r="E9" i="9" a="1"/>
  <c r="E36" i="21" a="1"/>
  <c r="E29" i="21" a="1"/>
  <c r="F4" i="6" a="1"/>
  <c r="F3" i="3" a="1"/>
  <c r="B11" i="10" a="1"/>
  <c r="G13" i="5" a="1"/>
  <c r="G15" i="5" a="1"/>
  <c r="E31" i="21" a="1"/>
  <c r="B6" i="10" a="1"/>
  <c r="E18" i="9" a="1"/>
  <c r="F5" i="6" a="1"/>
  <c r="E24" i="21" a="1"/>
  <c r="E37" i="21" a="1"/>
  <c r="F6" i="3" a="1"/>
  <c r="F13" i="6" a="1"/>
  <c r="B3" i="10" a="1"/>
  <c r="E21" i="9" a="1"/>
  <c r="E20" i="9" a="1"/>
  <c r="F14" i="3" a="1"/>
  <c r="G6" i="5" a="1"/>
  <c r="E35" i="21" a="1"/>
  <c r="E8" i="9" a="1"/>
  <c r="E10" i="9" a="1"/>
  <c r="G23" i="5" a="1"/>
  <c r="O4" i="5" l="1"/>
  <c r="O5" i="5"/>
  <c r="O7" i="5"/>
  <c r="O8" i="5"/>
  <c r="O6" i="5"/>
  <c r="E36" i="21"/>
  <c r="E26" i="21"/>
  <c r="E35" i="21"/>
  <c r="E25" i="21"/>
  <c r="E34" i="21"/>
  <c r="E33" i="21"/>
  <c r="E32" i="21"/>
  <c r="E31" i="21"/>
  <c r="E30" i="21"/>
  <c r="E29" i="21"/>
  <c r="E28" i="21"/>
  <c r="E37" i="21"/>
  <c r="E27" i="21"/>
  <c r="E24" i="21"/>
  <c r="E21" i="9"/>
  <c r="E6" i="9"/>
  <c r="E12" i="9"/>
  <c r="E5" i="9"/>
  <c r="E13" i="9"/>
  <c r="E22" i="9"/>
  <c r="E11" i="9"/>
  <c r="E20" i="9"/>
  <c r="E10" i="9"/>
  <c r="E19" i="9"/>
  <c r="E9" i="9"/>
  <c r="E18" i="9"/>
  <c r="E8" i="9"/>
  <c r="E17" i="9"/>
  <c r="E7" i="9"/>
  <c r="E16" i="9"/>
  <c r="E15" i="9"/>
  <c r="E14" i="9"/>
  <c r="E4" i="9"/>
  <c r="E3" i="9"/>
  <c r="B13" i="10"/>
  <c r="B12" i="10"/>
  <c r="B11" i="10"/>
  <c r="B10" i="10"/>
  <c r="B9" i="10"/>
  <c r="B8" i="10"/>
  <c r="B7" i="10"/>
  <c r="B16" i="10"/>
  <c r="B6" i="10"/>
  <c r="B15" i="10"/>
  <c r="B5" i="10"/>
  <c r="B14" i="10"/>
  <c r="B4" i="10"/>
  <c r="B3" i="10"/>
  <c r="F13" i="6"/>
  <c r="F23" i="6"/>
  <c r="F22" i="6"/>
  <c r="F12" i="6"/>
  <c r="F21" i="6"/>
  <c r="F11" i="6"/>
  <c r="F20" i="6"/>
  <c r="F10" i="6"/>
  <c r="F19" i="6"/>
  <c r="F9" i="6"/>
  <c r="F18" i="6"/>
  <c r="F8" i="6"/>
  <c r="F17" i="6"/>
  <c r="F7" i="6"/>
  <c r="F16" i="6"/>
  <c r="F6" i="6"/>
  <c r="F15" i="6"/>
  <c r="F5" i="6"/>
  <c r="F24" i="6"/>
  <c r="F14" i="6"/>
  <c r="F4" i="6"/>
  <c r="F3" i="6"/>
  <c r="G23" i="5"/>
  <c r="G12" i="5"/>
  <c r="G21" i="5"/>
  <c r="G11" i="5"/>
  <c r="G10" i="5"/>
  <c r="G18" i="5"/>
  <c r="G8" i="5"/>
  <c r="G13" i="5"/>
  <c r="G22" i="5"/>
  <c r="G20" i="5"/>
  <c r="G19" i="5"/>
  <c r="G9" i="5"/>
  <c r="G17" i="5"/>
  <c r="G7" i="5"/>
  <c r="G26" i="5"/>
  <c r="G16" i="5"/>
  <c r="G6" i="5"/>
  <c r="G25" i="5"/>
  <c r="G15" i="5"/>
  <c r="G5" i="5"/>
  <c r="G24" i="5"/>
  <c r="G14" i="5"/>
  <c r="G4" i="5"/>
  <c r="G3" i="5"/>
  <c r="I3" i="4"/>
  <c r="F13" i="3"/>
  <c r="F15" i="3"/>
  <c r="F14" i="3"/>
  <c r="F11" i="3"/>
  <c r="F9" i="3"/>
  <c r="F8" i="3"/>
  <c r="F7" i="3"/>
  <c r="F6" i="3"/>
  <c r="F5" i="3"/>
  <c r="F12" i="3"/>
  <c r="F10" i="3"/>
  <c r="F16" i="3"/>
  <c r="F4" i="3"/>
  <c r="F3" i="3"/>
  <c r="H23" i="4"/>
  <c r="H24" i="4"/>
  <c r="H22" i="4"/>
  <c r="D25" i="21" l="1"/>
  <c r="D26" i="21"/>
  <c r="D27" i="21"/>
  <c r="D28" i="21"/>
  <c r="D29" i="21"/>
  <c r="D30" i="21"/>
  <c r="D31" i="21"/>
  <c r="D32" i="21"/>
  <c r="D33" i="21"/>
  <c r="D34" i="21"/>
  <c r="D35" i="21"/>
  <c r="D36" i="21"/>
  <c r="D37" i="21"/>
  <c r="D24" i="21"/>
  <c r="K10" i="21" a="1"/>
  <c r="K10" i="21" s="1"/>
  <c r="K11" i="21" a="1"/>
  <c r="K11" i="21" s="1"/>
  <c r="K12" i="21" a="1"/>
  <c r="K12" i="21" s="1"/>
  <c r="J11" i="21" a="1"/>
  <c r="J11" i="21" s="1"/>
  <c r="J12" i="21" a="1"/>
  <c r="J12" i="21" s="1"/>
  <c r="J10" i="21" a="1"/>
  <c r="J10" i="21" s="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4" i="21"/>
  <c r="G3" i="21"/>
  <c r="J16" i="21" l="1"/>
  <c r="J17" i="21"/>
  <c r="J18" i="21"/>
  <c r="H12" i="9" l="1"/>
  <c r="H13" i="9"/>
  <c r="H14" i="9"/>
  <c r="H11" i="9"/>
  <c r="H19" i="9"/>
  <c r="I19" i="9"/>
  <c r="J19" i="9"/>
  <c r="G19" i="9"/>
  <c r="I4" i="9" l="1" a="1"/>
  <c r="I4" i="9" s="1"/>
  <c r="I5" i="9" a="1"/>
  <c r="I5" i="9" s="1"/>
  <c r="I6" i="9" a="1"/>
  <c r="I6" i="9" s="1"/>
  <c r="I7" i="9" a="1"/>
  <c r="I7" i="9" s="1"/>
  <c r="I3" i="9" a="1"/>
  <c r="I3" i="9" s="1"/>
  <c r="H4" i="9" a="1"/>
  <c r="H4" i="9" s="1"/>
  <c r="H5" i="9" a="1"/>
  <c r="H5" i="9" s="1"/>
  <c r="H6" i="9" a="1"/>
  <c r="H6" i="9" s="1"/>
  <c r="H7" i="9" a="1"/>
  <c r="H7" i="9" s="1"/>
  <c r="H3" i="9" a="1"/>
  <c r="H3" i="9" s="1"/>
  <c r="E4" i="10" l="1"/>
  <c r="E5" i="10"/>
  <c r="E6" i="10"/>
  <c r="E7" i="10"/>
  <c r="E8" i="10"/>
  <c r="E9" i="10"/>
  <c r="E10" i="10"/>
  <c r="E11" i="10"/>
  <c r="E12" i="10"/>
  <c r="E13" i="10"/>
  <c r="E14" i="10"/>
  <c r="E15" i="10"/>
  <c r="E16" i="10"/>
  <c r="D21" i="10" a="1"/>
  <c r="D21" i="10" s="1"/>
  <c r="D20" i="10" a="1"/>
  <c r="D20" i="10" s="1"/>
  <c r="E3" i="10"/>
  <c r="I21" i="6" l="1" a="1"/>
  <c r="I21" i="6" s="1"/>
  <c r="I22" i="6" a="1"/>
  <c r="I22" i="6" s="1"/>
  <c r="I23" i="6" a="1"/>
  <c r="I23" i="6" s="1"/>
  <c r="I24" i="6" a="1"/>
  <c r="I24" i="6" s="1"/>
  <c r="E3" i="6"/>
  <c r="J4" i="6" a="1"/>
  <c r="J4" i="6" s="1"/>
  <c r="K4" i="6" a="1"/>
  <c r="K4" i="6" s="1"/>
  <c r="J5" i="6" a="1"/>
  <c r="J5" i="6" s="1"/>
  <c r="K5" i="6" a="1"/>
  <c r="K5" i="6" s="1"/>
  <c r="J6" i="6" a="1"/>
  <c r="J6" i="6" s="1"/>
  <c r="K6" i="6" a="1"/>
  <c r="K6" i="6" s="1"/>
  <c r="J7" i="6" a="1"/>
  <c r="J7" i="6" s="1"/>
  <c r="K7" i="6" a="1"/>
  <c r="K7" i="6" s="1"/>
  <c r="I5" i="6" a="1"/>
  <c r="I5" i="6" s="1"/>
  <c r="I6" i="6" a="1"/>
  <c r="I6" i="6" s="1"/>
  <c r="I7" i="6" a="1"/>
  <c r="I7" i="6" s="1"/>
  <c r="I4" i="6" a="1"/>
  <c r="I4" i="6" s="1"/>
  <c r="E4" i="6" l="1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K22" i="5" l="1" a="1"/>
  <c r="K22" i="5" s="1"/>
  <c r="L22" i="5" a="1"/>
  <c r="L22" i="5" s="1"/>
  <c r="M22" i="5" a="1"/>
  <c r="M22" i="5" s="1"/>
  <c r="N22" i="5" a="1"/>
  <c r="N22" i="5" s="1"/>
  <c r="O22" i="5" a="1"/>
  <c r="O22" i="5" s="1"/>
  <c r="K23" i="5" a="1"/>
  <c r="K23" i="5" s="1"/>
  <c r="L23" i="5" a="1"/>
  <c r="L23" i="5" s="1"/>
  <c r="M23" i="5" a="1"/>
  <c r="M23" i="5" s="1"/>
  <c r="N23" i="5" a="1"/>
  <c r="N23" i="5" s="1"/>
  <c r="O23" i="5" a="1"/>
  <c r="O23" i="5" s="1"/>
  <c r="K24" i="5" a="1"/>
  <c r="K24" i="5" s="1"/>
  <c r="L24" i="5" a="1"/>
  <c r="L24" i="5" s="1"/>
  <c r="M24" i="5" a="1"/>
  <c r="M24" i="5" s="1"/>
  <c r="N24" i="5" a="1"/>
  <c r="N24" i="5" s="1"/>
  <c r="O24" i="5" a="1"/>
  <c r="O24" i="5" s="1"/>
  <c r="K25" i="5" a="1"/>
  <c r="K25" i="5" s="1"/>
  <c r="L25" i="5" a="1"/>
  <c r="L25" i="5" s="1"/>
  <c r="M25" i="5" a="1"/>
  <c r="M25" i="5" s="1"/>
  <c r="N25" i="5" a="1"/>
  <c r="N25" i="5" s="1"/>
  <c r="O25" i="5" a="1"/>
  <c r="O25" i="5" s="1"/>
  <c r="J23" i="5" a="1"/>
  <c r="J23" i="5" s="1"/>
  <c r="J24" i="5" a="1"/>
  <c r="J24" i="5" s="1"/>
  <c r="J25" i="5" a="1"/>
  <c r="J25" i="5" s="1"/>
  <c r="J22" i="5" a="1"/>
  <c r="J22" i="5" s="1"/>
  <c r="C29" i="4" l="1" a="1"/>
  <c r="C29" i="4" s="1"/>
  <c r="D29" i="4" a="1"/>
  <c r="D29" i="4" s="1"/>
  <c r="C30" i="4" a="1"/>
  <c r="C30" i="4" s="1"/>
  <c r="D30" i="4" a="1"/>
  <c r="D30" i="4" s="1"/>
  <c r="C31" i="4" a="1"/>
  <c r="C31" i="4" s="1"/>
  <c r="D31" i="4" a="1"/>
  <c r="D31" i="4" s="1"/>
  <c r="B30" i="4" a="1"/>
  <c r="B30" i="4" s="1"/>
  <c r="B31" i="4" a="1"/>
  <c r="B31" i="4" s="1"/>
  <c r="B29" i="4" a="1"/>
  <c r="B29" i="4" s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3" i="4"/>
  <c r="I16" i="4"/>
  <c r="I5" i="4"/>
  <c r="I10" i="4"/>
  <c r="I7" i="4"/>
  <c r="I9" i="4"/>
  <c r="I17" i="4"/>
  <c r="I14" i="4"/>
  <c r="I6" i="4"/>
  <c r="I15" i="4"/>
  <c r="I11" i="4"/>
  <c r="I8" i="4"/>
  <c r="I13" i="4"/>
  <c r="I18" i="4"/>
  <c r="I12" i="4"/>
  <c r="I4" i="4"/>
  <c r="I19" i="3" l="1"/>
  <c r="C25" i="3" a="1"/>
  <c r="C25" i="3" s="1"/>
  <c r="C21" i="3" a="1"/>
  <c r="C21" i="3" s="1"/>
  <c r="C22" i="3" a="1"/>
  <c r="C22" i="3" s="1"/>
  <c r="C20" i="3" a="1"/>
  <c r="C2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<sst xmlns="http://schemas.openxmlformats.org/spreadsheetml/2006/main" count="916" uniqueCount="505">
  <si>
    <t>하프코스</t>
    <phoneticPr fontId="4" type="noConversion"/>
  </si>
  <si>
    <t>풀코스</t>
    <phoneticPr fontId="4" type="noConversion"/>
  </si>
  <si>
    <t>기록</t>
    <phoneticPr fontId="4" type="noConversion"/>
  </si>
  <si>
    <t>등번호</t>
    <phoneticPr fontId="4" type="noConversion"/>
  </si>
  <si>
    <t>이름</t>
    <phoneticPr fontId="4" type="noConversion"/>
  </si>
  <si>
    <t>코스구분</t>
    <phoneticPr fontId="4" type="noConversion"/>
  </si>
  <si>
    <t>김현철</t>
    <phoneticPr fontId="4" type="noConversion"/>
  </si>
  <si>
    <t>장민욱</t>
    <phoneticPr fontId="4" type="noConversion"/>
  </si>
  <si>
    <t>이주일</t>
    <phoneticPr fontId="4" type="noConversion"/>
  </si>
  <si>
    <t>이경진</t>
    <phoneticPr fontId="4" type="noConversion"/>
  </si>
  <si>
    <t>김장철</t>
    <phoneticPr fontId="4" type="noConversion"/>
  </si>
  <si>
    <t>송석기</t>
    <phoneticPr fontId="4" type="noConversion"/>
  </si>
  <si>
    <t>박두순</t>
    <phoneticPr fontId="4" type="noConversion"/>
  </si>
  <si>
    <t>권수철</t>
    <phoneticPr fontId="4" type="noConversion"/>
  </si>
  <si>
    <t>김인곤</t>
    <phoneticPr fontId="4" type="noConversion"/>
  </si>
  <si>
    <t>정호성</t>
    <phoneticPr fontId="4" type="noConversion"/>
  </si>
  <si>
    <t>박진수</t>
    <phoneticPr fontId="4" type="noConversion"/>
  </si>
  <si>
    <t>김영규</t>
    <phoneticPr fontId="4" type="noConversion"/>
  </si>
  <si>
    <t>정태진</t>
    <phoneticPr fontId="4" type="noConversion"/>
  </si>
  <si>
    <t>최양락</t>
    <phoneticPr fontId="4" type="noConversion"/>
  </si>
  <si>
    <t>김상용</t>
    <phoneticPr fontId="4" type="noConversion"/>
  </si>
  <si>
    <t>김영철</t>
    <phoneticPr fontId="4" type="noConversion"/>
  </si>
  <si>
    <t>강호진</t>
    <phoneticPr fontId="4" type="noConversion"/>
  </si>
  <si>
    <t>안석순</t>
    <phoneticPr fontId="4" type="noConversion"/>
  </si>
  <si>
    <t>김동일</t>
    <phoneticPr fontId="4" type="noConversion"/>
  </si>
  <si>
    <t>서진규</t>
    <phoneticPr fontId="4" type="noConversion"/>
  </si>
  <si>
    <t>이진철</t>
    <phoneticPr fontId="4" type="noConversion"/>
  </si>
  <si>
    <t>하정우</t>
    <phoneticPr fontId="4" type="noConversion"/>
  </si>
  <si>
    <t>[표1]</t>
    <phoneticPr fontId="2" type="noConversion"/>
  </si>
  <si>
    <t>[표2]</t>
    <phoneticPr fontId="2" type="noConversion"/>
  </si>
  <si>
    <t>[표3]</t>
    <phoneticPr fontId="2" type="noConversion"/>
  </si>
  <si>
    <t>[표4]</t>
    <phoneticPr fontId="2" type="noConversion"/>
  </si>
  <si>
    <t>[표5]</t>
    <phoneticPr fontId="2" type="noConversion"/>
  </si>
  <si>
    <t>동</t>
    <phoneticPr fontId="2" type="noConversion"/>
  </si>
  <si>
    <t>호수</t>
    <phoneticPr fontId="2" type="noConversion"/>
  </si>
  <si>
    <t>장미동</t>
    <phoneticPr fontId="2" type="noConversion"/>
  </si>
  <si>
    <t>동백동</t>
    <phoneticPr fontId="2" type="noConversion"/>
  </si>
  <si>
    <t>목련동</t>
    <phoneticPr fontId="2" type="noConversion"/>
  </si>
  <si>
    <t>장미동</t>
    <phoneticPr fontId="2" type="noConversion"/>
  </si>
  <si>
    <t>목련동</t>
    <phoneticPr fontId="2" type="noConversion"/>
  </si>
  <si>
    <t>장미동</t>
    <phoneticPr fontId="2" type="noConversion"/>
  </si>
  <si>
    <t>목련동</t>
    <phoneticPr fontId="2" type="noConversion"/>
  </si>
  <si>
    <t>동백동</t>
    <phoneticPr fontId="2" type="noConversion"/>
  </si>
  <si>
    <t>[표1]</t>
    <phoneticPr fontId="2" type="noConversion"/>
  </si>
  <si>
    <t>수도사용량</t>
    <phoneticPr fontId="2" type="noConversion"/>
  </si>
  <si>
    <t>전월사용량</t>
    <phoneticPr fontId="2" type="noConversion"/>
  </si>
  <si>
    <t>사용량</t>
    <phoneticPr fontId="2" type="noConversion"/>
  </si>
  <si>
    <t>세대수</t>
    <phoneticPr fontId="2" type="noConversion"/>
  </si>
  <si>
    <t>그래프</t>
    <phoneticPr fontId="2" type="noConversion"/>
  </si>
  <si>
    <t>[표2]</t>
    <phoneticPr fontId="2" type="noConversion"/>
  </si>
  <si>
    <t>[표3]</t>
    <phoneticPr fontId="2" type="noConversion"/>
  </si>
  <si>
    <t>상위사용량평균</t>
    <phoneticPr fontId="2" type="noConversion"/>
  </si>
  <si>
    <t>수도요금</t>
    <phoneticPr fontId="2" type="noConversion"/>
  </si>
  <si>
    <t>[표4] 마라톤 완주자 기록표</t>
    <phoneticPr fontId="4" type="noConversion"/>
  </si>
  <si>
    <t>[표5]</t>
    <phoneticPr fontId="2" type="noConversion"/>
  </si>
  <si>
    <t>3위기록</t>
    <phoneticPr fontId="2" type="noConversion"/>
  </si>
  <si>
    <t>[표1]</t>
    <phoneticPr fontId="2" type="noConversion"/>
  </si>
  <si>
    <t>월할부금</t>
    <phoneticPr fontId="2" type="noConversion"/>
  </si>
  <si>
    <t>자동차명</t>
    <phoneticPr fontId="2" type="noConversion"/>
  </si>
  <si>
    <t>탁송료</t>
    <phoneticPr fontId="2" type="noConversion"/>
  </si>
  <si>
    <t>차량구매이력</t>
    <phoneticPr fontId="2" type="noConversion"/>
  </si>
  <si>
    <t>M포인트</t>
    <phoneticPr fontId="2" type="noConversion"/>
  </si>
  <si>
    <t>차량가</t>
    <phoneticPr fontId="2" type="noConversion"/>
  </si>
  <si>
    <t>구분</t>
    <phoneticPr fontId="2" type="noConversion"/>
  </si>
  <si>
    <t>승용</t>
    <phoneticPr fontId="2" type="noConversion"/>
  </si>
  <si>
    <t>SUV</t>
    <phoneticPr fontId="2" type="noConversion"/>
  </si>
  <si>
    <t>아반테</t>
    <phoneticPr fontId="2" type="noConversion"/>
  </si>
  <si>
    <t>쏘나타</t>
    <phoneticPr fontId="2" type="noConversion"/>
  </si>
  <si>
    <t>그랜저</t>
    <phoneticPr fontId="2" type="noConversion"/>
  </si>
  <si>
    <t>아반테 Hybrid</t>
    <phoneticPr fontId="2" type="noConversion"/>
  </si>
  <si>
    <t>쏘나타 Hybrid</t>
    <phoneticPr fontId="2" type="noConversion"/>
  </si>
  <si>
    <t>그랜저 Hybird</t>
    <phoneticPr fontId="2" type="noConversion"/>
  </si>
  <si>
    <t>베뉴</t>
    <phoneticPr fontId="2" type="noConversion"/>
  </si>
  <si>
    <t>코나</t>
    <phoneticPr fontId="2" type="noConversion"/>
  </si>
  <si>
    <t>투싼</t>
    <phoneticPr fontId="2" type="noConversion"/>
  </si>
  <si>
    <t>투싼 Hybrid</t>
    <phoneticPr fontId="2" type="noConversion"/>
  </si>
  <si>
    <t>팰리세이드</t>
    <phoneticPr fontId="2" type="noConversion"/>
  </si>
  <si>
    <t>코나 Hybrid</t>
    <phoneticPr fontId="2" type="noConversion"/>
  </si>
  <si>
    <t>싼타페</t>
    <phoneticPr fontId="2" type="noConversion"/>
  </si>
  <si>
    <t>싼타페 Hybrid</t>
    <phoneticPr fontId="2" type="noConversion"/>
  </si>
  <si>
    <t>넥쏘</t>
    <phoneticPr fontId="2" type="noConversion"/>
  </si>
  <si>
    <t>아이오닉 5</t>
    <phoneticPr fontId="2" type="noConversion"/>
  </si>
  <si>
    <t>수소/전기차</t>
    <phoneticPr fontId="2" type="noConversion"/>
  </si>
  <si>
    <t>구매이력</t>
    <phoneticPr fontId="2" type="noConversion"/>
  </si>
  <si>
    <t>구매지역</t>
    <phoneticPr fontId="2" type="noConversion"/>
  </si>
  <si>
    <t>서울</t>
    <phoneticPr fontId="2" type="noConversion"/>
  </si>
  <si>
    <t>인천</t>
    <phoneticPr fontId="2" type="noConversion"/>
  </si>
  <si>
    <t>수원</t>
    <phoneticPr fontId="2" type="noConversion"/>
  </si>
  <si>
    <t>세종</t>
    <phoneticPr fontId="2" type="noConversion"/>
  </si>
  <si>
    <t>대전</t>
    <phoneticPr fontId="2" type="noConversion"/>
  </si>
  <si>
    <t>평택</t>
    <phoneticPr fontId="2" type="noConversion"/>
  </si>
  <si>
    <t>전주</t>
    <phoneticPr fontId="2" type="noConversion"/>
  </si>
  <si>
    <t>당진</t>
    <phoneticPr fontId="2" type="noConversion"/>
  </si>
  <si>
    <t>서울</t>
    <phoneticPr fontId="2" type="noConversion"/>
  </si>
  <si>
    <t>강릉</t>
    <phoneticPr fontId="2" type="noConversion"/>
  </si>
  <si>
    <t>분당</t>
    <phoneticPr fontId="2" type="noConversion"/>
  </si>
  <si>
    <t>의왕</t>
    <phoneticPr fontId="2" type="noConversion"/>
  </si>
  <si>
    <t>안양</t>
    <phoneticPr fontId="2" type="noConversion"/>
  </si>
  <si>
    <t>산본</t>
    <phoneticPr fontId="2" type="noConversion"/>
  </si>
  <si>
    <t>할인구분</t>
    <phoneticPr fontId="2" type="noConversion"/>
  </si>
  <si>
    <t>계열사근무</t>
    <phoneticPr fontId="2" type="noConversion"/>
  </si>
  <si>
    <t>이벤트</t>
    <phoneticPr fontId="2" type="noConversion"/>
  </si>
  <si>
    <t>지원금</t>
    <phoneticPr fontId="2" type="noConversion"/>
  </si>
  <si>
    <t>이벤트</t>
    <phoneticPr fontId="2" type="noConversion"/>
  </si>
  <si>
    <t>계열사근무</t>
    <phoneticPr fontId="2" type="noConversion"/>
  </si>
  <si>
    <t>지원금</t>
    <phoneticPr fontId="2" type="noConversion"/>
  </si>
  <si>
    <t>아산</t>
    <phoneticPr fontId="2" type="noConversion"/>
  </si>
  <si>
    <t>울산</t>
    <phoneticPr fontId="2" type="noConversion"/>
  </si>
  <si>
    <t>[표2] 할인율</t>
    <phoneticPr fontId="2" type="noConversion"/>
  </si>
  <si>
    <t>[표3]</t>
    <phoneticPr fontId="2" type="noConversion"/>
  </si>
  <si>
    <t>비율</t>
    <phoneticPr fontId="2" type="noConversion"/>
  </si>
  <si>
    <t>[표4]</t>
    <phoneticPr fontId="2" type="noConversion"/>
  </si>
  <si>
    <t>[표1]</t>
    <phoneticPr fontId="8" type="noConversion"/>
  </si>
  <si>
    <t>상품코드</t>
    <phoneticPr fontId="8" type="noConversion"/>
  </si>
  <si>
    <t>가입나이</t>
    <phoneticPr fontId="8" type="noConversion"/>
  </si>
  <si>
    <t>상품명-성별</t>
    <phoneticPr fontId="8" type="noConversion"/>
  </si>
  <si>
    <t>가입금액</t>
    <phoneticPr fontId="8" type="noConversion"/>
  </si>
  <si>
    <t>납입기간</t>
    <phoneticPr fontId="8" type="noConversion"/>
  </si>
  <si>
    <t>미납기간</t>
    <phoneticPr fontId="8" type="noConversion"/>
  </si>
  <si>
    <t>가입상태</t>
    <phoneticPr fontId="8" type="noConversion"/>
  </si>
  <si>
    <t>[표2] 보험상품코드 분류</t>
    <phoneticPr fontId="8" type="noConversion"/>
  </si>
  <si>
    <t>AW</t>
    <phoneticPr fontId="8" type="noConversion"/>
  </si>
  <si>
    <t>상품명</t>
    <phoneticPr fontId="8" type="noConversion"/>
  </si>
  <si>
    <t>성별</t>
    <phoneticPr fontId="8" type="noConversion"/>
  </si>
  <si>
    <t>PM</t>
    <phoneticPr fontId="8" type="noConversion"/>
  </si>
  <si>
    <t>AM</t>
    <phoneticPr fontId="8" type="noConversion"/>
  </si>
  <si>
    <t>표준형</t>
    <phoneticPr fontId="8" type="noConversion"/>
  </si>
  <si>
    <t>남자</t>
    <phoneticPr fontId="8" type="noConversion"/>
  </si>
  <si>
    <t>AW</t>
    <phoneticPr fontId="8" type="noConversion"/>
  </si>
  <si>
    <t>여자</t>
    <phoneticPr fontId="8" type="noConversion"/>
  </si>
  <si>
    <t>PW</t>
    <phoneticPr fontId="8" type="noConversion"/>
  </si>
  <si>
    <t>선택형</t>
    <phoneticPr fontId="8" type="noConversion"/>
  </si>
  <si>
    <t>PW</t>
    <phoneticPr fontId="8" type="noConversion"/>
  </si>
  <si>
    <t>PM</t>
    <phoneticPr fontId="8" type="noConversion"/>
  </si>
  <si>
    <t>가입나이대</t>
    <phoneticPr fontId="8" type="noConversion"/>
  </si>
  <si>
    <t>가입자수</t>
    <phoneticPr fontId="8" type="noConversion"/>
  </si>
  <si>
    <t>상품코드</t>
    <phoneticPr fontId="8" type="noConversion"/>
  </si>
  <si>
    <t>AM</t>
    <phoneticPr fontId="8" type="noConversion"/>
  </si>
  <si>
    <t>AW</t>
    <phoneticPr fontId="8" type="noConversion"/>
  </si>
  <si>
    <t>AM</t>
    <phoneticPr fontId="8" type="noConversion"/>
  </si>
  <si>
    <t>PM</t>
    <phoneticPr fontId="8" type="noConversion"/>
  </si>
  <si>
    <t>[표3] 가입나이대별 가입자수</t>
    <phoneticPr fontId="8" type="noConversion"/>
  </si>
  <si>
    <t>[표4] 상품코드 및 가입나이별 가입금액</t>
    <phoneticPr fontId="8" type="noConversion"/>
  </si>
  <si>
    <t>[표5] 상품코드 및 가입나이별 평균 납입기간</t>
    <phoneticPr fontId="8" type="noConversion"/>
  </si>
  <si>
    <t>AM</t>
    <phoneticPr fontId="8" type="noConversion"/>
  </si>
  <si>
    <t>강좌명</t>
    <phoneticPr fontId="2" type="noConversion"/>
  </si>
  <si>
    <t>고급</t>
    <phoneticPr fontId="2" type="noConversion"/>
  </si>
  <si>
    <t>초급</t>
    <phoneticPr fontId="2" type="noConversion"/>
  </si>
  <si>
    <t>중급</t>
    <phoneticPr fontId="2" type="noConversion"/>
  </si>
  <si>
    <t>영어-고급</t>
  </si>
  <si>
    <t>영어-중급</t>
  </si>
  <si>
    <t>영어-초급</t>
  </si>
  <si>
    <t>영어</t>
    <phoneticPr fontId="2" type="noConversion"/>
  </si>
  <si>
    <t>수학</t>
  </si>
  <si>
    <t>수학-고급</t>
  </si>
  <si>
    <t>수학-초급</t>
  </si>
  <si>
    <t>수학-중급</t>
  </si>
  <si>
    <t>국어</t>
  </si>
  <si>
    <t>국어-초급</t>
  </si>
  <si>
    <t>국어-중급</t>
  </si>
  <si>
    <t>국어-고급</t>
  </si>
  <si>
    <t>과학</t>
  </si>
  <si>
    <t>과학-초급</t>
  </si>
  <si>
    <t>수강신청</t>
    <phoneticPr fontId="2" type="noConversion"/>
  </si>
  <si>
    <t>[표1]</t>
    <phoneticPr fontId="2" type="noConversion"/>
  </si>
  <si>
    <t>평가점수</t>
    <phoneticPr fontId="2" type="noConversion"/>
  </si>
  <si>
    <t>항목</t>
    <phoneticPr fontId="2" type="noConversion"/>
  </si>
  <si>
    <t>과제</t>
    <phoneticPr fontId="2" type="noConversion"/>
  </si>
  <si>
    <t>발표</t>
    <phoneticPr fontId="2" type="noConversion"/>
  </si>
  <si>
    <t>시험</t>
    <phoneticPr fontId="2" type="noConversion"/>
  </si>
  <si>
    <t>과제</t>
    <phoneticPr fontId="2" type="noConversion"/>
  </si>
  <si>
    <t>발표</t>
    <phoneticPr fontId="2" type="noConversion"/>
  </si>
  <si>
    <t>시험</t>
    <phoneticPr fontId="2" type="noConversion"/>
  </si>
  <si>
    <t>반영점수</t>
    <phoneticPr fontId="2" type="noConversion"/>
  </si>
  <si>
    <t>[표2] 과목별 수강 신청인원</t>
    <phoneticPr fontId="2" type="noConversion"/>
  </si>
  <si>
    <t>과목</t>
    <phoneticPr fontId="2" type="noConversion"/>
  </si>
  <si>
    <t>과목</t>
    <phoneticPr fontId="2" type="noConversion"/>
  </si>
  <si>
    <t>시험</t>
    <phoneticPr fontId="2" type="noConversion"/>
  </si>
  <si>
    <t>발표</t>
    <phoneticPr fontId="2" type="noConversion"/>
  </si>
  <si>
    <t>과제</t>
    <phoneticPr fontId="2" type="noConversion"/>
  </si>
  <si>
    <t>과제</t>
    <phoneticPr fontId="2" type="noConversion"/>
  </si>
  <si>
    <t>발표</t>
    <phoneticPr fontId="2" type="noConversion"/>
  </si>
  <si>
    <t>시험</t>
    <phoneticPr fontId="2" type="noConversion"/>
  </si>
  <si>
    <t>과제</t>
    <phoneticPr fontId="2" type="noConversion"/>
  </si>
  <si>
    <t>과제</t>
    <phoneticPr fontId="2" type="noConversion"/>
  </si>
  <si>
    <t>시험</t>
    <phoneticPr fontId="2" type="noConversion"/>
  </si>
  <si>
    <t>시험</t>
    <phoneticPr fontId="2" type="noConversion"/>
  </si>
  <si>
    <t>과제</t>
    <phoneticPr fontId="2" type="noConversion"/>
  </si>
  <si>
    <t>시험</t>
    <phoneticPr fontId="2" type="noConversion"/>
  </si>
  <si>
    <t>과제</t>
    <phoneticPr fontId="2" type="noConversion"/>
  </si>
  <si>
    <t>국어-중급</t>
    <phoneticPr fontId="2" type="noConversion"/>
  </si>
  <si>
    <t>수학-고급</t>
    <phoneticPr fontId="2" type="noConversion"/>
  </si>
  <si>
    <t>영어-중급</t>
    <phoneticPr fontId="2" type="noConversion"/>
  </si>
  <si>
    <t>과학-중급</t>
    <phoneticPr fontId="2" type="noConversion"/>
  </si>
  <si>
    <t>수학-중급</t>
    <phoneticPr fontId="2" type="noConversion"/>
  </si>
  <si>
    <t>과학-고급</t>
    <phoneticPr fontId="2" type="noConversion"/>
  </si>
  <si>
    <t>과학-초급</t>
    <phoneticPr fontId="2" type="noConversion"/>
  </si>
  <si>
    <t>영어-중급</t>
    <phoneticPr fontId="2" type="noConversion"/>
  </si>
  <si>
    <t>[표4]</t>
    <phoneticPr fontId="2" type="noConversion"/>
  </si>
  <si>
    <t>평가점수의 분석</t>
    <phoneticPr fontId="2" type="noConversion"/>
  </si>
  <si>
    <t>[표5]</t>
    <phoneticPr fontId="2" type="noConversion"/>
  </si>
  <si>
    <t>상위3의 평균</t>
    <phoneticPr fontId="2" type="noConversion"/>
  </si>
  <si>
    <t>비고</t>
    <phoneticPr fontId="2" type="noConversion"/>
  </si>
  <si>
    <t>[표3] 과목별 항목별 반영비율</t>
    <phoneticPr fontId="2" type="noConversion"/>
  </si>
  <si>
    <t>김재성</t>
    <phoneticPr fontId="4" type="noConversion"/>
  </si>
  <si>
    <t>김정현</t>
    <phoneticPr fontId="4" type="noConversion"/>
  </si>
  <si>
    <t>이보아</t>
    <phoneticPr fontId="4" type="noConversion"/>
  </si>
  <si>
    <t>이성철</t>
    <phoneticPr fontId="4" type="noConversion"/>
  </si>
  <si>
    <t>김인성</t>
    <phoneticPr fontId="4" type="noConversion"/>
  </si>
  <si>
    <t>B</t>
    <phoneticPr fontId="2" type="noConversion"/>
  </si>
  <si>
    <t>A</t>
    <phoneticPr fontId="2" type="noConversion"/>
  </si>
  <si>
    <t>F</t>
    <phoneticPr fontId="2" type="noConversion"/>
  </si>
  <si>
    <t>D</t>
    <phoneticPr fontId="2" type="noConversion"/>
  </si>
  <si>
    <t>서울</t>
    <phoneticPr fontId="4" type="noConversion"/>
  </si>
  <si>
    <t>[표1]</t>
    <phoneticPr fontId="4" type="noConversion"/>
  </si>
  <si>
    <t>지점명</t>
    <phoneticPr fontId="4" type="noConversion"/>
  </si>
  <si>
    <t>보험종류</t>
    <phoneticPr fontId="4" type="noConversion"/>
  </si>
  <si>
    <t>월불입액</t>
    <phoneticPr fontId="4" type="noConversion"/>
  </si>
  <si>
    <t>서울</t>
    <phoneticPr fontId="4" type="noConversion"/>
  </si>
  <si>
    <t>건강</t>
  </si>
  <si>
    <t>상해</t>
  </si>
  <si>
    <t>저축</t>
  </si>
  <si>
    <t>연금</t>
  </si>
  <si>
    <t>국덕근</t>
  </si>
  <si>
    <t>지점명</t>
    <phoneticPr fontId="4" type="noConversion"/>
  </si>
  <si>
    <t>16-25-360</t>
    <phoneticPr fontId="4" type="noConversion"/>
  </si>
  <si>
    <t>17-52-620</t>
    <phoneticPr fontId="4" type="noConversion"/>
  </si>
  <si>
    <t>36-25-456</t>
    <phoneticPr fontId="4" type="noConversion"/>
  </si>
  <si>
    <t>12-35-623</t>
    <phoneticPr fontId="4" type="noConversion"/>
  </si>
  <si>
    <t>개설일자</t>
    <phoneticPr fontId="4" type="noConversion"/>
  </si>
  <si>
    <t>계좌번호</t>
    <phoneticPr fontId="4" type="noConversion"/>
  </si>
  <si>
    <t>기준일</t>
    <phoneticPr fontId="4" type="noConversion"/>
  </si>
  <si>
    <t>잔액</t>
    <phoneticPr fontId="4" type="noConversion"/>
  </si>
  <si>
    <t>이자</t>
    <phoneticPr fontId="4" type="noConversion"/>
  </si>
  <si>
    <t>23-15-123</t>
    <phoneticPr fontId="4" type="noConversion"/>
  </si>
  <si>
    <t>75-45-632</t>
    <phoneticPr fontId="4" type="noConversion"/>
  </si>
  <si>
    <t>96-25-258</t>
    <phoneticPr fontId="4" type="noConversion"/>
  </si>
  <si>
    <t>46-56-789</t>
    <phoneticPr fontId="4" type="noConversion"/>
  </si>
  <si>
    <t>95-36-251</t>
    <phoneticPr fontId="4" type="noConversion"/>
  </si>
  <si>
    <t>27-45-693</t>
    <phoneticPr fontId="4" type="noConversion"/>
  </si>
  <si>
    <t>14-62-250</t>
    <phoneticPr fontId="4" type="noConversion"/>
  </si>
  <si>
    <t>95-47-520</t>
    <phoneticPr fontId="4" type="noConversion"/>
  </si>
  <si>
    <t>36-14-129</t>
    <phoneticPr fontId="4" type="noConversion"/>
  </si>
  <si>
    <t>24-45-132</t>
    <phoneticPr fontId="4" type="noConversion"/>
  </si>
  <si>
    <t>구분</t>
  </si>
  <si>
    <t>[표1]</t>
    <phoneticPr fontId="2" type="noConversion"/>
  </si>
  <si>
    <t>상품코드</t>
    <phoneticPr fontId="2" type="noConversion"/>
  </si>
  <si>
    <t>투게더</t>
    <phoneticPr fontId="2" type="noConversion"/>
  </si>
  <si>
    <t>월드콘</t>
    <phoneticPr fontId="2" type="noConversion"/>
  </si>
  <si>
    <t>붕어싸만코</t>
    <phoneticPr fontId="2" type="noConversion"/>
  </si>
  <si>
    <t>메로나</t>
    <phoneticPr fontId="2" type="noConversion"/>
  </si>
  <si>
    <t>구구</t>
    <phoneticPr fontId="2" type="noConversion"/>
  </si>
  <si>
    <t>빵빠레</t>
    <phoneticPr fontId="2" type="noConversion"/>
  </si>
  <si>
    <t>부라보</t>
    <phoneticPr fontId="2" type="noConversion"/>
  </si>
  <si>
    <t>빠삐코</t>
    <phoneticPr fontId="2" type="noConversion"/>
  </si>
  <si>
    <t>비비빅</t>
    <phoneticPr fontId="2" type="noConversion"/>
  </si>
  <si>
    <t>더블비얀코</t>
    <phoneticPr fontId="2" type="noConversion"/>
  </si>
  <si>
    <t>설레임</t>
    <phoneticPr fontId="2" type="noConversion"/>
  </si>
  <si>
    <t>빵또아</t>
    <phoneticPr fontId="2" type="noConversion"/>
  </si>
  <si>
    <t>회사명</t>
    <phoneticPr fontId="2" type="noConversion"/>
  </si>
  <si>
    <t>이름</t>
    <phoneticPr fontId="2" type="noConversion"/>
  </si>
  <si>
    <t>변경상품코드</t>
    <phoneticPr fontId="2" type="noConversion"/>
  </si>
  <si>
    <t>바밤바</t>
    <phoneticPr fontId="2" type="noConversion"/>
  </si>
  <si>
    <t>쌍쌍바</t>
    <phoneticPr fontId="2" type="noConversion"/>
  </si>
  <si>
    <t>매출액(단위:백만원)</t>
    <phoneticPr fontId="2" type="noConversion"/>
  </si>
  <si>
    <t>회사명</t>
    <phoneticPr fontId="2" type="noConversion"/>
  </si>
  <si>
    <t>롯데그룹</t>
    <phoneticPr fontId="2" type="noConversion"/>
  </si>
  <si>
    <t>빙그레(해태)</t>
    <phoneticPr fontId="2" type="noConversion"/>
  </si>
  <si>
    <t>회사코드1</t>
    <phoneticPr fontId="2" type="noConversion"/>
  </si>
  <si>
    <t>회사코드2</t>
    <phoneticPr fontId="2" type="noConversion"/>
  </si>
  <si>
    <t>BG</t>
    <phoneticPr fontId="2" type="noConversion"/>
  </si>
  <si>
    <t>HT</t>
    <phoneticPr fontId="2" type="noConversion"/>
  </si>
  <si>
    <t>LJ</t>
    <phoneticPr fontId="2" type="noConversion"/>
  </si>
  <si>
    <t>LF</t>
    <phoneticPr fontId="2" type="noConversion"/>
  </si>
  <si>
    <t>매출액합계</t>
    <phoneticPr fontId="2" type="noConversion"/>
  </si>
  <si>
    <t>[표2]</t>
    <phoneticPr fontId="2" type="noConversion"/>
  </si>
  <si>
    <t>비고</t>
    <phoneticPr fontId="2" type="noConversion"/>
  </si>
  <si>
    <t>IC-LJ101-1</t>
    <phoneticPr fontId="2" type="noConversion"/>
  </si>
  <si>
    <t>생산공장</t>
    <phoneticPr fontId="2" type="noConversion"/>
  </si>
  <si>
    <t>[표3]</t>
    <phoneticPr fontId="2" type="noConversion"/>
  </si>
  <si>
    <t>코드</t>
    <phoneticPr fontId="2" type="noConversion"/>
  </si>
  <si>
    <t>지역</t>
    <phoneticPr fontId="2" type="noConversion"/>
  </si>
  <si>
    <t>대구</t>
    <phoneticPr fontId="2" type="noConversion"/>
  </si>
  <si>
    <t>IC-HT301-1</t>
    <phoneticPr fontId="2" type="noConversion"/>
  </si>
  <si>
    <t>IC-HT302-1</t>
    <phoneticPr fontId="2" type="noConversion"/>
  </si>
  <si>
    <t>IC-HT303-1</t>
    <phoneticPr fontId="2" type="noConversion"/>
  </si>
  <si>
    <t>논산</t>
    <phoneticPr fontId="2" type="noConversion"/>
  </si>
  <si>
    <t>IC-BG404-2</t>
    <phoneticPr fontId="2" type="noConversion"/>
  </si>
  <si>
    <t>IC-BG402-2</t>
    <phoneticPr fontId="2" type="noConversion"/>
  </si>
  <si>
    <t>IC-BG401-2</t>
    <phoneticPr fontId="2" type="noConversion"/>
  </si>
  <si>
    <t>IC-BG405-2</t>
    <phoneticPr fontId="2" type="noConversion"/>
  </si>
  <si>
    <t>IC-BG403-2</t>
    <phoneticPr fontId="2" type="noConversion"/>
  </si>
  <si>
    <t>양산</t>
    <phoneticPr fontId="2" type="noConversion"/>
  </si>
  <si>
    <t>IC-LJ102-3</t>
    <phoneticPr fontId="2" type="noConversion"/>
  </si>
  <si>
    <t>IC-LJ103-3</t>
    <phoneticPr fontId="2" type="noConversion"/>
  </si>
  <si>
    <t>천안</t>
    <phoneticPr fontId="2" type="noConversion"/>
  </si>
  <si>
    <t>IC-LF203-4</t>
    <phoneticPr fontId="2" type="noConversion"/>
  </si>
  <si>
    <t>IC-LF201-4</t>
    <phoneticPr fontId="2" type="noConversion"/>
  </si>
  <si>
    <t>IC-LF202-4</t>
    <phoneticPr fontId="2" type="noConversion"/>
  </si>
  <si>
    <t>월불입액 평균</t>
    <phoneticPr fontId="2" type="noConversion"/>
  </si>
  <si>
    <t>최고 납입고객</t>
    <phoneticPr fontId="2" type="noConversion"/>
  </si>
  <si>
    <t>[표2]</t>
    <phoneticPr fontId="4" type="noConversion"/>
  </si>
  <si>
    <t>[표3]</t>
    <phoneticPr fontId="2" type="noConversion"/>
  </si>
  <si>
    <t>[표4]</t>
    <phoneticPr fontId="2" type="noConversion"/>
  </si>
  <si>
    <t>경기</t>
  </si>
  <si>
    <t>충청</t>
  </si>
  <si>
    <t>인천</t>
  </si>
  <si>
    <t>강원</t>
  </si>
  <si>
    <t>고객명</t>
    <phoneticPr fontId="4" type="noConversion"/>
  </si>
  <si>
    <t>인천</t>
    <phoneticPr fontId="2" type="noConversion"/>
  </si>
  <si>
    <t>경기</t>
    <phoneticPr fontId="2" type="noConversion"/>
  </si>
  <si>
    <t>월납입액(▶=250,000)</t>
    <phoneticPr fontId="2" type="noConversion"/>
  </si>
  <si>
    <t>할인액</t>
    <phoneticPr fontId="2" type="noConversion"/>
  </si>
  <si>
    <t>[표1]</t>
    <phoneticPr fontId="4" type="noConversion"/>
  </si>
  <si>
    <t>제조방법</t>
    <phoneticPr fontId="4" type="noConversion"/>
  </si>
  <si>
    <t>친환경인증</t>
    <phoneticPr fontId="4" type="noConversion"/>
  </si>
  <si>
    <t>가격</t>
  </si>
  <si>
    <t>판매량</t>
  </si>
  <si>
    <t>판매금액</t>
    <phoneticPr fontId="4" type="noConversion"/>
  </si>
  <si>
    <t>가루차</t>
  </si>
  <si>
    <t>무농약</t>
  </si>
  <si>
    <t>잎차</t>
  </si>
  <si>
    <t>유기농</t>
  </si>
  <si>
    <t>저농약</t>
  </si>
  <si>
    <t>발효차</t>
  </si>
  <si>
    <t>무농약</t>
    <phoneticPr fontId="4" type="noConversion"/>
  </si>
  <si>
    <t>유기농</t>
    <phoneticPr fontId="4" type="noConversion"/>
  </si>
  <si>
    <t>저농약</t>
    <phoneticPr fontId="4" type="noConversion"/>
  </si>
  <si>
    <t>제조일</t>
    <phoneticPr fontId="2" type="noConversion"/>
  </si>
  <si>
    <t>대</t>
    <phoneticPr fontId="2" type="noConversion"/>
  </si>
  <si>
    <t>중</t>
    <phoneticPr fontId="2" type="noConversion"/>
  </si>
  <si>
    <t>세</t>
    <phoneticPr fontId="2" type="noConversion"/>
  </si>
  <si>
    <t>구분</t>
    <phoneticPr fontId="2" type="noConversion"/>
  </si>
  <si>
    <t>세작</t>
  </si>
  <si>
    <t>대작</t>
  </si>
  <si>
    <t>중작</t>
  </si>
  <si>
    <t>우전</t>
  </si>
  <si>
    <t>개수</t>
    <phoneticPr fontId="2" type="noConversion"/>
  </si>
  <si>
    <t>무농약</t>
    <phoneticPr fontId="2" type="noConversion"/>
  </si>
  <si>
    <t>무농약</t>
    <phoneticPr fontId="2" type="noConversion"/>
  </si>
  <si>
    <t>가루차</t>
    <phoneticPr fontId="4" type="noConversion"/>
  </si>
  <si>
    <t>잎차</t>
    <phoneticPr fontId="4" type="noConversion"/>
  </si>
  <si>
    <t>발효차</t>
    <phoneticPr fontId="4" type="noConversion"/>
  </si>
  <si>
    <t>[표4] 무농약 구분별 개수</t>
    <phoneticPr fontId="2" type="noConversion"/>
  </si>
  <si>
    <t>[표3] 제조년도별 제조방법 가격</t>
    <phoneticPr fontId="4" type="noConversion"/>
  </si>
  <si>
    <t>[표5]</t>
    <phoneticPr fontId="4" type="noConversion"/>
  </si>
  <si>
    <t>[표6]</t>
    <phoneticPr fontId="4" type="noConversion"/>
  </si>
  <si>
    <t xml:space="preserve">                           잔액
개월</t>
    <phoneticPr fontId="4" type="noConversion"/>
  </si>
  <si>
    <t>예금종류</t>
    <phoneticPr fontId="2" type="noConversion"/>
  </si>
  <si>
    <t>[표2] 친환경인증별 년도 할인율</t>
    <phoneticPr fontId="4" type="noConversion"/>
  </si>
  <si>
    <t>세원코드</t>
  </si>
  <si>
    <t>납세자유형</t>
  </si>
  <si>
    <t>세목명</t>
  </si>
  <si>
    <t>세원유형</t>
  </si>
  <si>
    <t>납부금액</t>
  </si>
  <si>
    <t>납부일</t>
  </si>
  <si>
    <t>결제방법</t>
    <phoneticPr fontId="2" type="noConversion"/>
  </si>
  <si>
    <t>수납방법</t>
    <phoneticPr fontId="2" type="noConversion"/>
  </si>
  <si>
    <t>기타</t>
    <phoneticPr fontId="2" type="noConversion"/>
  </si>
  <si>
    <t>개인</t>
  </si>
  <si>
    <t>자동차세</t>
    <phoneticPr fontId="2" type="noConversion"/>
  </si>
  <si>
    <t>2022.06.15</t>
  </si>
  <si>
    <t>이체</t>
    <phoneticPr fontId="2" type="noConversion"/>
  </si>
  <si>
    <t>개인</t>
    <phoneticPr fontId="2" type="noConversion"/>
  </si>
  <si>
    <t>법인</t>
  </si>
  <si>
    <t>부가가치세</t>
  </si>
  <si>
    <t>부가가치세</t>
    <phoneticPr fontId="2" type="noConversion"/>
  </si>
  <si>
    <t>2023.07.20</t>
  </si>
  <si>
    <t>현금</t>
    <phoneticPr fontId="2" type="noConversion"/>
  </si>
  <si>
    <t>법인</t>
    <phoneticPr fontId="2" type="noConversion"/>
  </si>
  <si>
    <t>재산세</t>
  </si>
  <si>
    <t>재산세(주택)</t>
    <phoneticPr fontId="2" type="noConversion"/>
  </si>
  <si>
    <t>2023.08.10</t>
  </si>
  <si>
    <t>현금</t>
  </si>
  <si>
    <t>법인세</t>
  </si>
  <si>
    <t>2024.09.05</t>
  </si>
  <si>
    <t>취득세</t>
  </si>
  <si>
    <t>주택(개별)</t>
    <phoneticPr fontId="2" type="noConversion"/>
  </si>
  <si>
    <t>2023.10.12</t>
  </si>
  <si>
    <t>CARD</t>
    <phoneticPr fontId="2" type="noConversion"/>
  </si>
  <si>
    <t>주민세</t>
  </si>
  <si>
    <t>주민세(재산분)</t>
    <phoneticPr fontId="2" type="noConversion"/>
  </si>
  <si>
    <t>2022.11.25</t>
  </si>
  <si>
    <t>납부일</t>
    <phoneticPr fontId="2" type="noConversion"/>
  </si>
  <si>
    <t>지방소득세</t>
    <phoneticPr fontId="2" type="noConversion"/>
  </si>
  <si>
    <t>종합소득</t>
    <phoneticPr fontId="2" type="noConversion"/>
  </si>
  <si>
    <t>2024.12.30</t>
  </si>
  <si>
    <t>자동차세</t>
  </si>
  <si>
    <t>화물</t>
    <phoneticPr fontId="2" type="noConversion"/>
  </si>
  <si>
    <t>2023.01.14</t>
  </si>
  <si>
    <t>원천세</t>
    <phoneticPr fontId="2" type="noConversion"/>
  </si>
  <si>
    <t>2023.02.22</t>
  </si>
  <si>
    <t>취득세</t>
    <phoneticPr fontId="2" type="noConversion"/>
  </si>
  <si>
    <t>차량</t>
    <phoneticPr fontId="2" type="noConversion"/>
  </si>
  <si>
    <t>2024.03.11</t>
  </si>
  <si>
    <t>주택(단독)</t>
    <phoneticPr fontId="2" type="noConversion"/>
  </si>
  <si>
    <t>2022.04.15</t>
  </si>
  <si>
    <t>2023.05.20</t>
  </si>
  <si>
    <t>2023.06.10</t>
  </si>
  <si>
    <t>직접세</t>
  </si>
  <si>
    <t>2024.07.05</t>
  </si>
  <si>
    <t>2023.08.12</t>
  </si>
  <si>
    <t>2023.12.22</t>
  </si>
  <si>
    <t>2023.01.11</t>
  </si>
  <si>
    <t>특별징수</t>
    <phoneticPr fontId="2" type="noConversion"/>
  </si>
  <si>
    <t>2024.02.15</t>
  </si>
  <si>
    <t>2023.03.20</t>
  </si>
  <si>
    <t>2024.04.10</t>
  </si>
  <si>
    <t>2022.05.05</t>
  </si>
  <si>
    <t>2023.08.30</t>
  </si>
  <si>
    <t>승합</t>
    <phoneticPr fontId="2" type="noConversion"/>
  </si>
  <si>
    <t>2024.09.14</t>
  </si>
  <si>
    <t>2023.10.22</t>
  </si>
  <si>
    <t>2022.11.11</t>
  </si>
  <si>
    <t>상품명</t>
    <phoneticPr fontId="2" type="noConversion"/>
  </si>
  <si>
    <t>배송비</t>
    <phoneticPr fontId="2" type="noConversion"/>
  </si>
  <si>
    <t>리뷰평가</t>
    <phoneticPr fontId="2" type="noConversion"/>
  </si>
  <si>
    <t>리뷰</t>
    <phoneticPr fontId="2" type="noConversion"/>
  </si>
  <si>
    <t>맛</t>
    <phoneticPr fontId="2" type="noConversion"/>
  </si>
  <si>
    <t>가격</t>
    <phoneticPr fontId="2" type="noConversion"/>
  </si>
  <si>
    <t>포장</t>
    <phoneticPr fontId="2" type="noConversion"/>
  </si>
  <si>
    <t>AS</t>
  </si>
  <si>
    <t>유</t>
    <phoneticPr fontId="2" type="noConversion"/>
  </si>
  <si>
    <t>나이버</t>
    <phoneticPr fontId="2" type="noConversion"/>
  </si>
  <si>
    <t>코드</t>
  </si>
  <si>
    <t>S</t>
  </si>
  <si>
    <t>M</t>
  </si>
  <si>
    <t>L</t>
  </si>
  <si>
    <t>BS</t>
  </si>
  <si>
    <t>무</t>
    <phoneticPr fontId="2" type="noConversion"/>
  </si>
  <si>
    <t>녹차소형</t>
  </si>
  <si>
    <t>녹차중형</t>
  </si>
  <si>
    <t>녹차대형</t>
  </si>
  <si>
    <t>CS</t>
  </si>
  <si>
    <t>구팡</t>
    <phoneticPr fontId="2" type="noConversion"/>
  </si>
  <si>
    <t>홍차소형</t>
  </si>
  <si>
    <t>홍차중형</t>
  </si>
  <si>
    <t>홍차대형</t>
  </si>
  <si>
    <t>DS</t>
  </si>
  <si>
    <t>C</t>
  </si>
  <si>
    <t>카모마일소형</t>
  </si>
  <si>
    <t>카모마일중형</t>
  </si>
  <si>
    <t>카모마일대형</t>
  </si>
  <si>
    <t>ES</t>
  </si>
  <si>
    <t>페퍼민트소형</t>
  </si>
  <si>
    <t>페퍼민트중형</t>
  </si>
  <si>
    <t>페퍼민트대형</t>
  </si>
  <si>
    <t>FS</t>
  </si>
  <si>
    <t>E</t>
    <phoneticPr fontId="2" type="noConversion"/>
  </si>
  <si>
    <t>루이보스소형</t>
  </si>
  <si>
    <t>루이보스중형</t>
  </si>
  <si>
    <t>루이보스대형</t>
  </si>
  <si>
    <t>AM</t>
  </si>
  <si>
    <t>뮤</t>
    <phoneticPr fontId="2" type="noConversion"/>
  </si>
  <si>
    <t>얼그레이소형</t>
  </si>
  <si>
    <t>얼그레이중형</t>
  </si>
  <si>
    <t>얼그레이대형</t>
  </si>
  <si>
    <t>BM</t>
  </si>
  <si>
    <t>CM</t>
  </si>
  <si>
    <t>DM</t>
  </si>
  <si>
    <t>가중치</t>
    <phoneticPr fontId="2" type="noConversion"/>
  </si>
  <si>
    <t>EM</t>
  </si>
  <si>
    <t>FM</t>
  </si>
  <si>
    <t>AL</t>
  </si>
  <si>
    <t>BL</t>
  </si>
  <si>
    <t>CL</t>
  </si>
  <si>
    <t>DL</t>
  </si>
  <si>
    <t>상품 리뷰</t>
    <phoneticPr fontId="2" type="noConversion"/>
  </si>
  <si>
    <t>EL</t>
  </si>
  <si>
    <t>FL</t>
  </si>
  <si>
    <t>AL</t>
    <phoneticPr fontId="2" type="noConversion"/>
  </si>
  <si>
    <t>BM</t>
    <phoneticPr fontId="2" type="noConversion"/>
  </si>
  <si>
    <t>CS</t>
    <phoneticPr fontId="2" type="noConversion"/>
  </si>
  <si>
    <t>DM</t>
    <phoneticPr fontId="2" type="noConversion"/>
  </si>
  <si>
    <t>EL</t>
    <phoneticPr fontId="2" type="noConversion"/>
  </si>
  <si>
    <t>FS</t>
    <phoneticPr fontId="2" type="noConversion"/>
  </si>
  <si>
    <t>평점</t>
    <phoneticPr fontId="2" type="noConversion"/>
  </si>
  <si>
    <t>리뷰수</t>
    <phoneticPr fontId="2" type="noConversion"/>
  </si>
  <si>
    <t>CL</t>
    <phoneticPr fontId="2" type="noConversion"/>
  </si>
  <si>
    <t>구매처</t>
    <phoneticPr fontId="2" type="noConversion"/>
  </si>
  <si>
    <t>판매순위</t>
    <phoneticPr fontId="2" type="noConversion"/>
  </si>
  <si>
    <t>기타</t>
    <phoneticPr fontId="4" type="noConversion"/>
  </si>
  <si>
    <t>[표2] 친환경인증별 백분위수</t>
    <phoneticPr fontId="4" type="noConversion"/>
  </si>
  <si>
    <t>2024.05.30</t>
  </si>
  <si>
    <t>2024.06.30</t>
  </si>
  <si>
    <t>2023.05.30</t>
  </si>
  <si>
    <t>2024.07.30</t>
  </si>
  <si>
    <t>2023.07.30</t>
  </si>
  <si>
    <t>2024.08.30</t>
  </si>
  <si>
    <t>2024.07.25</t>
  </si>
  <si>
    <t>2023.08.25</t>
  </si>
  <si>
    <t>2023.09.01</t>
  </si>
  <si>
    <t>2024.09.02</t>
  </si>
  <si>
    <t>2023.09.30</t>
  </si>
  <si>
    <t>2023.06.25</t>
  </si>
  <si>
    <t>2024.05.25</t>
  </si>
  <si>
    <t>발효차</t>
    <phoneticPr fontId="2" type="noConversion"/>
  </si>
  <si>
    <t>저농약</t>
    <phoneticPr fontId="2" type="noConversion"/>
  </si>
  <si>
    <t>2024.06.21</t>
    <phoneticPr fontId="2" type="noConversion"/>
  </si>
  <si>
    <t>잎차</t>
    <phoneticPr fontId="2" type="noConversion"/>
  </si>
  <si>
    <t>유기농</t>
    <phoneticPr fontId="2" type="noConversion"/>
  </si>
  <si>
    <t>2024.07.06</t>
    <phoneticPr fontId="2" type="noConversion"/>
  </si>
  <si>
    <t>가루차</t>
    <phoneticPr fontId="2" type="noConversion"/>
  </si>
  <si>
    <t>2024.01.05</t>
    <phoneticPr fontId="2" type="noConversion"/>
  </si>
  <si>
    <t>[표3] 제조년도별 제조방법 판매량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</si>
</sst>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General\~"/>
    <numFmt numFmtId="177" formatCode="General\ &quot;세&quot;"/>
    <numFmt numFmtId="178" formatCode="0&quot;세 이상&quot;"/>
    <numFmt numFmtId="179" formatCode="0&quot;세 미만&quot;"/>
    <numFmt numFmtId="180" formatCode="0&quot;세  ~&quot;"/>
    <numFmt numFmtId="181" formatCode="\ 0&quot;세&quot;"/>
    <numFmt numFmtId="182" formatCode="0.00_ "/>
    <numFmt numFmtId="183" formatCode="0&quot;개&quot;&quot;월&quot;&quot;미&quot;&quot;만&quot;"/>
    <numFmt numFmtId="184" formatCode="0&quot;개&quot;&quot;월&quot;&quot;이&quot;&quot;상&quot;"/>
    <numFmt numFmtId="185" formatCode="###0&quot;이&quot;&quot;상&quot;"/>
    <numFmt numFmtId="186" formatCode="#,##0&quot;미&quot;&quot;만&quot;"/>
    <numFmt numFmtId="187" formatCode="#,##0&quot;이&quot;&quot;상&quot;"/>
    <numFmt numFmtId="188" formatCode="0&quot;열&quot;"/>
    <numFmt numFmtId="189" formatCode="General\ &quot;년&quot;"/>
    <numFmt numFmtId="190" formatCode="0&quot;이상&quot;"/>
    <numFmt numFmtId="191" formatCode="0&quot;이&quot;&quot;하&quot;"/>
    <numFmt numFmtId="192" formatCode="0&quot;초과&quot;"/>
  </numFmts>
  <fonts count="1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</borders>
  <cellStyleXfs count="8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0" fillId="0" borderId="0"/>
  </cellStyleXfs>
  <cellXfs count="134">
    <xf numFmtId="0" fontId="0" fillId="0" borderId="0" xfId="0">
      <alignment vertical="center"/>
    </xf>
    <xf numFmtId="0" fontId="3" fillId="0" borderId="0" xfId="0" applyFont="1" applyAlignment="1">
      <alignment vertical="center"/>
    </xf>
    <xf numFmtId="0" fontId="6" fillId="0" borderId="3" xfId="0" applyFon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vertical="center" wrapText="1"/>
    </xf>
    <xf numFmtId="21" fontId="5" fillId="0" borderId="4" xfId="0" applyNumberFormat="1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 wrapText="1"/>
    </xf>
    <xf numFmtId="21" fontId="5" fillId="0" borderId="5" xfId="0" applyNumberFormat="1" applyFont="1" applyFill="1" applyBorder="1" applyAlignment="1">
      <alignment horizontal="center" vertical="center"/>
    </xf>
    <xf numFmtId="21" fontId="5" fillId="0" borderId="5" xfId="0" applyNumberFormat="1" applyFont="1" applyFill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>
      <alignment vertical="center"/>
    </xf>
    <xf numFmtId="0" fontId="3" fillId="0" borderId="2" xfId="0" applyFont="1" applyBorder="1">
      <alignment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41" fontId="0" fillId="0" borderId="0" xfId="1" applyFont="1">
      <alignment vertical="center"/>
    </xf>
    <xf numFmtId="0" fontId="0" fillId="0" borderId="2" xfId="0" applyBorder="1">
      <alignment vertical="center"/>
    </xf>
    <xf numFmtId="41" fontId="0" fillId="0" borderId="2" xfId="1" applyFont="1" applyBorder="1">
      <alignment vertical="center"/>
    </xf>
    <xf numFmtId="0" fontId="0" fillId="0" borderId="2" xfId="0" applyBorder="1" applyAlignment="1">
      <alignment horizontal="center" vertical="center"/>
    </xf>
    <xf numFmtId="9" fontId="0" fillId="0" borderId="2" xfId="0" applyNumberFormat="1" applyBorder="1">
      <alignment vertical="center"/>
    </xf>
    <xf numFmtId="0" fontId="0" fillId="0" borderId="2" xfId="0" applyFill="1" applyBorder="1" applyAlignment="1">
      <alignment horizontal="center" vertical="center"/>
    </xf>
    <xf numFmtId="176" fontId="0" fillId="0" borderId="2" xfId="0" applyNumberFormat="1" applyBorder="1">
      <alignment vertical="center"/>
    </xf>
    <xf numFmtId="0" fontId="0" fillId="3" borderId="2" xfId="0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41" fontId="0" fillId="0" borderId="2" xfId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4" borderId="2" xfId="0" applyFill="1" applyBorder="1">
      <alignment vertical="center"/>
    </xf>
    <xf numFmtId="0" fontId="0" fillId="4" borderId="2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right" vertical="center"/>
    </xf>
    <xf numFmtId="6" fontId="0" fillId="0" borderId="2" xfId="0" applyNumberFormat="1" applyBorder="1">
      <alignment vertical="center"/>
    </xf>
    <xf numFmtId="9" fontId="0" fillId="0" borderId="2" xfId="2" applyFont="1" applyBorder="1">
      <alignment vertical="center"/>
    </xf>
    <xf numFmtId="0" fontId="0" fillId="0" borderId="0" xfId="0" applyAlignment="1">
      <alignment vertical="center"/>
    </xf>
    <xf numFmtId="0" fontId="9" fillId="5" borderId="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77" fontId="0" fillId="0" borderId="2" xfId="0" applyNumberFormat="1" applyBorder="1" applyAlignment="1">
      <alignment horizontal="center" vertical="center"/>
    </xf>
    <xf numFmtId="178" fontId="9" fillId="0" borderId="2" xfId="0" applyNumberFormat="1" applyFont="1" applyFill="1" applyBorder="1" applyAlignment="1">
      <alignment horizontal="center" vertical="center"/>
    </xf>
    <xf numFmtId="179" fontId="9" fillId="0" borderId="2" xfId="0" applyNumberFormat="1" applyFont="1" applyFill="1" applyBorder="1" applyAlignment="1">
      <alignment horizontal="center" vertical="center"/>
    </xf>
    <xf numFmtId="41" fontId="0" fillId="0" borderId="2" xfId="1" applyFont="1" applyBorder="1" applyAlignment="1">
      <alignment vertical="center"/>
    </xf>
    <xf numFmtId="178" fontId="9" fillId="5" borderId="2" xfId="0" applyNumberFormat="1" applyFont="1" applyFill="1" applyBorder="1" applyAlignment="1">
      <alignment horizontal="center" vertical="center"/>
    </xf>
    <xf numFmtId="180" fontId="0" fillId="0" borderId="2" xfId="0" applyNumberFormat="1" applyBorder="1" applyAlignment="1">
      <alignment vertical="center"/>
    </xf>
    <xf numFmtId="181" fontId="0" fillId="0" borderId="2" xfId="0" applyNumberFormat="1" applyBorder="1" applyAlignment="1">
      <alignment horizontal="left" vertical="center"/>
    </xf>
    <xf numFmtId="179" fontId="9" fillId="5" borderId="2" xfId="0" applyNumberFormat="1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82" fontId="0" fillId="0" borderId="2" xfId="0" applyNumberFormat="1" applyBorder="1" applyAlignment="1">
      <alignment vertical="center"/>
    </xf>
    <xf numFmtId="0" fontId="5" fillId="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9" fontId="3" fillId="0" borderId="2" xfId="0" applyNumberFormat="1" applyFont="1" applyBorder="1">
      <alignment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41" fontId="5" fillId="0" borderId="2" xfId="1" applyFont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41" fontId="0" fillId="0" borderId="2" xfId="1" applyFon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0" fontId="0" fillId="0" borderId="2" xfId="0" applyNumberFormat="1" applyBorder="1" applyAlignment="1">
      <alignment vertical="center"/>
    </xf>
    <xf numFmtId="183" fontId="0" fillId="0" borderId="2" xfId="0" applyNumberFormat="1" applyBorder="1" applyAlignment="1">
      <alignment horizontal="center" vertical="center"/>
    </xf>
    <xf numFmtId="184" fontId="0" fillId="0" borderId="2" xfId="0" applyNumberFormat="1" applyBorder="1" applyAlignment="1">
      <alignment horizontal="center" vertical="center"/>
    </xf>
    <xf numFmtId="185" fontId="0" fillId="0" borderId="2" xfId="0" applyNumberFormat="1" applyBorder="1" applyAlignment="1">
      <alignment vertical="center"/>
    </xf>
    <xf numFmtId="186" fontId="0" fillId="0" borderId="2" xfId="0" applyNumberFormat="1" applyBorder="1" applyAlignment="1">
      <alignment vertical="center"/>
    </xf>
    <xf numFmtId="187" fontId="0" fillId="0" borderId="2" xfId="0" applyNumberFormat="1" applyBorder="1" applyAlignment="1">
      <alignment vertical="center"/>
    </xf>
    <xf numFmtId="188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3" fontId="0" fillId="0" borderId="2" xfId="0" applyNumberFormat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189" fontId="5" fillId="0" borderId="2" xfId="0" applyNumberFormat="1" applyFont="1" applyBorder="1" applyAlignment="1">
      <alignment horizontal="center" vertical="center"/>
    </xf>
    <xf numFmtId="9" fontId="5" fillId="0" borderId="2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14" fontId="5" fillId="0" borderId="2" xfId="0" applyNumberFormat="1" applyFont="1" applyBorder="1" applyAlignment="1">
      <alignment horizontal="center" vertical="center"/>
    </xf>
    <xf numFmtId="189" fontId="5" fillId="6" borderId="2" xfId="0" applyNumberFormat="1" applyFont="1" applyFill="1" applyBorder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9" fillId="0" borderId="2" xfId="0" applyNumberFormat="1" applyFont="1" applyBorder="1" applyAlignment="1">
      <alignment horizontal="center" vertical="center"/>
    </xf>
    <xf numFmtId="9" fontId="0" fillId="0" borderId="2" xfId="2" applyFont="1" applyBorder="1" applyAlignment="1">
      <alignment horizontal="center" vertical="center"/>
    </xf>
    <xf numFmtId="9" fontId="0" fillId="0" borderId="0" xfId="0" applyNumberFormat="1">
      <alignment vertical="center"/>
    </xf>
    <xf numFmtId="0" fontId="9" fillId="2" borderId="2" xfId="0" applyFont="1" applyFill="1" applyBorder="1" applyAlignment="1">
      <alignment horizontal="center" vertical="center"/>
    </xf>
    <xf numFmtId="41" fontId="0" fillId="0" borderId="2" xfId="0" applyNumberFormat="1" applyBorder="1" applyAlignment="1">
      <alignment horizontal="center" vertical="center"/>
    </xf>
    <xf numFmtId="0" fontId="9" fillId="0" borderId="2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vertical="center" wrapText="1"/>
    </xf>
    <xf numFmtId="9" fontId="0" fillId="0" borderId="2" xfId="2" applyFont="1" applyFill="1" applyBorder="1" applyAlignment="1">
      <alignment horizontal="center" vertical="center"/>
    </xf>
    <xf numFmtId="190" fontId="0" fillId="0" borderId="2" xfId="0" applyNumberFormat="1" applyBorder="1">
      <alignment vertical="center"/>
    </xf>
    <xf numFmtId="191" fontId="0" fillId="0" borderId="2" xfId="0" applyNumberFormat="1" applyBorder="1">
      <alignment vertical="center"/>
    </xf>
    <xf numFmtId="192" fontId="0" fillId="0" borderId="2" xfId="0" applyNumberFormat="1" applyBorder="1">
      <alignment vertical="center"/>
    </xf>
    <xf numFmtId="41" fontId="0" fillId="0" borderId="0" xfId="0" applyNumberFormat="1">
      <alignment vertical="center"/>
    </xf>
    <xf numFmtId="0" fontId="0" fillId="0" borderId="0" xfId="0" applyFill="1" applyBorder="1" applyAlignment="1">
      <alignment horizontal="left" vertical="center" wrapText="1"/>
    </xf>
    <xf numFmtId="0" fontId="9" fillId="7" borderId="2" xfId="0" applyFont="1" applyFill="1" applyBorder="1" applyAlignment="1">
      <alignment horizontal="center" vertical="center"/>
    </xf>
    <xf numFmtId="41" fontId="5" fillId="0" borderId="2" xfId="1" applyFont="1" applyFill="1" applyBorder="1" applyAlignment="1">
      <alignment vertical="center"/>
    </xf>
    <xf numFmtId="0" fontId="5" fillId="0" borderId="0" xfId="0" applyFont="1" applyFill="1">
      <alignment vertical="center"/>
    </xf>
    <xf numFmtId="0" fontId="0" fillId="0" borderId="0" xfId="0" applyFill="1">
      <alignment vertical="center"/>
    </xf>
    <xf numFmtId="14" fontId="5" fillId="0" borderId="2" xfId="0" applyNumberFormat="1" applyFont="1" applyFill="1" applyBorder="1" applyAlignment="1">
      <alignment horizontal="center" vertical="center"/>
    </xf>
    <xf numFmtId="41" fontId="5" fillId="0" borderId="2" xfId="1" applyFont="1" applyFill="1" applyBorder="1" applyAlignment="1">
      <alignment horizontal="center" vertical="center"/>
    </xf>
    <xf numFmtId="0" fontId="0" fillId="0" borderId="2" xfId="0" applyFill="1" applyBorder="1">
      <alignment vertical="center"/>
    </xf>
    <xf numFmtId="0" fontId="0" fillId="0" borderId="0" xfId="2" applyNumberFormat="1" applyFont="1" applyFill="1">
      <alignment vertical="center"/>
    </xf>
    <xf numFmtId="0" fontId="6" fillId="4" borderId="2" xfId="0" applyFont="1" applyFill="1" applyBorder="1" applyAlignment="1">
      <alignment horizontal="center" vertical="center"/>
    </xf>
    <xf numFmtId="9" fontId="9" fillId="4" borderId="2" xfId="0" applyNumberFormat="1" applyFont="1" applyFill="1" applyBorder="1">
      <alignment vertical="center"/>
    </xf>
    <xf numFmtId="189" fontId="6" fillId="4" borderId="2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3" borderId="2" xfId="0" applyFill="1" applyBorder="1" applyAlignment="1">
      <alignment horizontal="center" vertical="center"/>
    </xf>
    <xf numFmtId="0" fontId="0" fillId="0" borderId="12" xfId="0" applyBorder="1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</cellXfs>
  <cellStyles count="8">
    <cellStyle name="백분율" xfId="2" builtinId="5"/>
    <cellStyle name="쉼표 [0]" xfId="1" builtinId="6"/>
    <cellStyle name="쉼표 [0] 2" xfId="3" xr:uid="{00000000-0005-0000-0000-000002000000}"/>
    <cellStyle name="쉼표 [0] 3" xfId="4" xr:uid="{00000000-0005-0000-0000-000003000000}"/>
    <cellStyle name="쉼표 [0] 4" xfId="6" xr:uid="{00000000-0005-0000-0000-000004000000}"/>
    <cellStyle name="통화 [0] 2" xfId="5" xr:uid="{00000000-0005-0000-0000-000005000000}"/>
    <cellStyle name="표준" xfId="0" builtinId="0"/>
    <cellStyle name="표준 2" xfId="7" xr:uid="{00000000-0005-0000-0000-000007000000}"/>
  </cellStyles>
  <dxfs count="1">
    <dxf>
      <font>
        <b/>
        <i val="0"/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46030-6217-4554-A202-3CC65B64E4FC}">
  <sheetPr codeName="Sheet6"/>
  <dimension ref="A1:P23"/>
  <sheetViews>
    <sheetView tabSelected="1" workbookViewId="0"/>
  </sheetViews>
  <sheetFormatPr defaultRowHeight="16.5"/>
  <cols>
    <col min="1" max="1" width="15.5" style="107" bestFit="1" customWidth="1"/>
    <col min="2" max="2" width="10.625" style="107" customWidth="1"/>
    <col min="3" max="3" width="11.125" style="107" bestFit="1" customWidth="1"/>
    <col min="4" max="4" width="11.75" style="107" customWidth="1"/>
    <col min="5" max="5" width="11.125" style="107" bestFit="1" customWidth="1"/>
    <col min="6" max="6" width="13.125" style="107" customWidth="1"/>
    <col min="7" max="7" width="10.75" style="107" customWidth="1"/>
    <col min="8" max="8" width="18.875" style="107" bestFit="1" customWidth="1"/>
    <col min="9" max="9" width="1.625" style="107" customWidth="1"/>
    <col min="10" max="10" width="15" style="107" customWidth="1"/>
    <col min="11" max="14" width="11.125" style="107" customWidth="1"/>
    <col min="15" max="16384" width="9" style="107"/>
  </cols>
  <sheetData>
    <row r="1" spans="1:16">
      <c r="A1" s="106" t="s">
        <v>214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</row>
    <row r="2" spans="1:16">
      <c r="A2" s="112" t="s">
        <v>244</v>
      </c>
      <c r="B2" s="46" t="s">
        <v>314</v>
      </c>
      <c r="C2" s="46" t="s">
        <v>315</v>
      </c>
      <c r="D2" s="46" t="s">
        <v>328</v>
      </c>
      <c r="E2" s="46" t="s">
        <v>316</v>
      </c>
      <c r="F2" s="46" t="s">
        <v>317</v>
      </c>
      <c r="G2" s="112" t="s">
        <v>480</v>
      </c>
      <c r="H2" s="112" t="s">
        <v>481</v>
      </c>
      <c r="I2" s="106"/>
      <c r="J2" s="106" t="s">
        <v>482</v>
      </c>
      <c r="K2" s="106"/>
      <c r="L2" s="106"/>
    </row>
    <row r="3" spans="1:16">
      <c r="A3" s="46" t="str">
        <f>LOOKUP(B3,{"가루차","발효차","잎차"},{11,22,33})&amp;"-"&amp;SUBSTITUTE(D3,".","")&amp;"-"&amp;ROW()</f>
        <v>11-20240530-3</v>
      </c>
      <c r="B3" s="46" t="s">
        <v>319</v>
      </c>
      <c r="C3" s="46" t="s">
        <v>320</v>
      </c>
      <c r="D3" s="108" t="s">
        <v>483</v>
      </c>
      <c r="E3" s="109">
        <v>15000</v>
      </c>
      <c r="F3" s="88">
        <v>450</v>
      </c>
      <c r="G3" s="46" t="str">
        <f>IF(F3&gt;=LARGE($F$3:$F$23,3),"★Top"&amp;_xlfn.RANK.EQ(F3,$F$3:$F$23,0),IF(F3&lt;=SMALL($F$3:$F$23,3),"☆Low"&amp;_xlfn.RANK.EQ(F3,$F$3:$F$23,1),""))</f>
        <v/>
      </c>
      <c r="H3" s="105" t="str" cm="1">
        <f t="array" ref="H3">fn판매(F3)</f>
        <v>▶▶▶▶</v>
      </c>
      <c r="I3" s="106"/>
      <c r="J3" s="112" t="s">
        <v>315</v>
      </c>
      <c r="K3" s="113">
        <v>0.9</v>
      </c>
      <c r="L3" s="113">
        <v>0.8</v>
      </c>
      <c r="M3" s="113">
        <v>0.7</v>
      </c>
      <c r="N3" s="113">
        <v>0.6</v>
      </c>
    </row>
    <row r="4" spans="1:16">
      <c r="A4" s="46" t="str">
        <f>LOOKUP(B4,{"가루차","발효차","잎차"},{11,22,33})&amp;"-"&amp;SUBSTITUTE(D4,".","")&amp;"-"&amp;ROW()</f>
        <v>33-20240630-4</v>
      </c>
      <c r="B4" s="46" t="s">
        <v>321</v>
      </c>
      <c r="C4" s="46" t="s">
        <v>320</v>
      </c>
      <c r="D4" s="108" t="s">
        <v>484</v>
      </c>
      <c r="E4" s="109">
        <v>44000</v>
      </c>
      <c r="F4" s="88">
        <v>600</v>
      </c>
      <c r="G4" s="46" t="str">
        <f t="shared" ref="G4:G23" si="0">IF(F4&gt;=LARGE($F$3:$F$23,3),"★Top"&amp;_xlfn.RANK.EQ(F4,$F$3:$F$23,0),IF(F4&lt;=SMALL($F$3:$F$23,3),"☆Low"&amp;_xlfn.RANK.EQ(F4,$F$3:$F$23,1),""))</f>
        <v/>
      </c>
      <c r="H4" s="105" t="str" cm="1">
        <f t="array" ref="H4">fn판매(F4)</f>
        <v>▶▶▶▶▶▶</v>
      </c>
      <c r="I4" s="106"/>
      <c r="J4" s="112" t="s">
        <v>325</v>
      </c>
      <c r="K4" s="110">
        <f t="array" ref="K4">ROUND(_xlfn.PERCENTILE.INC(IF($C$3:$C$23=$J4,$F$3:$F$23),K$3),0)</f>
        <v>750</v>
      </c>
      <c r="L4" s="110">
        <f t="array" ref="L4">ROUND(_xlfn.PERCENTILE.INC(IF($C$3:$C$23=$J4,$F$3:$F$23),L$3),0)</f>
        <v>660</v>
      </c>
      <c r="M4" s="110">
        <f t="array" ref="M4">ROUND(_xlfn.PERCENTILE.INC(IF($C$3:$C$23=$J4,$F$3:$F$23),M$3),0)</f>
        <v>600</v>
      </c>
      <c r="N4" s="110">
        <f t="array" ref="N4">ROUND(_xlfn.PERCENTILE.INC(IF($C$3:$C$23=$J4,$F$3:$F$23),N$3),0)</f>
        <v>450</v>
      </c>
    </row>
    <row r="5" spans="1:16">
      <c r="A5" s="46" t="str">
        <f>LOOKUP(B5,{"가루차","발효차","잎차"},{11,22,33})&amp;"-"&amp;SUBSTITUTE(D5,".","")&amp;"-"&amp;ROW()</f>
        <v>33-20230530-5</v>
      </c>
      <c r="B5" s="46" t="s">
        <v>321</v>
      </c>
      <c r="C5" s="46" t="s">
        <v>320</v>
      </c>
      <c r="D5" s="108" t="s">
        <v>485</v>
      </c>
      <c r="E5" s="109">
        <v>34000</v>
      </c>
      <c r="F5" s="88">
        <v>430</v>
      </c>
      <c r="G5" s="46" t="str">
        <f t="shared" si="0"/>
        <v/>
      </c>
      <c r="H5" s="105" t="str" cm="1">
        <f t="array" ref="H5">fn판매(F5)</f>
        <v>▶▶▶▶</v>
      </c>
      <c r="I5" s="106"/>
      <c r="J5" s="112" t="s">
        <v>326</v>
      </c>
      <c r="K5" s="110">
        <f t="array" ref="K5">ROUND(_xlfn.PERCENTILE.INC(IF($C$3:$C$23=$J5,$F$3:$F$23),K$3),0)</f>
        <v>572</v>
      </c>
      <c r="L5" s="110">
        <f t="array" ref="L5">ROUND(_xlfn.PERCENTILE.INC(IF($C$3:$C$23=$J5,$F$3:$F$23),L$3),0)</f>
        <v>544</v>
      </c>
      <c r="M5" s="110">
        <f t="array" ref="M5">ROUND(_xlfn.PERCENTILE.INC(IF($C$3:$C$23=$J5,$F$3:$F$23),M$3),0)</f>
        <v>454</v>
      </c>
      <c r="N5" s="110">
        <f t="array" ref="N5">ROUND(_xlfn.PERCENTILE.INC(IF($C$3:$C$23=$J5,$F$3:$F$23),N$3),0)</f>
        <v>302</v>
      </c>
    </row>
    <row r="6" spans="1:16">
      <c r="A6" s="46" t="str">
        <f>LOOKUP(B6,{"가루차","발효차","잎차"},{11,22,33})&amp;"-"&amp;SUBSTITUTE(D6,".","")&amp;"-"&amp;ROW()</f>
        <v>11-20240630-6</v>
      </c>
      <c r="B6" s="46" t="s">
        <v>319</v>
      </c>
      <c r="C6" s="46" t="s">
        <v>323</v>
      </c>
      <c r="D6" s="108" t="s">
        <v>484</v>
      </c>
      <c r="E6" s="109">
        <v>15000</v>
      </c>
      <c r="F6" s="88">
        <v>200</v>
      </c>
      <c r="G6" s="46" t="str">
        <f t="shared" si="0"/>
        <v/>
      </c>
      <c r="H6" s="105" t="str" cm="1">
        <f t="array" ref="H6">fn판매(F6)</f>
        <v>▶▶</v>
      </c>
      <c r="I6" s="106"/>
      <c r="J6" s="112" t="s">
        <v>327</v>
      </c>
      <c r="K6" s="110">
        <f t="array" ref="K6">ROUND(_xlfn.PERCENTILE.INC(IF($C$3:$C$23=$J6,$F$3:$F$23),K$3),0)</f>
        <v>478</v>
      </c>
      <c r="L6" s="110">
        <f t="array" ref="L6">ROUND(_xlfn.PERCENTILE.INC(IF($C$3:$C$23=$J6,$F$3:$F$23),L$3),0)</f>
        <v>426</v>
      </c>
      <c r="M6" s="110">
        <f t="array" ref="M6">ROUND(_xlfn.PERCENTILE.INC(IF($C$3:$C$23=$J6,$F$3:$F$23),M$3),0)</f>
        <v>382</v>
      </c>
      <c r="N6" s="110">
        <f t="array" ref="N6">ROUND(_xlfn.PERCENTILE.INC(IF($C$3:$C$23=$J6,$F$3:$F$23),N$3),0)</f>
        <v>346</v>
      </c>
    </row>
    <row r="7" spans="1:16">
      <c r="A7" s="46" t="str">
        <f>LOOKUP(B7,{"가루차","발효차","잎차"},{11,22,33})&amp;"-"&amp;SUBSTITUTE(D7,".","")&amp;"-"&amp;ROW()</f>
        <v>11-20240730-7</v>
      </c>
      <c r="B7" s="46" t="s">
        <v>319</v>
      </c>
      <c r="C7" s="46" t="s">
        <v>322</v>
      </c>
      <c r="D7" s="108" t="s">
        <v>486</v>
      </c>
      <c r="E7" s="109">
        <v>10000</v>
      </c>
      <c r="F7" s="88">
        <v>100</v>
      </c>
      <c r="G7" s="46" t="str">
        <f t="shared" si="0"/>
        <v>☆Low2</v>
      </c>
      <c r="H7" s="105" t="str" cm="1">
        <f t="array" ref="H7">fn판매(F7)</f>
        <v/>
      </c>
      <c r="I7" s="106"/>
      <c r="J7" s="106"/>
      <c r="K7" s="106"/>
      <c r="L7" s="106"/>
      <c r="M7" s="106"/>
      <c r="N7" s="106"/>
      <c r="O7" s="106"/>
      <c r="P7" s="106"/>
    </row>
    <row r="8" spans="1:16">
      <c r="A8" s="46" t="str">
        <f>LOOKUP(B8,{"가루차","발효차","잎차"},{11,22,33})&amp;"-"&amp;SUBSTITUTE(D8,".","")&amp;"-"&amp;ROW()</f>
        <v>11-20230830-8</v>
      </c>
      <c r="B8" s="46" t="s">
        <v>319</v>
      </c>
      <c r="C8" s="46" t="s">
        <v>338</v>
      </c>
      <c r="D8" s="108" t="s">
        <v>409</v>
      </c>
      <c r="E8" s="109">
        <v>30000</v>
      </c>
      <c r="F8" s="88">
        <v>340</v>
      </c>
      <c r="G8" s="46" t="str">
        <f t="shared" si="0"/>
        <v/>
      </c>
      <c r="H8" s="105" t="str" cm="1">
        <f t="array" ref="H8">fn판매(F8)</f>
        <v>▶▶▶</v>
      </c>
      <c r="I8" s="106"/>
      <c r="J8" s="106" t="s">
        <v>504</v>
      </c>
      <c r="K8" s="106"/>
      <c r="L8" s="106"/>
    </row>
    <row r="9" spans="1:16">
      <c r="A9" s="46" t="str">
        <f>LOOKUP(B9,{"가루차","발효차","잎차"},{11,22,33})&amp;"-"&amp;SUBSTITUTE(D9,".","")&amp;"-"&amp;ROW()</f>
        <v>33-20230730-9</v>
      </c>
      <c r="B9" s="46" t="s">
        <v>321</v>
      </c>
      <c r="C9" s="46" t="s">
        <v>323</v>
      </c>
      <c r="D9" s="108" t="s">
        <v>487</v>
      </c>
      <c r="E9" s="109">
        <v>10000</v>
      </c>
      <c r="F9" s="88">
        <v>400</v>
      </c>
      <c r="G9" s="46" t="str">
        <f t="shared" si="0"/>
        <v/>
      </c>
      <c r="H9" s="105" t="str" cm="1">
        <f t="array" ref="H9">fn판매(F9)</f>
        <v>▶▶▶▶</v>
      </c>
      <c r="I9" s="106"/>
      <c r="J9" s="112" t="s">
        <v>314</v>
      </c>
      <c r="K9" s="114">
        <v>2023</v>
      </c>
      <c r="L9" s="114">
        <v>2024</v>
      </c>
    </row>
    <row r="10" spans="1:16">
      <c r="A10" s="46" t="str">
        <f>LOOKUP(B10,{"가루차","발효차","잎차"},{11,22,33})&amp;"-"&amp;SUBSTITUTE(D10,".","")&amp;"-"&amp;ROW()</f>
        <v>33-20240830-10</v>
      </c>
      <c r="B10" s="46" t="s">
        <v>321</v>
      </c>
      <c r="C10" s="46" t="s">
        <v>323</v>
      </c>
      <c r="D10" s="108" t="s">
        <v>488</v>
      </c>
      <c r="E10" s="109">
        <v>25000</v>
      </c>
      <c r="F10" s="88">
        <v>530</v>
      </c>
      <c r="G10" s="46" t="str">
        <f t="shared" si="0"/>
        <v/>
      </c>
      <c r="H10" s="105" t="str" cm="1">
        <f t="array" ref="H10">fn판매(F10)</f>
        <v>▶▶▶▶▶</v>
      </c>
      <c r="I10" s="106"/>
      <c r="J10" s="112" t="s">
        <v>340</v>
      </c>
      <c r="K10" s="109" t="str">
        <f>TEXT(SUMIFS($F$3:$F$23,$B$3:$B$23,$J10,$D$3:$D$23,K$9&amp;"*")/SUMIFS($F$3:$F$23,$D$3:$D$23,K$9&amp;"*"),"0.0%")</f>
        <v>27.0%</v>
      </c>
      <c r="L10" s="109" t="str">
        <f>TEXT(SUMIFS($F$3:$F$23,$B$3:$B$23,$J10,$D$3:$D$23,L$9&amp;"*")/SUMIFS($F$3:$F$23,$D$3:$D$23,L$9&amp;"*"),"0.0%")</f>
        <v>27.4%</v>
      </c>
    </row>
    <row r="11" spans="1:16">
      <c r="A11" s="46" t="str">
        <f>LOOKUP(B11,{"가루차","발효차","잎차"},{11,22,33})&amp;"-"&amp;SUBSTITUTE(D11,".","")&amp;"-"&amp;ROW()</f>
        <v>11-20240630-11</v>
      </c>
      <c r="B11" s="46" t="s">
        <v>319</v>
      </c>
      <c r="C11" s="46" t="s">
        <v>338</v>
      </c>
      <c r="D11" s="108" t="s">
        <v>484</v>
      </c>
      <c r="E11" s="109">
        <v>10000</v>
      </c>
      <c r="F11" s="88">
        <v>370</v>
      </c>
      <c r="G11" s="46" t="str">
        <f t="shared" si="0"/>
        <v/>
      </c>
      <c r="H11" s="105" t="str" cm="1">
        <f t="array" ref="H11">fn판매(F11)</f>
        <v>▶▶▶</v>
      </c>
      <c r="I11" s="106"/>
      <c r="J11" s="112" t="s">
        <v>341</v>
      </c>
      <c r="K11" s="109" t="str">
        <f t="shared" ref="K11:L12" si="1">TEXT(SUMIFS($F$3:$F$23,$B$3:$B$23,$J11,$D$3:$D$23,K$9&amp;"*")/SUMIFS($F$3:$F$23,$D$3:$D$23,K$9&amp;"*"),"0.0%")</f>
        <v>61.5%</v>
      </c>
      <c r="L11" s="109" t="str">
        <f t="shared" si="1"/>
        <v>57.1%</v>
      </c>
    </row>
    <row r="12" spans="1:16">
      <c r="A12" s="46" t="str">
        <f>LOOKUP(B12,{"가루차","발효차","잎차"},{11,22,33})&amp;"-"&amp;SUBSTITUTE(D12,".","")&amp;"-"&amp;ROW()</f>
        <v>33-20230530-12</v>
      </c>
      <c r="B12" s="46" t="s">
        <v>321</v>
      </c>
      <c r="C12" s="46" t="s">
        <v>320</v>
      </c>
      <c r="D12" s="108" t="s">
        <v>485</v>
      </c>
      <c r="E12" s="109">
        <v>10000</v>
      </c>
      <c r="F12" s="88">
        <v>400</v>
      </c>
      <c r="G12" s="46" t="str">
        <f t="shared" si="0"/>
        <v/>
      </c>
      <c r="H12" s="105" t="str" cm="1">
        <f t="array" ref="H12">fn판매(F12)</f>
        <v>▶▶▶▶</v>
      </c>
      <c r="I12" s="106"/>
      <c r="J12" s="112" t="s">
        <v>342</v>
      </c>
      <c r="K12" s="109" t="str">
        <f t="shared" si="1"/>
        <v>11.5%</v>
      </c>
      <c r="L12" s="109" t="str">
        <f t="shared" si="1"/>
        <v>15.5%</v>
      </c>
    </row>
    <row r="13" spans="1:16">
      <c r="A13" s="46" t="str">
        <f>LOOKUP(B13,{"가루차","발효차","잎차"},{11,22,33})&amp;"-"&amp;SUBSTITUTE(D13,".","")&amp;"-"&amp;ROW()</f>
        <v>33-20240630-13</v>
      </c>
      <c r="B13" s="46" t="s">
        <v>321</v>
      </c>
      <c r="C13" s="46" t="s">
        <v>320</v>
      </c>
      <c r="D13" s="108" t="s">
        <v>484</v>
      </c>
      <c r="E13" s="109">
        <v>60000</v>
      </c>
      <c r="F13" s="88">
        <v>800</v>
      </c>
      <c r="G13" s="46" t="str">
        <f t="shared" si="0"/>
        <v>★Top1</v>
      </c>
      <c r="H13" s="105" t="str" cm="1">
        <f t="array" ref="H13">fn판매(F13)</f>
        <v>▶▶▶▶▶▶▶▶</v>
      </c>
      <c r="I13" s="106"/>
      <c r="J13" s="106"/>
      <c r="K13" s="111"/>
    </row>
    <row r="14" spans="1:16">
      <c r="A14" s="46" t="str">
        <f>LOOKUP(B14,{"가루차","발효차","잎차"},{11,22,33})&amp;"-"&amp;SUBSTITUTE(D14,".","")&amp;"-"&amp;ROW()</f>
        <v>33-20240725-14</v>
      </c>
      <c r="B14" s="46" t="s">
        <v>321</v>
      </c>
      <c r="C14" s="46" t="s">
        <v>320</v>
      </c>
      <c r="D14" s="108" t="s">
        <v>489</v>
      </c>
      <c r="E14" s="109">
        <v>20000</v>
      </c>
      <c r="F14" s="88">
        <v>660</v>
      </c>
      <c r="G14" s="46" t="str">
        <f t="shared" si="0"/>
        <v>★Top3</v>
      </c>
      <c r="H14" s="105" t="str" cm="1">
        <f t="array" ref="H14">fn판매(F14)</f>
        <v>▶▶▶▶▶▶</v>
      </c>
      <c r="I14" s="106"/>
    </row>
    <row r="15" spans="1:16">
      <c r="A15" s="46" t="str">
        <f>LOOKUP(B15,{"가루차","발효차","잎차"},{11,22,33})&amp;"-"&amp;SUBSTITUTE(D15,".","")&amp;"-"&amp;ROW()</f>
        <v>33-20230825-15</v>
      </c>
      <c r="B15" s="46" t="s">
        <v>321</v>
      </c>
      <c r="C15" s="46" t="s">
        <v>320</v>
      </c>
      <c r="D15" s="108" t="s">
        <v>490</v>
      </c>
      <c r="E15" s="109">
        <v>200000</v>
      </c>
      <c r="F15" s="88">
        <v>750</v>
      </c>
      <c r="G15" s="46" t="str">
        <f t="shared" si="0"/>
        <v>★Top2</v>
      </c>
      <c r="H15" s="105" t="str" cm="1">
        <f t="array" ref="H15">fn판매(F15)</f>
        <v>▶▶▶▶▶▶▶</v>
      </c>
      <c r="I15" s="106"/>
    </row>
    <row r="16" spans="1:16">
      <c r="A16" s="46" t="str">
        <f>LOOKUP(B16,{"가루차","발효차","잎차"},{11,22,33})&amp;"-"&amp;SUBSTITUTE(D16,".","")&amp;"-"&amp;ROW()</f>
        <v>11-20230901-16</v>
      </c>
      <c r="B16" s="46" t="s">
        <v>319</v>
      </c>
      <c r="C16" s="46" t="s">
        <v>322</v>
      </c>
      <c r="D16" s="108" t="s">
        <v>491</v>
      </c>
      <c r="E16" s="109">
        <v>36000</v>
      </c>
      <c r="F16" s="88">
        <v>530</v>
      </c>
      <c r="G16" s="46" t="str">
        <f t="shared" si="0"/>
        <v/>
      </c>
      <c r="H16" s="105" t="str" cm="1">
        <f t="array" ref="H16">fn판매(F16)</f>
        <v>▶▶▶▶▶</v>
      </c>
      <c r="I16" s="106"/>
    </row>
    <row r="17" spans="1:13">
      <c r="A17" s="46" t="str">
        <f>LOOKUP(B17,{"가루차","발효차","잎차"},{11,22,33})&amp;"-"&amp;SUBSTITUTE(D17,".","")&amp;"-"&amp;ROW()</f>
        <v>22-20240902-17</v>
      </c>
      <c r="B17" s="46" t="s">
        <v>324</v>
      </c>
      <c r="C17" s="46" t="s">
        <v>322</v>
      </c>
      <c r="D17" s="108" t="s">
        <v>492</v>
      </c>
      <c r="E17" s="109">
        <v>70000</v>
      </c>
      <c r="F17" s="88">
        <v>600</v>
      </c>
      <c r="G17" s="46" t="str">
        <f t="shared" si="0"/>
        <v/>
      </c>
      <c r="H17" s="105" t="str" cm="1">
        <f t="array" ref="H17">fn판매(F17)</f>
        <v>▶▶▶▶▶▶</v>
      </c>
      <c r="I17" s="106"/>
    </row>
    <row r="18" spans="1:13">
      <c r="A18" s="46" t="str">
        <f>LOOKUP(B18,{"가루차","발효차","잎차"},{11,22,33})&amp;"-"&amp;SUBSTITUTE(D18,".","")&amp;"-"&amp;ROW()</f>
        <v>22-20230930-18</v>
      </c>
      <c r="B18" s="46" t="s">
        <v>324</v>
      </c>
      <c r="C18" s="46" t="s">
        <v>320</v>
      </c>
      <c r="D18" s="108" t="s">
        <v>493</v>
      </c>
      <c r="E18" s="109">
        <v>25000</v>
      </c>
      <c r="F18" s="88">
        <v>320</v>
      </c>
      <c r="G18" s="46" t="str">
        <f t="shared" si="0"/>
        <v/>
      </c>
      <c r="H18" s="105" t="str" cm="1">
        <f t="array" ref="H18">fn판매(F18)</f>
        <v>▶▶▶</v>
      </c>
      <c r="I18" s="106"/>
    </row>
    <row r="19" spans="1:13">
      <c r="A19" s="46" t="str">
        <f>LOOKUP(B19,{"가루차","발효차","잎차"},{11,22,33})&amp;"-"&amp;SUBSTITUTE(D19,".","")&amp;"-"&amp;ROW()</f>
        <v>22-20230625-19</v>
      </c>
      <c r="B19" s="46" t="s">
        <v>324</v>
      </c>
      <c r="C19" s="46" t="s">
        <v>322</v>
      </c>
      <c r="D19" s="108" t="s">
        <v>494</v>
      </c>
      <c r="E19" s="109">
        <v>40000</v>
      </c>
      <c r="F19" s="88">
        <v>50</v>
      </c>
      <c r="G19" s="46" t="str">
        <f t="shared" si="0"/>
        <v>☆Low1</v>
      </c>
      <c r="H19" s="105" t="str" cm="1">
        <f t="array" ref="H19">fn판매(F19)</f>
        <v/>
      </c>
      <c r="I19" s="106"/>
    </row>
    <row r="20" spans="1:13">
      <c r="A20" s="46" t="str">
        <f>LOOKUP(B20,{"가루차","발효차","잎차"},{11,22,33})&amp;"-"&amp;SUBSTITUTE(D20,".","")&amp;"-"&amp;ROW()</f>
        <v>33-20240525-20</v>
      </c>
      <c r="B20" s="46" t="s">
        <v>321</v>
      </c>
      <c r="C20" s="46" t="s">
        <v>320</v>
      </c>
      <c r="D20" s="108" t="s">
        <v>495</v>
      </c>
      <c r="E20" s="109">
        <v>70000</v>
      </c>
      <c r="F20" s="88">
        <v>240</v>
      </c>
      <c r="G20" s="46" t="str">
        <f t="shared" si="0"/>
        <v/>
      </c>
      <c r="H20" s="105" t="str" cm="1">
        <f t="array" ref="H20">fn판매(F20)</f>
        <v>▶▶</v>
      </c>
      <c r="I20" s="106"/>
    </row>
    <row r="21" spans="1:13">
      <c r="A21" s="46" t="str">
        <f>LOOKUP(B21,{"가루차","발효차","잎차"},{11,22,33})&amp;"-"&amp;SUBSTITUTE(D21,".","")&amp;"-"&amp;ROW()</f>
        <v>22-20240621-21</v>
      </c>
      <c r="B21" s="46" t="s">
        <v>496</v>
      </c>
      <c r="C21" s="46" t="s">
        <v>497</v>
      </c>
      <c r="D21" s="108" t="s">
        <v>498</v>
      </c>
      <c r="E21" s="109">
        <v>120000</v>
      </c>
      <c r="F21" s="88">
        <v>210</v>
      </c>
      <c r="G21" s="46" t="str">
        <f t="shared" si="0"/>
        <v/>
      </c>
      <c r="H21" s="105" t="str" cm="1">
        <f t="array" ref="H21">fn판매(F21)</f>
        <v>▶▶</v>
      </c>
      <c r="I21" s="106"/>
      <c r="J21" s="106"/>
      <c r="K21" s="106"/>
      <c r="L21" s="106"/>
      <c r="M21" s="106"/>
    </row>
    <row r="22" spans="1:13">
      <c r="A22" s="46" t="str">
        <f>LOOKUP(B22,{"가루차","발효차","잎차"},{11,22,33})&amp;"-"&amp;SUBSTITUTE(D22,".","")&amp;"-"&amp;ROW()</f>
        <v>33-20240706-22</v>
      </c>
      <c r="B22" s="46" t="s">
        <v>499</v>
      </c>
      <c r="C22" s="46" t="s">
        <v>500</v>
      </c>
      <c r="D22" s="108" t="s">
        <v>501</v>
      </c>
      <c r="E22" s="109">
        <v>100000</v>
      </c>
      <c r="F22" s="88">
        <v>150</v>
      </c>
      <c r="G22" s="46" t="str">
        <f t="shared" si="0"/>
        <v>☆Low3</v>
      </c>
      <c r="H22" s="105" t="str" cm="1">
        <f t="array" ref="H22">fn판매(F22)</f>
        <v/>
      </c>
    </row>
    <row r="23" spans="1:13">
      <c r="A23" s="46" t="str">
        <f>LOOKUP(B23,{"가루차","발효차","잎차"},{11,22,33})&amp;"-"&amp;SUBSTITUTE(D23,".","")&amp;"-"&amp;ROW()</f>
        <v>11-20240105-23</v>
      </c>
      <c r="B23" s="46" t="s">
        <v>502</v>
      </c>
      <c r="C23" s="46" t="s">
        <v>497</v>
      </c>
      <c r="D23" s="108" t="s">
        <v>503</v>
      </c>
      <c r="E23" s="109">
        <v>65000</v>
      </c>
      <c r="F23" s="88">
        <v>310</v>
      </c>
      <c r="G23" s="46" t="str">
        <f t="shared" si="0"/>
        <v/>
      </c>
      <c r="H23" s="105" t="str" cm="1">
        <f t="array" ref="H23">fn판매(F23)</f>
        <v>▶▶▶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413B3-7CEF-47F9-B879-8D61963500EB}">
  <sheetPr codeName="Sheet12"/>
  <dimension ref="A1:N26"/>
  <sheetViews>
    <sheetView topLeftCell="F1" workbookViewId="0"/>
  </sheetViews>
  <sheetFormatPr defaultRowHeight="16.5"/>
  <cols>
    <col min="1" max="1" width="16.125" style="29" customWidth="1"/>
    <col min="2" max="2" width="11" style="29" customWidth="1"/>
    <col min="3" max="3" width="14.625" style="29" customWidth="1"/>
    <col min="4" max="4" width="15.75" style="29" customWidth="1"/>
    <col min="5" max="5" width="11.25" style="66" customWidth="1"/>
    <col min="6" max="6" width="15.5" style="63" customWidth="1"/>
    <col min="7" max="7" width="11.125" style="29" customWidth="1"/>
    <col min="8" max="8" width="16.5" style="29" customWidth="1"/>
    <col min="9" max="9" width="10" style="29" customWidth="1"/>
    <col min="10" max="10" width="2.625" style="29" customWidth="1"/>
    <col min="11" max="11" width="10.75" style="66" bestFit="1" customWidth="1"/>
    <col min="12" max="12" width="13.25" style="66" customWidth="1"/>
    <col min="13" max="13" width="9" style="66"/>
    <col min="14" max="14" width="13.5" style="66" customWidth="1"/>
    <col min="15" max="16384" width="9" style="66"/>
  </cols>
  <sheetData>
    <row r="1" spans="1:14">
      <c r="A1" s="35" t="s">
        <v>28</v>
      </c>
      <c r="K1" s="66" t="s">
        <v>29</v>
      </c>
    </row>
    <row r="2" spans="1:14">
      <c r="A2" s="93" t="s">
        <v>350</v>
      </c>
      <c r="B2" s="44" t="s">
        <v>351</v>
      </c>
      <c r="C2" s="44" t="s">
        <v>352</v>
      </c>
      <c r="D2" s="44" t="s">
        <v>353</v>
      </c>
      <c r="E2" s="44" t="s">
        <v>354</v>
      </c>
      <c r="F2" s="90" t="s">
        <v>355</v>
      </c>
      <c r="G2" s="44" t="s">
        <v>356</v>
      </c>
      <c r="H2" s="93" t="s">
        <v>357</v>
      </c>
      <c r="I2" s="93" t="s">
        <v>358</v>
      </c>
      <c r="K2" s="87"/>
      <c r="L2" s="93">
        <v>2022</v>
      </c>
      <c r="M2" s="93">
        <v>2023</v>
      </c>
      <c r="N2" s="93">
        <v>2024</v>
      </c>
    </row>
    <row r="3" spans="1:14">
      <c r="A3" s="87" t="str">
        <f>LOOKUP(B3,{"개인","법인"},{11,22})&amp;"-"&amp;SUBSTITUTE(F3,".","")&amp;"-"&amp;ROW()</f>
        <v>11-20220615-3</v>
      </c>
      <c r="B3" s="87" t="s">
        <v>359</v>
      </c>
      <c r="C3" s="87" t="s">
        <v>360</v>
      </c>
      <c r="D3" s="87" t="s">
        <v>64</v>
      </c>
      <c r="E3" s="18">
        <v>182100</v>
      </c>
      <c r="F3" s="55" t="s">
        <v>361</v>
      </c>
      <c r="G3" s="87" t="s">
        <v>362</v>
      </c>
      <c r="H3" s="87" t="str" cm="1">
        <f t="array" ref="H3">fn수납방법(F3,G3)</f>
        <v>2022전용계좌</v>
      </c>
      <c r="I3" s="87" t="str">
        <f t="shared" ref="I3:I26" si="0">IF(ISNUMBER(SEARCH("주택", D3)), "주택", "")</f>
        <v/>
      </c>
      <c r="K3" s="93" t="s">
        <v>363</v>
      </c>
      <c r="L3" s="91" t="str">
        <f t="shared" ref="L3:N4" si="1">TEXT(SUMIFS($E$3:$E$26,$B$3:$B$26,$K3,$F$3:$F$26,L$2&amp;"*")/SUMIFS($E$3:$E$26,$F$3:$F$26,L$2&amp;"*"),"0.0%")</f>
        <v>67.0%</v>
      </c>
      <c r="M3" s="91" t="str">
        <f t="shared" si="1"/>
        <v>51.7%</v>
      </c>
      <c r="N3" s="91" t="str">
        <f t="shared" si="1"/>
        <v>69.0%</v>
      </c>
    </row>
    <row r="4" spans="1:14">
      <c r="A4" s="87" t="str">
        <f>LOOKUP(B4,{"개인","법인"},{11,22})&amp;"-"&amp;SUBSTITUTE(F4,".","")&amp;"-"&amp;ROW()</f>
        <v>22-20230720-4</v>
      </c>
      <c r="B4" s="87" t="s">
        <v>364</v>
      </c>
      <c r="C4" s="87" t="s">
        <v>365</v>
      </c>
      <c r="D4" s="87" t="s">
        <v>366</v>
      </c>
      <c r="E4" s="18">
        <v>1189800</v>
      </c>
      <c r="F4" s="55" t="s">
        <v>367</v>
      </c>
      <c r="G4" s="87" t="s">
        <v>368</v>
      </c>
      <c r="H4" s="87" t="str" cm="1">
        <f t="array" ref="H4">fn수납방법(F4,G4)</f>
        <v>2023방문납부</v>
      </c>
      <c r="I4" s="87" t="str">
        <f t="shared" si="0"/>
        <v/>
      </c>
      <c r="K4" s="93" t="s">
        <v>369</v>
      </c>
      <c r="L4" s="91" t="str">
        <f t="shared" si="1"/>
        <v>33.0%</v>
      </c>
      <c r="M4" s="91" t="str">
        <f t="shared" si="1"/>
        <v>48.3%</v>
      </c>
      <c r="N4" s="91" t="str">
        <f t="shared" si="1"/>
        <v>31.0%</v>
      </c>
    </row>
    <row r="5" spans="1:14">
      <c r="A5" s="87" t="str">
        <f>LOOKUP(B5,{"개인","법인"},{11,22})&amp;"-"&amp;SUBSTITUTE(F5,".","")&amp;"-"&amp;ROW()</f>
        <v>11-20230810-5</v>
      </c>
      <c r="B5" s="87" t="s">
        <v>359</v>
      </c>
      <c r="C5" s="87" t="s">
        <v>370</v>
      </c>
      <c r="D5" s="87" t="s">
        <v>371</v>
      </c>
      <c r="E5" s="18">
        <v>281300</v>
      </c>
      <c r="F5" s="55" t="s">
        <v>372</v>
      </c>
      <c r="G5" s="87" t="s">
        <v>373</v>
      </c>
      <c r="H5" s="87" t="str" cm="1">
        <f t="array" ref="H5">fn수납방법(F5,G5)</f>
        <v>2023방문납부</v>
      </c>
      <c r="I5" s="87" t="str">
        <f t="shared" si="0"/>
        <v>주택</v>
      </c>
      <c r="L5" s="92"/>
      <c r="M5" s="92"/>
      <c r="N5" s="92"/>
    </row>
    <row r="6" spans="1:14">
      <c r="A6" s="87" t="str">
        <f>LOOKUP(B6,{"개인","법인"},{11,22})&amp;"-"&amp;SUBSTITUTE(F6,".","")&amp;"-"&amp;ROW()</f>
        <v>22-20240905-6</v>
      </c>
      <c r="B6" s="87" t="s">
        <v>364</v>
      </c>
      <c r="C6" s="87" t="s">
        <v>374</v>
      </c>
      <c r="D6" s="87" t="s">
        <v>366</v>
      </c>
      <c r="E6" s="18">
        <v>2292600</v>
      </c>
      <c r="F6" s="55" t="s">
        <v>375</v>
      </c>
      <c r="G6" s="87" t="s">
        <v>362</v>
      </c>
      <c r="H6" s="87" t="str" cm="1">
        <f t="array" ref="H6">fn수납방법(F6,G6)</f>
        <v>2024전용계좌</v>
      </c>
      <c r="I6" s="87" t="str">
        <f t="shared" si="0"/>
        <v/>
      </c>
    </row>
    <row r="7" spans="1:14">
      <c r="A7" s="87" t="str">
        <f>LOOKUP(B7,{"개인","법인"},{11,22})&amp;"-"&amp;SUBSTITUTE(F7,".","")&amp;"-"&amp;ROW()</f>
        <v>11-20231012-7</v>
      </c>
      <c r="B7" s="87" t="s">
        <v>359</v>
      </c>
      <c r="C7" s="87" t="s">
        <v>376</v>
      </c>
      <c r="D7" s="87" t="s">
        <v>377</v>
      </c>
      <c r="E7" s="18">
        <v>801700</v>
      </c>
      <c r="F7" s="55" t="s">
        <v>378</v>
      </c>
      <c r="G7" s="87" t="s">
        <v>379</v>
      </c>
      <c r="H7" s="87" t="str" cm="1">
        <f t="array" ref="H7">fn수납방법(F7,G7)</f>
        <v>2023모바일앱</v>
      </c>
      <c r="I7" s="87" t="str">
        <f t="shared" si="0"/>
        <v>주택</v>
      </c>
      <c r="K7" s="66" t="s">
        <v>30</v>
      </c>
    </row>
    <row r="8" spans="1:14">
      <c r="A8" s="87" t="str">
        <f>LOOKUP(B8,{"개인","법인"},{11,22})&amp;"-"&amp;SUBSTITUTE(F8,".","")&amp;"-"&amp;ROW()</f>
        <v>11-20221125-8</v>
      </c>
      <c r="B8" s="87" t="s">
        <v>359</v>
      </c>
      <c r="C8" s="87" t="s">
        <v>380</v>
      </c>
      <c r="D8" s="87" t="s">
        <v>381</v>
      </c>
      <c r="E8" s="18">
        <v>605200</v>
      </c>
      <c r="F8" s="55" t="s">
        <v>382</v>
      </c>
      <c r="G8" s="87" t="s">
        <v>373</v>
      </c>
      <c r="H8" s="87" t="str" cm="1">
        <f t="array" ref="H8">fn수납방법(F8,G8)</f>
        <v>2022방문납부</v>
      </c>
      <c r="I8" s="87" t="str">
        <f t="shared" si="0"/>
        <v/>
      </c>
      <c r="K8" s="44" t="s">
        <v>352</v>
      </c>
      <c r="L8" s="93" t="s">
        <v>383</v>
      </c>
    </row>
    <row r="9" spans="1:14">
      <c r="A9" s="87" t="str">
        <f>LOOKUP(B9,{"개인","법인"},{11,22})&amp;"-"&amp;SUBSTITUTE(F9,".","")&amp;"-"&amp;ROW()</f>
        <v>11-20241230-9</v>
      </c>
      <c r="B9" s="87" t="s">
        <v>359</v>
      </c>
      <c r="C9" s="87" t="s">
        <v>384</v>
      </c>
      <c r="D9" s="87" t="s">
        <v>385</v>
      </c>
      <c r="E9" s="18">
        <v>1464500</v>
      </c>
      <c r="F9" s="55" t="s">
        <v>386</v>
      </c>
      <c r="G9" s="87" t="s">
        <v>362</v>
      </c>
      <c r="H9" s="87" t="str" cm="1">
        <f t="array" ref="H9">fn수납방법(F9,G9)</f>
        <v>2024전용계좌</v>
      </c>
      <c r="I9" s="87" t="str">
        <f t="shared" si="0"/>
        <v/>
      </c>
      <c r="K9" s="87" t="s">
        <v>360</v>
      </c>
      <c r="L9" s="54" t="str" cm="1">
        <f t="array" ref="L9">VLOOKUP(LARGE(($C$3:$C$26=$K9)*($E$3:$E$26),1),$E$3:$F$26,2,0)</f>
        <v>2023.01.14</v>
      </c>
    </row>
    <row r="10" spans="1:14">
      <c r="A10" s="87" t="str">
        <f>LOOKUP(B10,{"개인","법인"},{11,22})&amp;"-"&amp;SUBSTITUTE(F10,".","")&amp;"-"&amp;ROW()</f>
        <v>11-20230114-10</v>
      </c>
      <c r="B10" s="87" t="s">
        <v>359</v>
      </c>
      <c r="C10" s="87" t="s">
        <v>387</v>
      </c>
      <c r="D10" s="87" t="s">
        <v>388</v>
      </c>
      <c r="E10" s="18">
        <v>1062800</v>
      </c>
      <c r="F10" s="55" t="s">
        <v>389</v>
      </c>
      <c r="G10" s="87" t="s">
        <v>362</v>
      </c>
      <c r="H10" s="87" t="str" cm="1">
        <f t="array" ref="H10">fn수납방법(F10,G10)</f>
        <v>2023전용계좌</v>
      </c>
      <c r="I10" s="87" t="str">
        <f t="shared" si="0"/>
        <v/>
      </c>
      <c r="K10" s="87" t="s">
        <v>365</v>
      </c>
      <c r="L10" s="54" t="str">
        <f t="array" ref="L10">VLOOKUP(LARGE(($C$3:$C$26=$K10)*($E$3:$E$26),1),$E$3:$F$26,2,0)</f>
        <v>2023.05.20</v>
      </c>
      <c r="M10" s="29"/>
    </row>
    <row r="11" spans="1:14">
      <c r="A11" s="87" t="str">
        <f>LOOKUP(B11,{"개인","법인"},{11,22})&amp;"-"&amp;SUBSTITUTE(F11,".","")&amp;"-"&amp;ROW()</f>
        <v>22-20230222-11</v>
      </c>
      <c r="B11" s="87" t="s">
        <v>364</v>
      </c>
      <c r="C11" s="87" t="s">
        <v>374</v>
      </c>
      <c r="D11" s="87" t="s">
        <v>390</v>
      </c>
      <c r="E11" s="18">
        <v>1259700</v>
      </c>
      <c r="F11" s="55" t="s">
        <v>391</v>
      </c>
      <c r="G11" s="87" t="s">
        <v>379</v>
      </c>
      <c r="H11" s="87" t="str" cm="1">
        <f t="array" ref="H11">fn수납방법(F11,G11)</f>
        <v>2023모바일앱</v>
      </c>
      <c r="I11" s="87" t="str">
        <f t="shared" si="0"/>
        <v/>
      </c>
      <c r="K11" s="87" t="s">
        <v>370</v>
      </c>
      <c r="L11" s="54" t="str">
        <f t="array" ref="L11">VLOOKUP(LARGE(($C$3:$C$26=$K11)*($E$3:$E$26),1),$E$3:$F$26,2,0)</f>
        <v>2023.06.10</v>
      </c>
    </row>
    <row r="12" spans="1:14">
      <c r="A12" s="87" t="str">
        <f>LOOKUP(B12,{"개인","법인"},{11,22})&amp;"-"&amp;SUBSTITUTE(F12,".","")&amp;"-"&amp;ROW()</f>
        <v>11-20240311-12</v>
      </c>
      <c r="B12" s="87" t="s">
        <v>359</v>
      </c>
      <c r="C12" s="87" t="s">
        <v>392</v>
      </c>
      <c r="D12" s="87" t="s">
        <v>393</v>
      </c>
      <c r="E12" s="18">
        <v>1975100</v>
      </c>
      <c r="F12" s="55" t="s">
        <v>394</v>
      </c>
      <c r="G12" s="87" t="s">
        <v>373</v>
      </c>
      <c r="H12" s="87" t="str" cm="1">
        <f t="array" ref="H12">fn수납방법(F12,G12)</f>
        <v>2024방문납부</v>
      </c>
      <c r="I12" s="87" t="str">
        <f t="shared" si="0"/>
        <v/>
      </c>
      <c r="K12" s="87" t="s">
        <v>374</v>
      </c>
      <c r="L12" s="54" t="str">
        <f t="array" ref="L12">VLOOKUP(LARGE(($C$3:$C$26=$K12)*($E$3:$E$26),1),$E$3:$F$26,2,0)</f>
        <v>2022.05.05</v>
      </c>
    </row>
    <row r="13" spans="1:14">
      <c r="A13" s="87" t="str">
        <f>LOOKUP(B13,{"개인","법인"},{11,22})&amp;"-"&amp;SUBSTITUTE(F13,".","")&amp;"-"&amp;ROW()</f>
        <v>11-20220415-13</v>
      </c>
      <c r="B13" s="87" t="s">
        <v>359</v>
      </c>
      <c r="C13" s="87" t="s">
        <v>392</v>
      </c>
      <c r="D13" s="87" t="s">
        <v>395</v>
      </c>
      <c r="E13" s="18">
        <v>3012000</v>
      </c>
      <c r="F13" s="55" t="s">
        <v>396</v>
      </c>
      <c r="G13" s="87" t="s">
        <v>362</v>
      </c>
      <c r="H13" s="87" t="str" cm="1">
        <f t="array" ref="H13">fn수납방법(F13,G13)</f>
        <v>2022전용계좌</v>
      </c>
      <c r="I13" s="87" t="str">
        <f t="shared" si="0"/>
        <v>주택</v>
      </c>
      <c r="K13" s="87" t="s">
        <v>376</v>
      </c>
      <c r="L13" s="54" t="str">
        <f t="array" ref="L13">VLOOKUP(LARGE(($C$3:$C$26=$K13)*($E$3:$E$26),1),$E$3:$F$26,2,0)</f>
        <v>2022.04.15</v>
      </c>
    </row>
    <row r="14" spans="1:14">
      <c r="A14" s="87" t="str">
        <f>LOOKUP(B14,{"개인","법인"},{11,22})&amp;"-"&amp;SUBSTITUTE(F14,".","")&amp;"-"&amp;ROW()</f>
        <v>22-20230520-14</v>
      </c>
      <c r="B14" s="87" t="s">
        <v>364</v>
      </c>
      <c r="C14" s="87" t="s">
        <v>365</v>
      </c>
      <c r="D14" s="87" t="s">
        <v>366</v>
      </c>
      <c r="E14" s="18">
        <v>2024100</v>
      </c>
      <c r="F14" s="55" t="s">
        <v>397</v>
      </c>
      <c r="G14" s="87" t="s">
        <v>379</v>
      </c>
      <c r="H14" s="87" t="str" cm="1">
        <f t="array" ref="H14">fn수납방법(F14,G14)</f>
        <v>2023모바일앱</v>
      </c>
      <c r="I14" s="87" t="str">
        <f t="shared" si="0"/>
        <v/>
      </c>
      <c r="K14" s="87" t="s">
        <v>380</v>
      </c>
      <c r="L14" s="54" t="str">
        <f t="array" ref="L14">VLOOKUP(LARGE(($C$3:$C$26=$K14)*($E$3:$E$26),1),$E$3:$F$26,2,0)</f>
        <v>2022.11.25</v>
      </c>
    </row>
    <row r="15" spans="1:14">
      <c r="A15" s="87" t="str">
        <f>LOOKUP(B15,{"개인","법인"},{11,22})&amp;"-"&amp;SUBSTITUTE(F15,".","")&amp;"-"&amp;ROW()</f>
        <v>11-20230610-15</v>
      </c>
      <c r="B15" s="87" t="s">
        <v>359</v>
      </c>
      <c r="C15" s="87" t="s">
        <v>370</v>
      </c>
      <c r="D15" s="87" t="s">
        <v>370</v>
      </c>
      <c r="E15" s="18">
        <v>2926900</v>
      </c>
      <c r="F15" s="55" t="s">
        <v>398</v>
      </c>
      <c r="G15" s="87" t="s">
        <v>373</v>
      </c>
      <c r="H15" s="87" t="str" cm="1">
        <f t="array" ref="H15">fn수납방법(F15,G15)</f>
        <v>2023방문납부</v>
      </c>
      <c r="I15" s="87" t="str">
        <f t="shared" si="0"/>
        <v/>
      </c>
      <c r="K15" s="87" t="s">
        <v>384</v>
      </c>
      <c r="L15" s="54" t="str">
        <f t="array" ref="L15">VLOOKUP(LARGE(($C$3:$C$26=$K15)*($E$3:$E$26),1),$E$3:$F$26,2,0)</f>
        <v>2024.12.30</v>
      </c>
    </row>
    <row r="16" spans="1:14" s="29" customFormat="1">
      <c r="A16" s="87" t="str">
        <f>LOOKUP(B16,{"개인","법인"},{11,22})&amp;"-"&amp;SUBSTITUTE(F16,".","")&amp;"-"&amp;ROW()</f>
        <v>22-20240705-16</v>
      </c>
      <c r="B16" s="87" t="s">
        <v>364</v>
      </c>
      <c r="C16" s="87" t="s">
        <v>374</v>
      </c>
      <c r="D16" s="87" t="s">
        <v>399</v>
      </c>
      <c r="E16" s="18">
        <v>326500</v>
      </c>
      <c r="F16" s="55" t="s">
        <v>400</v>
      </c>
      <c r="G16" s="87" t="s">
        <v>362</v>
      </c>
      <c r="H16" s="87" t="str" cm="1">
        <f t="array" ref="H16">fn수납방법(F16,G16)</f>
        <v>2024전용계좌</v>
      </c>
      <c r="I16" s="87" t="str">
        <f t="shared" si="0"/>
        <v/>
      </c>
      <c r="K16" s="66"/>
      <c r="L16" s="66"/>
      <c r="M16" s="66"/>
      <c r="N16" s="66"/>
    </row>
    <row r="17" spans="1:14" s="29" customFormat="1">
      <c r="A17" s="87" t="str">
        <f>LOOKUP(B17,{"개인","법인"},{11,22})&amp;"-"&amp;SUBSTITUTE(F17,".","")&amp;"-"&amp;ROW()</f>
        <v>11-20230812-17</v>
      </c>
      <c r="B17" s="87" t="s">
        <v>359</v>
      </c>
      <c r="C17" s="87" t="s">
        <v>376</v>
      </c>
      <c r="D17" s="87" t="s">
        <v>358</v>
      </c>
      <c r="E17" s="18">
        <v>535500</v>
      </c>
      <c r="F17" s="55" t="s">
        <v>401</v>
      </c>
      <c r="G17" s="87" t="s">
        <v>379</v>
      </c>
      <c r="H17" s="87" t="str" cm="1">
        <f t="array" ref="H17">fn수납방법(F17,G17)</f>
        <v>2023모바일앱</v>
      </c>
      <c r="I17" s="87" t="str">
        <f t="shared" si="0"/>
        <v/>
      </c>
      <c r="K17" s="66"/>
      <c r="L17" s="66"/>
      <c r="M17" s="66"/>
      <c r="N17" s="66"/>
    </row>
    <row r="18" spans="1:14" s="29" customFormat="1">
      <c r="A18" s="87" t="str">
        <f>LOOKUP(B18,{"개인","법인"},{11,22})&amp;"-"&amp;SUBSTITUTE(F18,".","")&amp;"-"&amp;ROW()</f>
        <v>22-20231222-18</v>
      </c>
      <c r="B18" s="87" t="s">
        <v>364</v>
      </c>
      <c r="C18" s="87" t="s">
        <v>374</v>
      </c>
      <c r="D18" s="87" t="s">
        <v>390</v>
      </c>
      <c r="E18" s="18">
        <v>672500</v>
      </c>
      <c r="F18" s="55" t="s">
        <v>402</v>
      </c>
      <c r="G18" s="87" t="s">
        <v>379</v>
      </c>
      <c r="H18" s="87" t="str" cm="1">
        <f t="array" ref="H18">fn수납방법(F18,G18)</f>
        <v>2023모바일앱</v>
      </c>
      <c r="I18" s="87" t="str">
        <f t="shared" si="0"/>
        <v/>
      </c>
      <c r="K18" s="66"/>
      <c r="L18" s="66"/>
      <c r="M18" s="66"/>
      <c r="N18" s="66"/>
    </row>
    <row r="19" spans="1:14" s="29" customFormat="1">
      <c r="A19" s="87" t="str">
        <f>LOOKUP(B19,{"개인","법인"},{11,22})&amp;"-"&amp;SUBSTITUTE(F19,".","")&amp;"-"&amp;ROW()</f>
        <v>11-20230111-19</v>
      </c>
      <c r="B19" s="87" t="s">
        <v>359</v>
      </c>
      <c r="C19" s="87" t="s">
        <v>392</v>
      </c>
      <c r="D19" s="87" t="s">
        <v>395</v>
      </c>
      <c r="E19" s="18">
        <v>2490800</v>
      </c>
      <c r="F19" s="55" t="s">
        <v>403</v>
      </c>
      <c r="G19" s="87" t="s">
        <v>373</v>
      </c>
      <c r="H19" s="87" t="str" cm="1">
        <f t="array" ref="H19">fn수납방법(F19,G19)</f>
        <v>2023방문납부</v>
      </c>
      <c r="I19" s="87" t="str">
        <f t="shared" si="0"/>
        <v>주택</v>
      </c>
      <c r="K19" s="66"/>
      <c r="L19" s="66"/>
      <c r="M19" s="66"/>
      <c r="N19" s="66"/>
    </row>
    <row r="20" spans="1:14" s="29" customFormat="1">
      <c r="A20" s="87" t="str">
        <f>LOOKUP(B20,{"개인","법인"},{11,22})&amp;"-"&amp;SUBSTITUTE(F20,".","")&amp;"-"&amp;ROW()</f>
        <v>11-20240215-20</v>
      </c>
      <c r="B20" s="87" t="s">
        <v>359</v>
      </c>
      <c r="C20" s="87" t="s">
        <v>384</v>
      </c>
      <c r="D20" s="87" t="s">
        <v>404</v>
      </c>
      <c r="E20" s="18">
        <v>969000</v>
      </c>
      <c r="F20" s="55" t="s">
        <v>405</v>
      </c>
      <c r="G20" s="87" t="s">
        <v>362</v>
      </c>
      <c r="H20" s="87" t="str" cm="1">
        <f t="array" ref="H20">fn수납방법(F20,G20)</f>
        <v>2024전용계좌</v>
      </c>
      <c r="I20" s="87" t="str">
        <f t="shared" si="0"/>
        <v/>
      </c>
      <c r="K20" s="66"/>
      <c r="L20" s="66"/>
      <c r="M20" s="66"/>
      <c r="N20" s="66"/>
    </row>
    <row r="21" spans="1:14" s="29" customFormat="1">
      <c r="A21" s="87" t="str">
        <f>LOOKUP(B21,{"개인","법인"},{11,22})&amp;"-"&amp;SUBSTITUTE(F21,".","")&amp;"-"&amp;ROW()</f>
        <v>22-20230320-21</v>
      </c>
      <c r="B21" s="87" t="s">
        <v>364</v>
      </c>
      <c r="C21" s="87" t="s">
        <v>365</v>
      </c>
      <c r="D21" s="87" t="s">
        <v>366</v>
      </c>
      <c r="E21" s="18">
        <v>1061800</v>
      </c>
      <c r="F21" s="55" t="s">
        <v>406</v>
      </c>
      <c r="G21" s="87" t="s">
        <v>379</v>
      </c>
      <c r="H21" s="87" t="str" cm="1">
        <f t="array" ref="H21">fn수납방법(F21,G21)</f>
        <v>2023모바일앱</v>
      </c>
      <c r="I21" s="87" t="str">
        <f t="shared" si="0"/>
        <v/>
      </c>
      <c r="K21" s="66"/>
      <c r="L21" s="66"/>
      <c r="M21" s="66"/>
      <c r="N21" s="66"/>
    </row>
    <row r="22" spans="1:14" s="29" customFormat="1">
      <c r="A22" s="87" t="str">
        <f>LOOKUP(B22,{"개인","법인"},{11,22})&amp;"-"&amp;SUBSTITUTE(F22,".","")&amp;"-"&amp;ROW()</f>
        <v>11-20240410-22</v>
      </c>
      <c r="B22" s="87" t="s">
        <v>359</v>
      </c>
      <c r="C22" s="87" t="s">
        <v>370</v>
      </c>
      <c r="D22" s="87" t="s">
        <v>370</v>
      </c>
      <c r="E22" s="18">
        <v>1152800</v>
      </c>
      <c r="F22" s="55" t="s">
        <v>407</v>
      </c>
      <c r="G22" s="87" t="s">
        <v>373</v>
      </c>
      <c r="H22" s="87" t="str" cm="1">
        <f t="array" ref="H22">fn수납방법(F22,G22)</f>
        <v>2024방문납부</v>
      </c>
      <c r="I22" s="87" t="str">
        <f t="shared" si="0"/>
        <v/>
      </c>
      <c r="K22" s="66"/>
      <c r="L22" s="66"/>
      <c r="M22" s="66"/>
      <c r="N22" s="66"/>
    </row>
    <row r="23" spans="1:14" s="29" customFormat="1">
      <c r="A23" s="87" t="str">
        <f>LOOKUP(B23,{"개인","법인"},{11,22})&amp;"-"&amp;SUBSTITUTE(F23,".","")&amp;"-"&amp;ROW()</f>
        <v>22-20220505-23</v>
      </c>
      <c r="B23" s="87" t="s">
        <v>364</v>
      </c>
      <c r="C23" s="87" t="s">
        <v>374</v>
      </c>
      <c r="D23" s="87" t="s">
        <v>390</v>
      </c>
      <c r="E23" s="18">
        <v>2869600</v>
      </c>
      <c r="F23" s="55" t="s">
        <v>408</v>
      </c>
      <c r="G23" s="87" t="s">
        <v>362</v>
      </c>
      <c r="H23" s="87" t="str" cm="1">
        <f t="array" ref="H23">fn수납방법(F23,G23)</f>
        <v>2022전용계좌</v>
      </c>
      <c r="I23" s="87" t="str">
        <f t="shared" si="0"/>
        <v/>
      </c>
      <c r="K23" s="66"/>
      <c r="L23" s="66"/>
      <c r="M23" s="66"/>
      <c r="N23" s="66"/>
    </row>
    <row r="24" spans="1:14" s="29" customFormat="1">
      <c r="A24" s="87" t="str">
        <f>LOOKUP(B24,{"개인","법인"},{11,22})&amp;"-"&amp;SUBSTITUTE(F24,".","")&amp;"-"&amp;ROW()</f>
        <v>11-20240914-24</v>
      </c>
      <c r="B24" s="87" t="s">
        <v>359</v>
      </c>
      <c r="C24" s="87" t="s">
        <v>387</v>
      </c>
      <c r="D24" s="87" t="s">
        <v>410</v>
      </c>
      <c r="E24" s="18">
        <v>268300</v>
      </c>
      <c r="F24" s="55" t="s">
        <v>411</v>
      </c>
      <c r="G24" s="87" t="s">
        <v>362</v>
      </c>
      <c r="H24" s="87" t="str" cm="1">
        <f t="array" ref="H24">fn수납방법(F24,G24)</f>
        <v>2024전용계좌</v>
      </c>
      <c r="I24" s="87" t="str">
        <f t="shared" si="0"/>
        <v/>
      </c>
      <c r="K24" s="66"/>
      <c r="L24" s="66"/>
      <c r="M24" s="66"/>
      <c r="N24" s="66"/>
    </row>
    <row r="25" spans="1:14" s="29" customFormat="1">
      <c r="A25" s="87" t="str">
        <f>LOOKUP(B25,{"개인","법인"},{11,22})&amp;"-"&amp;SUBSTITUTE(F25,".","")&amp;"-"&amp;ROW()</f>
        <v>22-20231022-25</v>
      </c>
      <c r="B25" s="87" t="s">
        <v>364</v>
      </c>
      <c r="C25" s="87" t="s">
        <v>392</v>
      </c>
      <c r="D25" s="87" t="s">
        <v>395</v>
      </c>
      <c r="E25" s="18">
        <v>1366300</v>
      </c>
      <c r="F25" s="55" t="s">
        <v>412</v>
      </c>
      <c r="G25" s="87" t="s">
        <v>379</v>
      </c>
      <c r="H25" s="87" t="str" cm="1">
        <f t="array" ref="H25">fn수납방법(F25,G25)</f>
        <v>2023모바일앱</v>
      </c>
      <c r="I25" s="87" t="str">
        <f t="shared" si="0"/>
        <v>주택</v>
      </c>
      <c r="K25" s="66"/>
      <c r="L25" s="66"/>
      <c r="M25" s="66"/>
      <c r="N25" s="66"/>
    </row>
    <row r="26" spans="1:14" s="29" customFormat="1">
      <c r="A26" s="87" t="str">
        <f>LOOKUP(B26,{"개인","법인"},{11,22})&amp;"-"&amp;SUBSTITUTE(F26,".","")&amp;"-"&amp;ROW()</f>
        <v>11-20221111-26</v>
      </c>
      <c r="B26" s="87" t="s">
        <v>359</v>
      </c>
      <c r="C26" s="87" t="s">
        <v>392</v>
      </c>
      <c r="D26" s="87" t="s">
        <v>377</v>
      </c>
      <c r="E26" s="18">
        <v>2020100</v>
      </c>
      <c r="F26" s="55" t="s">
        <v>413</v>
      </c>
      <c r="G26" s="87" t="s">
        <v>373</v>
      </c>
      <c r="H26" s="87" t="str" cm="1">
        <f t="array" ref="H26">fn수납방법(F26,G26)</f>
        <v>2022방문납부</v>
      </c>
      <c r="I26" s="87" t="str">
        <f t="shared" si="0"/>
        <v>주택</v>
      </c>
      <c r="K26" s="66"/>
      <c r="L26" s="66"/>
      <c r="M26" s="66"/>
      <c r="N26" s="66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5"/>
  <sheetViews>
    <sheetView workbookViewId="0"/>
  </sheetViews>
  <sheetFormatPr defaultRowHeight="16.5"/>
  <cols>
    <col min="3" max="3" width="10.375" bestFit="1" customWidth="1"/>
    <col min="4" max="4" width="11" customWidth="1"/>
    <col min="5" max="5" width="12.375" customWidth="1"/>
    <col min="6" max="6" width="10.5" customWidth="1"/>
    <col min="7" max="7" width="2.625" customWidth="1"/>
  </cols>
  <sheetData>
    <row r="1" spans="1:11">
      <c r="A1" t="s">
        <v>43</v>
      </c>
      <c r="H1" s="1" t="s">
        <v>53</v>
      </c>
      <c r="I1" s="1"/>
      <c r="J1" s="1"/>
      <c r="K1" s="1"/>
    </row>
    <row r="2" spans="1:11" ht="17.25" thickBot="1">
      <c r="A2" s="14" t="s">
        <v>33</v>
      </c>
      <c r="B2" s="14" t="s">
        <v>34</v>
      </c>
      <c r="C2" s="14" t="s">
        <v>44</v>
      </c>
      <c r="D2" s="21" t="s">
        <v>45</v>
      </c>
      <c r="E2" s="23" t="s">
        <v>48</v>
      </c>
      <c r="F2" s="23" t="s">
        <v>52</v>
      </c>
      <c r="H2" s="2" t="s">
        <v>3</v>
      </c>
      <c r="I2" s="2" t="s">
        <v>4</v>
      </c>
      <c r="J2" s="2" t="s">
        <v>5</v>
      </c>
      <c r="K2" s="2" t="s">
        <v>2</v>
      </c>
    </row>
    <row r="3" spans="1:11">
      <c r="A3" s="14" t="s">
        <v>38</v>
      </c>
      <c r="B3" s="17">
        <v>101</v>
      </c>
      <c r="C3" s="17">
        <v>21</v>
      </c>
      <c r="D3" s="17">
        <v>31</v>
      </c>
      <c r="E3" s="14" t="str">
        <f>TRUNC((C3-D3)/10)&amp;"("&amp;IFERROR(REPT("▶",(C3-D3)/10),REPT("◁",ABS(C3-D3)/10))&amp;")"</f>
        <v>-1(◁)</v>
      </c>
      <c r="F3" s="18" cm="1">
        <f t="array" ref="F3">fn수도요금(C3)</f>
        <v>22890</v>
      </c>
      <c r="H3" s="3">
        <v>4007</v>
      </c>
      <c r="I3" s="3" t="s">
        <v>6</v>
      </c>
      <c r="J3" s="3" t="s">
        <v>0</v>
      </c>
      <c r="K3" s="4">
        <v>7.3287037037037039E-2</v>
      </c>
    </row>
    <row r="4" spans="1:11">
      <c r="A4" s="14" t="s">
        <v>37</v>
      </c>
      <c r="B4" s="17">
        <v>101</v>
      </c>
      <c r="C4" s="17">
        <v>20</v>
      </c>
      <c r="D4" s="17">
        <v>41</v>
      </c>
      <c r="E4" s="82" t="str">
        <f t="shared" ref="E4:E16" si="0">TRUNC((C4-D4)/10)&amp;"("&amp;IFERROR(REPT("▶",(C4-D4)/10),REPT("◁",ABS(C4-D4)/10))&amp;")"</f>
        <v>-2(◁◁)</v>
      </c>
      <c r="F4" s="18" cm="1">
        <f t="array" ref="F4">fn수도요금(C4)</f>
        <v>14800</v>
      </c>
      <c r="H4" s="5">
        <v>4023</v>
      </c>
      <c r="I4" s="5" t="s">
        <v>7</v>
      </c>
      <c r="J4" s="5" t="s">
        <v>0</v>
      </c>
      <c r="K4" s="6">
        <v>6.6288541666666659E-2</v>
      </c>
    </row>
    <row r="5" spans="1:11">
      <c r="A5" s="14" t="s">
        <v>36</v>
      </c>
      <c r="B5" s="17">
        <v>203</v>
      </c>
      <c r="C5" s="17">
        <v>35</v>
      </c>
      <c r="D5" s="17">
        <v>25</v>
      </c>
      <c r="E5" s="82" t="str">
        <f t="shared" si="0"/>
        <v>1(▶)</v>
      </c>
      <c r="F5" s="18" cm="1">
        <f t="array" ref="F5">fn수도요금(C5)</f>
        <v>73150</v>
      </c>
      <c r="H5" s="5">
        <v>4024</v>
      </c>
      <c r="I5" s="5" t="s">
        <v>8</v>
      </c>
      <c r="J5" s="5" t="s">
        <v>0</v>
      </c>
      <c r="K5" s="6">
        <v>5.9583333333333328E-2</v>
      </c>
    </row>
    <row r="6" spans="1:11">
      <c r="A6" s="14" t="s">
        <v>38</v>
      </c>
      <c r="B6" s="17">
        <v>201</v>
      </c>
      <c r="C6" s="17">
        <v>15</v>
      </c>
      <c r="D6" s="17">
        <v>26</v>
      </c>
      <c r="E6" s="82" t="str">
        <f t="shared" si="0"/>
        <v>-1(◁)</v>
      </c>
      <c r="F6" s="18" cm="1">
        <f t="array" ref="F6">fn수도요금(C6)</f>
        <v>11100</v>
      </c>
      <c r="H6" s="5">
        <v>4155</v>
      </c>
      <c r="I6" s="5" t="s">
        <v>9</v>
      </c>
      <c r="J6" s="5" t="s">
        <v>1</v>
      </c>
      <c r="K6" s="7">
        <v>7.9733796296296303E-2</v>
      </c>
    </row>
    <row r="7" spans="1:11">
      <c r="A7" s="14" t="s">
        <v>36</v>
      </c>
      <c r="B7" s="17">
        <v>303</v>
      </c>
      <c r="C7" s="17">
        <v>22</v>
      </c>
      <c r="D7" s="17">
        <v>30</v>
      </c>
      <c r="E7" s="82" t="str">
        <f t="shared" si="0"/>
        <v>0()</v>
      </c>
      <c r="F7" s="18" cm="1">
        <f t="array" ref="F7">fn수도요금(C7)</f>
        <v>23980</v>
      </c>
      <c r="H7" s="5">
        <v>4160</v>
      </c>
      <c r="I7" s="5" t="s">
        <v>10</v>
      </c>
      <c r="J7" s="5" t="s">
        <v>0</v>
      </c>
      <c r="K7" s="6">
        <v>7.1757638888888892E-2</v>
      </c>
    </row>
    <row r="8" spans="1:11">
      <c r="A8" s="14" t="s">
        <v>35</v>
      </c>
      <c r="B8" s="17">
        <v>303</v>
      </c>
      <c r="C8" s="17">
        <v>39</v>
      </c>
      <c r="D8" s="17">
        <v>19</v>
      </c>
      <c r="E8" s="82" t="str">
        <f t="shared" si="0"/>
        <v>2(▶▶)</v>
      </c>
      <c r="F8" s="18" cm="1">
        <f t="array" ref="F8">fn수도요금(C8)</f>
        <v>81510</v>
      </c>
      <c r="H8" s="5">
        <v>4304</v>
      </c>
      <c r="I8" s="5" t="s">
        <v>11</v>
      </c>
      <c r="J8" s="5" t="s">
        <v>1</v>
      </c>
      <c r="K8" s="6">
        <v>0.14156250000000001</v>
      </c>
    </row>
    <row r="9" spans="1:11">
      <c r="A9" s="14" t="s">
        <v>39</v>
      </c>
      <c r="B9" s="17">
        <v>202</v>
      </c>
      <c r="C9" s="17">
        <v>42</v>
      </c>
      <c r="D9" s="17">
        <v>31</v>
      </c>
      <c r="E9" s="82" t="str">
        <f t="shared" si="0"/>
        <v>1(▶)</v>
      </c>
      <c r="F9" s="18" cm="1">
        <f t="array" ref="F9">fn수도요금(C9)</f>
        <v>87780</v>
      </c>
      <c r="H9" s="5">
        <v>4304</v>
      </c>
      <c r="I9" s="5" t="s">
        <v>12</v>
      </c>
      <c r="J9" s="5" t="s">
        <v>0</v>
      </c>
      <c r="K9" s="6">
        <v>7.2868749999999996E-2</v>
      </c>
    </row>
    <row r="10" spans="1:11">
      <c r="A10" s="14" t="s">
        <v>40</v>
      </c>
      <c r="B10" s="17">
        <v>401</v>
      </c>
      <c r="C10" s="17">
        <v>17</v>
      </c>
      <c r="D10" s="17">
        <v>38</v>
      </c>
      <c r="E10" s="82" t="str">
        <f t="shared" si="0"/>
        <v>-2(◁◁)</v>
      </c>
      <c r="F10" s="18" cm="1">
        <f t="array" ref="F10">fn수도요금(C10)</f>
        <v>12580</v>
      </c>
      <c r="H10" s="5">
        <v>4305</v>
      </c>
      <c r="I10" s="5" t="s">
        <v>13</v>
      </c>
      <c r="J10" s="5" t="s">
        <v>1</v>
      </c>
      <c r="K10" s="7">
        <v>0.10085648148148148</v>
      </c>
    </row>
    <row r="11" spans="1:11">
      <c r="A11" s="14" t="s">
        <v>36</v>
      </c>
      <c r="B11" s="17">
        <v>402</v>
      </c>
      <c r="C11" s="17">
        <v>15</v>
      </c>
      <c r="D11" s="17">
        <v>25</v>
      </c>
      <c r="E11" s="82" t="str">
        <f t="shared" si="0"/>
        <v>-1(◁)</v>
      </c>
      <c r="F11" s="18" cm="1">
        <f t="array" ref="F11">fn수도요금(C11)</f>
        <v>11100</v>
      </c>
      <c r="H11" s="5">
        <v>4306</v>
      </c>
      <c r="I11" s="5" t="s">
        <v>14</v>
      </c>
      <c r="J11" s="5" t="s">
        <v>0</v>
      </c>
      <c r="K11" s="7">
        <v>6.7743055555555556E-2</v>
      </c>
    </row>
    <row r="12" spans="1:11">
      <c r="A12" s="14" t="s">
        <v>35</v>
      </c>
      <c r="B12" s="17">
        <v>502</v>
      </c>
      <c r="C12" s="17">
        <v>20</v>
      </c>
      <c r="D12" s="17">
        <v>22</v>
      </c>
      <c r="E12" s="82" t="str">
        <f t="shared" si="0"/>
        <v>0()</v>
      </c>
      <c r="F12" s="18" cm="1">
        <f t="array" ref="F12">fn수도요금(C12)</f>
        <v>14800</v>
      </c>
      <c r="H12" s="5">
        <v>4313</v>
      </c>
      <c r="I12" s="5" t="s">
        <v>15</v>
      </c>
      <c r="J12" s="5" t="s">
        <v>0</v>
      </c>
      <c r="K12" s="7">
        <v>6.8750000000000006E-2</v>
      </c>
    </row>
    <row r="13" spans="1:11">
      <c r="A13" s="14" t="s">
        <v>41</v>
      </c>
      <c r="B13" s="17">
        <v>303</v>
      </c>
      <c r="C13" s="17">
        <v>20</v>
      </c>
      <c r="D13" s="17">
        <v>29</v>
      </c>
      <c r="E13" s="82" t="str">
        <f t="shared" si="0"/>
        <v>0()</v>
      </c>
      <c r="F13" s="18" cm="1">
        <f t="array" ref="F13">fn수도요금(C13)</f>
        <v>14800</v>
      </c>
      <c r="H13" s="5">
        <v>4320</v>
      </c>
      <c r="I13" s="5" t="s">
        <v>16</v>
      </c>
      <c r="J13" s="5" t="s">
        <v>0</v>
      </c>
      <c r="K13" s="7">
        <v>5.6701388888888891E-2</v>
      </c>
    </row>
    <row r="14" spans="1:11">
      <c r="A14" s="14" t="s">
        <v>42</v>
      </c>
      <c r="B14" s="17">
        <v>501</v>
      </c>
      <c r="C14" s="17">
        <v>29</v>
      </c>
      <c r="D14" s="17">
        <v>19</v>
      </c>
      <c r="E14" s="82" t="str">
        <f t="shared" si="0"/>
        <v>1(▶)</v>
      </c>
      <c r="F14" s="18" cm="1">
        <f t="array" ref="F14">fn수도요금(C14)</f>
        <v>31610</v>
      </c>
      <c r="H14" s="5">
        <v>4842</v>
      </c>
      <c r="I14" s="5" t="s">
        <v>17</v>
      </c>
      <c r="J14" s="5" t="s">
        <v>0</v>
      </c>
      <c r="K14" s="7">
        <v>7.9911689814814821E-2</v>
      </c>
    </row>
    <row r="15" spans="1:11">
      <c r="A15" s="14" t="s">
        <v>35</v>
      </c>
      <c r="B15" s="17">
        <v>601</v>
      </c>
      <c r="C15" s="17">
        <v>31</v>
      </c>
      <c r="D15" s="17">
        <v>35</v>
      </c>
      <c r="E15" s="82" t="str">
        <f t="shared" si="0"/>
        <v>0()</v>
      </c>
      <c r="F15" s="18" cm="1">
        <f t="array" ref="F15">fn수도요금(C15)</f>
        <v>64790</v>
      </c>
      <c r="H15" s="5">
        <v>4843</v>
      </c>
      <c r="I15" s="5" t="s">
        <v>18</v>
      </c>
      <c r="J15" s="5" t="s">
        <v>0</v>
      </c>
      <c r="K15" s="7">
        <v>7.3104745370370372E-2</v>
      </c>
    </row>
    <row r="16" spans="1:11">
      <c r="A16" s="14" t="s">
        <v>39</v>
      </c>
      <c r="B16" s="17">
        <v>402</v>
      </c>
      <c r="C16" s="17">
        <v>18</v>
      </c>
      <c r="D16" s="17">
        <v>28</v>
      </c>
      <c r="E16" s="82" t="str">
        <f t="shared" si="0"/>
        <v>-1(◁)</v>
      </c>
      <c r="F16" s="18" cm="1">
        <f t="array" ref="F16">fn수도요금(C16)</f>
        <v>13320</v>
      </c>
      <c r="H16" s="5">
        <v>4844</v>
      </c>
      <c r="I16" s="5" t="s">
        <v>19</v>
      </c>
      <c r="J16" s="5" t="s">
        <v>1</v>
      </c>
      <c r="K16" s="7">
        <v>0.11503472222222222</v>
      </c>
    </row>
    <row r="18" spans="1:10">
      <c r="A18" s="24" t="s">
        <v>49</v>
      </c>
      <c r="H18" t="s">
        <v>54</v>
      </c>
    </row>
    <row r="19" spans="1:10">
      <c r="A19" s="116" t="s">
        <v>46</v>
      </c>
      <c r="B19" s="116"/>
      <c r="C19" s="23" t="s">
        <v>47</v>
      </c>
      <c r="H19" s="23" t="s">
        <v>55</v>
      </c>
      <c r="I19" s="119" t="str">
        <f>HOUR(SMALL($K$3:$K$16,3))&amp;"시간 "&amp;MINUTE(SMALL($K$3:$K$16,3))&amp;"분 "&amp;SECOND(SMALL($K$3:$K$16,3))&amp;"초"</f>
        <v>1시간 35분 27초</v>
      </c>
      <c r="J19" s="119"/>
    </row>
    <row r="20" spans="1:10">
      <c r="A20" s="22">
        <v>0</v>
      </c>
      <c r="B20" s="17">
        <v>20</v>
      </c>
      <c r="C20" s="14" t="str">
        <f t="array" ref="C20">COUNT(IF(($C$3:$C$16&gt;=A20)*($C$3:$C$16&lt;=B20),1))&amp;"세대"</f>
        <v>7세대</v>
      </c>
    </row>
    <row r="21" spans="1:10">
      <c r="A21" s="22">
        <v>21</v>
      </c>
      <c r="B21" s="17">
        <v>30</v>
      </c>
      <c r="C21" s="14" t="str">
        <f t="array" ref="C21">COUNT(IF(($C$3:$C$16&gt;=A21)*($C$3:$C$16&lt;=B21),1))&amp;"세대"</f>
        <v>3세대</v>
      </c>
    </row>
    <row r="22" spans="1:10">
      <c r="A22" s="22">
        <v>31</v>
      </c>
      <c r="B22" s="17">
        <v>100</v>
      </c>
      <c r="C22" s="14" t="str">
        <f t="array" ref="C22">COUNT(IF(($C$3:$C$16&gt;=A22)*($C$3:$C$16&lt;=B22),1))&amp;"세대"</f>
        <v>4세대</v>
      </c>
    </row>
    <row r="24" spans="1:10">
      <c r="A24" t="s">
        <v>50</v>
      </c>
    </row>
    <row r="25" spans="1:10">
      <c r="A25" s="117" t="s">
        <v>51</v>
      </c>
      <c r="B25" s="118"/>
      <c r="C25" s="17">
        <f t="array" ref="C25">AVERAGE(LARGE(C3:C16,{1,2,3}))</f>
        <v>38.666666666666664</v>
      </c>
    </row>
  </sheetData>
  <mergeCells count="3">
    <mergeCell ref="A19:B19"/>
    <mergeCell ref="A25:B25"/>
    <mergeCell ref="I19:J19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I31"/>
  <sheetViews>
    <sheetView topLeftCell="A10" workbookViewId="0"/>
  </sheetViews>
  <sheetFormatPr defaultRowHeight="16.5"/>
  <cols>
    <col min="1" max="1" width="11.125" bestFit="1" customWidth="1"/>
    <col min="2" max="3" width="13.125" bestFit="1" customWidth="1"/>
    <col min="4" max="4" width="11.875" customWidth="1"/>
    <col min="5" max="5" width="13.625" customWidth="1"/>
    <col min="6" max="6" width="11.25" style="29" customWidth="1"/>
    <col min="7" max="7" width="11.375" style="29" customWidth="1"/>
    <col min="8" max="8" width="12.375" customWidth="1"/>
    <col min="9" max="9" width="12.875" customWidth="1"/>
    <col min="10" max="10" width="13.75" customWidth="1"/>
  </cols>
  <sheetData>
    <row r="1" spans="1:9">
      <c r="A1" t="s">
        <v>56</v>
      </c>
    </row>
    <row r="2" spans="1:9">
      <c r="A2" s="19" t="s">
        <v>63</v>
      </c>
      <c r="B2" s="19" t="s">
        <v>58</v>
      </c>
      <c r="C2" s="19" t="s">
        <v>62</v>
      </c>
      <c r="D2" s="19" t="s">
        <v>60</v>
      </c>
      <c r="E2" s="19" t="s">
        <v>99</v>
      </c>
      <c r="F2" s="19" t="s">
        <v>84</v>
      </c>
      <c r="G2" s="28" t="s">
        <v>57</v>
      </c>
      <c r="H2" s="28" t="s">
        <v>61</v>
      </c>
      <c r="I2" s="28" t="s">
        <v>59</v>
      </c>
    </row>
    <row r="3" spans="1:9">
      <c r="A3" s="17" t="s">
        <v>64</v>
      </c>
      <c r="B3" s="17" t="s">
        <v>66</v>
      </c>
      <c r="C3" s="18">
        <v>15700000</v>
      </c>
      <c r="D3" s="17">
        <v>1</v>
      </c>
      <c r="E3" s="19" t="s">
        <v>101</v>
      </c>
      <c r="F3" s="19" t="s">
        <v>85</v>
      </c>
      <c r="G3" s="31">
        <f>ROUNDDOWN(PMT(IF(E3="이벤트",2.5%,4%)/12,36,-C3),-1)</f>
        <v>453120</v>
      </c>
      <c r="H3" s="30" t="str">
        <f>TEXT(C3*VLOOKUP(D3,$A$22:$E$25,MATCH(E3,$C$21:$E$21,0)+2),"#,##0원")</f>
        <v>471,000원</v>
      </c>
      <c r="I3" s="18" cm="1">
        <f t="array" ref="I3">fn탁송료(C3,F3)</f>
        <v>150000</v>
      </c>
    </row>
    <row r="4" spans="1:9">
      <c r="A4" s="17" t="s">
        <v>65</v>
      </c>
      <c r="B4" s="17" t="s">
        <v>72</v>
      </c>
      <c r="C4" s="18">
        <v>16890000</v>
      </c>
      <c r="D4" s="17">
        <v>2</v>
      </c>
      <c r="E4" s="19" t="s">
        <v>101</v>
      </c>
      <c r="F4" s="19" t="s">
        <v>86</v>
      </c>
      <c r="G4" s="31">
        <f t="shared" ref="G4:G18" si="0">ROUNDDOWN(PMT(IF(E4="이벤트",2.5%,4%)/12,36,-C4),-1)</f>
        <v>487460</v>
      </c>
      <c r="H4" s="30" t="str">
        <f t="shared" ref="H4:H18" si="1">TEXT(C4*VLOOKUP(D4,$A$22:$E$25,MATCH(E4,$C$21:$E$21,0)+2),"#,##0원")</f>
        <v>506,700원</v>
      </c>
      <c r="I4" s="18">
        <f t="shared" ref="I4:I18" si="2">fn탁송료(C4,F4)</f>
        <v>150000</v>
      </c>
    </row>
    <row r="5" spans="1:9">
      <c r="A5" s="17" t="s">
        <v>65</v>
      </c>
      <c r="B5" s="17" t="s">
        <v>77</v>
      </c>
      <c r="C5" s="18">
        <v>23650000</v>
      </c>
      <c r="D5" s="17">
        <v>4</v>
      </c>
      <c r="E5" s="19" t="s">
        <v>100</v>
      </c>
      <c r="F5" s="19" t="s">
        <v>87</v>
      </c>
      <c r="G5" s="31">
        <f t="shared" si="0"/>
        <v>698240</v>
      </c>
      <c r="H5" s="30" t="str">
        <f t="shared" si="1"/>
        <v>3,547,500원</v>
      </c>
      <c r="I5" s="18">
        <f t="shared" si="2"/>
        <v>200000</v>
      </c>
    </row>
    <row r="6" spans="1:9">
      <c r="A6" s="17" t="s">
        <v>82</v>
      </c>
      <c r="B6" s="17" t="s">
        <v>80</v>
      </c>
      <c r="C6" s="18">
        <v>67650000</v>
      </c>
      <c r="D6" s="17">
        <v>1</v>
      </c>
      <c r="E6" s="19" t="s">
        <v>102</v>
      </c>
      <c r="F6" s="19" t="s">
        <v>88</v>
      </c>
      <c r="G6" s="31">
        <f t="shared" si="0"/>
        <v>1997290</v>
      </c>
      <c r="H6" s="30" t="str">
        <f t="shared" si="1"/>
        <v>13,530,000원</v>
      </c>
      <c r="I6" s="18">
        <f t="shared" si="2"/>
        <v>250000</v>
      </c>
    </row>
    <row r="7" spans="1:9">
      <c r="A7" s="17" t="s">
        <v>64</v>
      </c>
      <c r="B7" s="17" t="s">
        <v>67</v>
      </c>
      <c r="C7" s="18">
        <v>25470000</v>
      </c>
      <c r="D7" s="17">
        <v>0</v>
      </c>
      <c r="E7" s="19" t="s">
        <v>101</v>
      </c>
      <c r="F7" s="19" t="s">
        <v>89</v>
      </c>
      <c r="G7" s="31">
        <f t="shared" si="0"/>
        <v>735090</v>
      </c>
      <c r="H7" s="30" t="str">
        <f t="shared" si="1"/>
        <v>764,100원</v>
      </c>
      <c r="I7" s="18">
        <f t="shared" si="2"/>
        <v>200000</v>
      </c>
    </row>
    <row r="8" spans="1:9">
      <c r="A8" s="17" t="s">
        <v>64</v>
      </c>
      <c r="B8" s="17" t="s">
        <v>69</v>
      </c>
      <c r="C8" s="18">
        <v>21990000</v>
      </c>
      <c r="D8" s="17">
        <v>2</v>
      </c>
      <c r="E8" s="19" t="s">
        <v>100</v>
      </c>
      <c r="F8" s="19" t="s">
        <v>90</v>
      </c>
      <c r="G8" s="31">
        <f t="shared" si="0"/>
        <v>649230</v>
      </c>
      <c r="H8" s="30" t="str">
        <f t="shared" si="1"/>
        <v>2,199,000원</v>
      </c>
      <c r="I8" s="18">
        <f t="shared" si="2"/>
        <v>200000</v>
      </c>
    </row>
    <row r="9" spans="1:9">
      <c r="A9" s="17" t="s">
        <v>65</v>
      </c>
      <c r="B9" s="17" t="s">
        <v>73</v>
      </c>
      <c r="C9" s="18">
        <v>19620000</v>
      </c>
      <c r="D9" s="17">
        <v>7</v>
      </c>
      <c r="E9" s="19" t="s">
        <v>101</v>
      </c>
      <c r="F9" s="19" t="s">
        <v>91</v>
      </c>
      <c r="G9" s="31">
        <f t="shared" si="0"/>
        <v>566260</v>
      </c>
      <c r="H9" s="30" t="str">
        <f t="shared" si="1"/>
        <v>1,177,200원</v>
      </c>
      <c r="I9" s="18">
        <f t="shared" si="2"/>
        <v>150000</v>
      </c>
    </row>
    <row r="10" spans="1:9">
      <c r="A10" s="17" t="s">
        <v>65</v>
      </c>
      <c r="B10" s="17" t="s">
        <v>78</v>
      </c>
      <c r="C10" s="18">
        <v>29750000</v>
      </c>
      <c r="D10" s="17">
        <v>4</v>
      </c>
      <c r="E10" s="19" t="s">
        <v>101</v>
      </c>
      <c r="F10" s="19" t="s">
        <v>92</v>
      </c>
      <c r="G10" s="31">
        <f t="shared" si="0"/>
        <v>858620</v>
      </c>
      <c r="H10" s="30" t="str">
        <f t="shared" si="1"/>
        <v>1,190,000원</v>
      </c>
      <c r="I10" s="18">
        <f t="shared" si="2"/>
        <v>200000</v>
      </c>
    </row>
    <row r="11" spans="1:9">
      <c r="A11" s="17" t="s">
        <v>64</v>
      </c>
      <c r="B11" s="17" t="s">
        <v>68</v>
      </c>
      <c r="C11" s="18">
        <v>33030000</v>
      </c>
      <c r="D11" s="17">
        <v>5</v>
      </c>
      <c r="E11" s="19" t="s">
        <v>100</v>
      </c>
      <c r="F11" s="19" t="s">
        <v>107</v>
      </c>
      <c r="G11" s="31">
        <f t="shared" si="0"/>
        <v>975170</v>
      </c>
      <c r="H11" s="30" t="str">
        <f t="shared" si="1"/>
        <v>6,606,000원</v>
      </c>
      <c r="I11" s="18">
        <f t="shared" si="2"/>
        <v>250000</v>
      </c>
    </row>
    <row r="12" spans="1:9">
      <c r="A12" s="17" t="s">
        <v>65</v>
      </c>
      <c r="B12" s="17" t="s">
        <v>79</v>
      </c>
      <c r="C12" s="18">
        <v>34140000</v>
      </c>
      <c r="D12" s="17">
        <v>2</v>
      </c>
      <c r="E12" s="19" t="s">
        <v>100</v>
      </c>
      <c r="F12" s="19" t="s">
        <v>94</v>
      </c>
      <c r="G12" s="31">
        <f t="shared" si="0"/>
        <v>1007940</v>
      </c>
      <c r="H12" s="30" t="str">
        <f t="shared" si="1"/>
        <v>3,414,000원</v>
      </c>
      <c r="I12" s="18">
        <f t="shared" si="2"/>
        <v>250000</v>
      </c>
    </row>
    <row r="13" spans="1:9">
      <c r="A13" s="17" t="s">
        <v>64</v>
      </c>
      <c r="B13" s="17" t="s">
        <v>70</v>
      </c>
      <c r="C13" s="18">
        <v>28810000</v>
      </c>
      <c r="D13" s="17">
        <v>3</v>
      </c>
      <c r="E13" s="19" t="s">
        <v>100</v>
      </c>
      <c r="F13" s="19" t="s">
        <v>95</v>
      </c>
      <c r="G13" s="31">
        <f t="shared" si="0"/>
        <v>850580</v>
      </c>
      <c r="H13" s="30" t="str">
        <f t="shared" si="1"/>
        <v>4,321,500원</v>
      </c>
      <c r="I13" s="18">
        <f t="shared" si="2"/>
        <v>200000</v>
      </c>
    </row>
    <row r="14" spans="1:9">
      <c r="A14" s="17" t="s">
        <v>65</v>
      </c>
      <c r="B14" s="17" t="s">
        <v>74</v>
      </c>
      <c r="C14" s="18">
        <v>24350000</v>
      </c>
      <c r="D14" s="17">
        <v>6</v>
      </c>
      <c r="E14" s="19" t="s">
        <v>101</v>
      </c>
      <c r="F14" s="19" t="s">
        <v>96</v>
      </c>
      <c r="G14" s="31">
        <f t="shared" si="0"/>
        <v>702770</v>
      </c>
      <c r="H14" s="30" t="str">
        <f t="shared" si="1"/>
        <v>1,217,500원</v>
      </c>
      <c r="I14" s="18">
        <f t="shared" si="2"/>
        <v>200000</v>
      </c>
    </row>
    <row r="15" spans="1:9">
      <c r="A15" s="17" t="s">
        <v>82</v>
      </c>
      <c r="B15" s="17" t="s">
        <v>81</v>
      </c>
      <c r="C15" s="18">
        <v>46950000</v>
      </c>
      <c r="D15" s="17">
        <v>2</v>
      </c>
      <c r="E15" s="19" t="s">
        <v>102</v>
      </c>
      <c r="F15" s="19" t="s">
        <v>97</v>
      </c>
      <c r="G15" s="31">
        <f t="shared" si="0"/>
        <v>1386150</v>
      </c>
      <c r="H15" s="30" t="str">
        <f t="shared" si="1"/>
        <v>9,390,000원</v>
      </c>
      <c r="I15" s="18">
        <f t="shared" si="2"/>
        <v>250000</v>
      </c>
    </row>
    <row r="16" spans="1:9">
      <c r="A16" s="17" t="s">
        <v>65</v>
      </c>
      <c r="B16" s="17" t="s">
        <v>76</v>
      </c>
      <c r="C16" s="18">
        <v>36060000</v>
      </c>
      <c r="D16" s="17">
        <v>1</v>
      </c>
      <c r="E16" s="19" t="s">
        <v>100</v>
      </c>
      <c r="F16" s="19" t="s">
        <v>98</v>
      </c>
      <c r="G16" s="31">
        <f t="shared" si="0"/>
        <v>1064630</v>
      </c>
      <c r="H16" s="30" t="str">
        <f t="shared" si="1"/>
        <v>3,606,000원</v>
      </c>
      <c r="I16" s="18">
        <f t="shared" si="2"/>
        <v>250000</v>
      </c>
    </row>
    <row r="17" spans="1:9">
      <c r="A17" s="17" t="s">
        <v>64</v>
      </c>
      <c r="B17" s="17" t="s">
        <v>71</v>
      </c>
      <c r="C17" s="18">
        <v>36790000</v>
      </c>
      <c r="D17" s="17">
        <v>1</v>
      </c>
      <c r="E17" s="19" t="s">
        <v>100</v>
      </c>
      <c r="F17" s="19" t="s">
        <v>93</v>
      </c>
      <c r="G17" s="31">
        <f t="shared" si="0"/>
        <v>1086180</v>
      </c>
      <c r="H17" s="30" t="str">
        <f t="shared" si="1"/>
        <v>3,679,000원</v>
      </c>
      <c r="I17" s="18">
        <f t="shared" si="2"/>
        <v>200000</v>
      </c>
    </row>
    <row r="18" spans="1:9">
      <c r="A18" s="17" t="s">
        <v>65</v>
      </c>
      <c r="B18" s="17" t="s">
        <v>75</v>
      </c>
      <c r="C18" s="18">
        <v>28570000</v>
      </c>
      <c r="D18" s="17">
        <v>0</v>
      </c>
      <c r="E18" s="19" t="s">
        <v>100</v>
      </c>
      <c r="F18" s="19" t="s">
        <v>106</v>
      </c>
      <c r="G18" s="31">
        <f t="shared" si="0"/>
        <v>843500</v>
      </c>
      <c r="H18" s="30" t="str">
        <f t="shared" si="1"/>
        <v>2,857,000원</v>
      </c>
      <c r="I18" s="18">
        <f t="shared" si="2"/>
        <v>150000</v>
      </c>
    </row>
    <row r="20" spans="1:9">
      <c r="A20" t="s">
        <v>108</v>
      </c>
      <c r="G20" t="s">
        <v>109</v>
      </c>
    </row>
    <row r="21" spans="1:9">
      <c r="A21" s="119" t="s">
        <v>83</v>
      </c>
      <c r="B21" s="119"/>
      <c r="C21" s="19" t="s">
        <v>103</v>
      </c>
      <c r="D21" s="19" t="s">
        <v>104</v>
      </c>
      <c r="E21" s="19" t="s">
        <v>105</v>
      </c>
      <c r="G21" s="19" t="s">
        <v>63</v>
      </c>
      <c r="H21" s="28" t="s">
        <v>110</v>
      </c>
    </row>
    <row r="22" spans="1:9">
      <c r="A22" s="17">
        <v>0</v>
      </c>
      <c r="B22" s="17">
        <v>2</v>
      </c>
      <c r="C22" s="20">
        <v>0.03</v>
      </c>
      <c r="D22" s="20">
        <v>0.1</v>
      </c>
      <c r="E22" s="20">
        <v>0.2</v>
      </c>
      <c r="G22" s="17" t="s">
        <v>64</v>
      </c>
      <c r="H22" s="32">
        <f>COUNTIF($A$3:$A$18,G22)/COUNTA($A$3:$A$18)</f>
        <v>0.375</v>
      </c>
    </row>
    <row r="23" spans="1:9">
      <c r="A23" s="17">
        <v>3</v>
      </c>
      <c r="B23" s="17">
        <v>4</v>
      </c>
      <c r="C23" s="20">
        <v>0.04</v>
      </c>
      <c r="D23" s="20">
        <v>0.15</v>
      </c>
      <c r="E23" s="20">
        <v>0.23</v>
      </c>
      <c r="G23" s="17" t="s">
        <v>65</v>
      </c>
      <c r="H23" s="32">
        <f t="shared" ref="H23:H24" si="3">COUNTIF($A$3:$A$18,G23)/COUNTA($A$3:$A$18)</f>
        <v>0.5</v>
      </c>
    </row>
    <row r="24" spans="1:9">
      <c r="A24" s="17">
        <v>5</v>
      </c>
      <c r="B24" s="17">
        <v>6</v>
      </c>
      <c r="C24" s="20">
        <v>0.05</v>
      </c>
      <c r="D24" s="20">
        <v>0.2</v>
      </c>
      <c r="E24" s="20">
        <v>0.25</v>
      </c>
      <c r="G24" s="17" t="s">
        <v>82</v>
      </c>
      <c r="H24" s="32">
        <f t="shared" si="3"/>
        <v>0.125</v>
      </c>
    </row>
    <row r="25" spans="1:9">
      <c r="A25" s="17">
        <v>7</v>
      </c>
      <c r="B25" s="17"/>
      <c r="C25" s="20">
        <v>0.06</v>
      </c>
      <c r="D25" s="20">
        <v>0.25</v>
      </c>
      <c r="E25" s="20">
        <v>0.3</v>
      </c>
    </row>
    <row r="27" spans="1:9">
      <c r="A27" t="s">
        <v>111</v>
      </c>
    </row>
    <row r="28" spans="1:9">
      <c r="A28" s="19" t="s">
        <v>63</v>
      </c>
      <c r="B28" s="28" t="s">
        <v>103</v>
      </c>
      <c r="C28" s="28" t="s">
        <v>104</v>
      </c>
      <c r="D28" s="28" t="s">
        <v>105</v>
      </c>
    </row>
    <row r="29" spans="1:9">
      <c r="A29" s="27" t="s">
        <v>64</v>
      </c>
      <c r="B29" s="18">
        <f t="array" ref="B29">IFERROR(AVERAGE(IF(($A$3:$A$18=$A29)*($E$3:$E$18=B$28),$C$3:$C$18)),0)</f>
        <v>20585000</v>
      </c>
      <c r="C29" s="18">
        <f t="array" ref="C29">IFERROR(AVERAGE(IF(($A$3:$A$18=$A29)*($E$3:$E$18=C$28),$C$3:$C$18)),0)</f>
        <v>30155000</v>
      </c>
      <c r="D29" s="18">
        <f t="array" ref="D29">IFERROR(AVERAGE(IF(($A$3:$A$18=$A29)*($E$3:$E$18=D$28),$C$3:$C$18)),0)</f>
        <v>0</v>
      </c>
    </row>
    <row r="30" spans="1:9">
      <c r="A30" s="27" t="s">
        <v>65</v>
      </c>
      <c r="B30" s="18">
        <f t="array" ref="B30">IFERROR(AVERAGE(IF(($A$3:$A$18=$A30)*($E$3:$E$18=B$28),$C$3:$C$18)),0)</f>
        <v>22652500</v>
      </c>
      <c r="C30" s="18">
        <f t="array" ref="C30">IFERROR(AVERAGE(IF(($A$3:$A$18=$A30)*($E$3:$E$18=C$28),$C$3:$C$18)),0)</f>
        <v>30605000</v>
      </c>
      <c r="D30" s="18">
        <f t="array" ref="D30">IFERROR(AVERAGE(IF(($A$3:$A$18=$A30)*($E$3:$E$18=D$28),$C$3:$C$18)),0)</f>
        <v>0</v>
      </c>
    </row>
    <row r="31" spans="1:9">
      <c r="A31" s="27" t="s">
        <v>82</v>
      </c>
      <c r="B31" s="18">
        <f t="array" ref="B31">IFERROR(AVERAGE(IF(($A$3:$A$18=$A31)*($E$3:$E$18=B$28),$C$3:$C$18)),0)</f>
        <v>0</v>
      </c>
      <c r="C31" s="18">
        <f t="array" ref="C31">IFERROR(AVERAGE(IF(($A$3:$A$18=$A31)*($E$3:$E$18=C$28),$C$3:$C$18)),0)</f>
        <v>0</v>
      </c>
      <c r="D31" s="18">
        <f t="array" ref="D31">IFERROR(AVERAGE(IF(($A$3:$A$18=$A31)*($E$3:$E$18=D$28),$C$3:$C$18)),0)</f>
        <v>57300000</v>
      </c>
    </row>
  </sheetData>
  <mergeCells count="1">
    <mergeCell ref="A21:B21"/>
  </mergeCells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S26"/>
  <sheetViews>
    <sheetView workbookViewId="0"/>
  </sheetViews>
  <sheetFormatPr defaultRowHeight="16.5"/>
  <cols>
    <col min="3" max="3" width="11.625" customWidth="1"/>
    <col min="4" max="4" width="10.375" customWidth="1"/>
    <col min="7" max="7" width="10.125" bestFit="1" customWidth="1"/>
    <col min="8" max="8" width="1.625" customWidth="1"/>
    <col min="10" max="15" width="9.875" customWidth="1"/>
    <col min="16" max="19" width="10.125" customWidth="1"/>
  </cols>
  <sheetData>
    <row r="1" spans="1:19">
      <c r="A1" s="33" t="s">
        <v>112</v>
      </c>
      <c r="B1" s="29"/>
      <c r="C1" s="33"/>
      <c r="D1" s="33"/>
      <c r="E1" s="33"/>
      <c r="F1" s="33"/>
      <c r="G1" s="33"/>
      <c r="H1" s="33"/>
      <c r="P1" s="33"/>
      <c r="Q1" s="33"/>
      <c r="R1" s="33"/>
      <c r="S1" s="33"/>
    </row>
    <row r="2" spans="1:19">
      <c r="A2" s="26" t="s">
        <v>113</v>
      </c>
      <c r="B2" s="26" t="s">
        <v>114</v>
      </c>
      <c r="C2" s="34" t="s">
        <v>115</v>
      </c>
      <c r="D2" s="34" t="s">
        <v>116</v>
      </c>
      <c r="E2" s="26" t="s">
        <v>117</v>
      </c>
      <c r="F2" s="26" t="s">
        <v>118</v>
      </c>
      <c r="G2" s="34" t="s">
        <v>119</v>
      </c>
      <c r="H2" s="29"/>
      <c r="I2" s="35" t="s">
        <v>120</v>
      </c>
      <c r="J2" s="29"/>
      <c r="K2" s="29"/>
      <c r="L2" s="33"/>
      <c r="M2" s="33" t="s">
        <v>141</v>
      </c>
      <c r="N2" s="33"/>
      <c r="O2" s="33"/>
      <c r="P2" s="33"/>
      <c r="Q2" s="33"/>
      <c r="R2" s="33"/>
      <c r="S2" s="33"/>
    </row>
    <row r="3" spans="1:19">
      <c r="A3" s="26" t="s">
        <v>121</v>
      </c>
      <c r="B3" s="36">
        <v>54</v>
      </c>
      <c r="C3" s="26" t="str">
        <f>_xlfn.CONCAT(_xlfn.SWITCH(LEFT(A3,1),"A","표준형","P","선택형"),"-",_xlfn.SWITCH(RIGHT(A3,1),"M","남자","W","여자"))</f>
        <v>표준형-여자</v>
      </c>
      <c r="D3" s="25" cm="1">
        <f t="array" ref="D3">INDEX($J$14:$O$17,_xlfn.XMATCH(A3,$I$14:$I$17,0),_xlfn.XMATCH(B3,$J$12:$O$12,-1))</f>
        <v>31500</v>
      </c>
      <c r="E3" s="30">
        <v>13</v>
      </c>
      <c r="F3" s="30">
        <v>0</v>
      </c>
      <c r="G3" s="26" t="str" cm="1">
        <f t="array" ref="G3">fn가입상태(E3,F3)</f>
        <v>정상</v>
      </c>
      <c r="H3" s="29"/>
      <c r="I3" s="44" t="s">
        <v>113</v>
      </c>
      <c r="J3" s="44" t="s">
        <v>122</v>
      </c>
      <c r="K3" s="44" t="s">
        <v>123</v>
      </c>
      <c r="L3" s="33"/>
      <c r="M3" s="124" t="s">
        <v>134</v>
      </c>
      <c r="N3" s="125"/>
      <c r="O3" s="34" t="s">
        <v>135</v>
      </c>
      <c r="P3" s="33"/>
      <c r="Q3" s="33"/>
      <c r="R3" s="33"/>
      <c r="S3" s="33"/>
    </row>
    <row r="4" spans="1:19">
      <c r="A4" s="26" t="s">
        <v>124</v>
      </c>
      <c r="B4" s="36">
        <v>24</v>
      </c>
      <c r="C4" s="85" t="str">
        <f t="shared" ref="C4:C26" si="0">_xlfn.CONCAT(_xlfn.SWITCH(LEFT(A4,1),"A","표준형","P","선택형"),"-",_xlfn.SWITCH(RIGHT(A4,1),"M","남자","W","여자"))</f>
        <v>선택형-남자</v>
      </c>
      <c r="D4" s="54" cm="1">
        <f t="array" ref="D4">INDEX($J$14:$O$17,_xlfn.XMATCH(A4,$I$14:$I$17,0),_xlfn.XMATCH(B4,$J$12:$O$12,-1))</f>
        <v>11200</v>
      </c>
      <c r="E4" s="30">
        <v>23</v>
      </c>
      <c r="F4" s="30">
        <v>1</v>
      </c>
      <c r="G4" s="83" t="str" cm="1">
        <f t="array" ref="G4">fn가입상태(E4,F4)</f>
        <v>1개월 미납</v>
      </c>
      <c r="H4" s="29"/>
      <c r="I4" s="85" t="s">
        <v>125</v>
      </c>
      <c r="J4" s="85" t="s">
        <v>126</v>
      </c>
      <c r="K4" s="85" t="s">
        <v>127</v>
      </c>
      <c r="L4" s="33"/>
      <c r="M4" s="41">
        <v>10</v>
      </c>
      <c r="N4" s="42">
        <v>19</v>
      </c>
      <c r="O4" s="26" t="str">
        <f t="array" ref="O4:O9">TEXT(FREQUENCY(B3:B26,N4:N9),"[&gt;0]00명;미가입")</f>
        <v>04명</v>
      </c>
      <c r="P4" s="33"/>
      <c r="Q4" s="33"/>
      <c r="R4" s="33"/>
      <c r="S4" s="33"/>
    </row>
    <row r="5" spans="1:19">
      <c r="A5" s="26" t="s">
        <v>144</v>
      </c>
      <c r="B5" s="36">
        <v>59</v>
      </c>
      <c r="C5" s="85" t="str">
        <f t="shared" si="0"/>
        <v>표준형-남자</v>
      </c>
      <c r="D5" s="54" cm="1">
        <f t="array" ref="D5">INDEX($J$14:$O$17,_xlfn.XMATCH(A5,$I$14:$I$17,0),_xlfn.XMATCH(B5,$J$12:$O$12,-1))</f>
        <v>25000</v>
      </c>
      <c r="E5" s="30">
        <v>39</v>
      </c>
      <c r="F5" s="30">
        <v>0</v>
      </c>
      <c r="G5" s="83" t="str" cm="1">
        <f t="array" ref="G5">fn가입상태(E5,F5)</f>
        <v>정상</v>
      </c>
      <c r="H5" s="29"/>
      <c r="I5" s="85" t="s">
        <v>121</v>
      </c>
      <c r="J5" s="85" t="s">
        <v>126</v>
      </c>
      <c r="K5" s="85" t="s">
        <v>129</v>
      </c>
      <c r="L5" s="33"/>
      <c r="M5" s="41">
        <v>20</v>
      </c>
      <c r="N5" s="42">
        <v>29</v>
      </c>
      <c r="O5" s="26" t="str">
        <v>04명</v>
      </c>
      <c r="P5" s="33"/>
      <c r="Q5" s="33"/>
      <c r="R5" s="33"/>
      <c r="S5" s="33"/>
    </row>
    <row r="6" spans="1:19">
      <c r="A6" s="26" t="s">
        <v>130</v>
      </c>
      <c r="B6" s="36">
        <v>18</v>
      </c>
      <c r="C6" s="85" t="str">
        <f t="shared" si="0"/>
        <v>선택형-여자</v>
      </c>
      <c r="D6" s="54" cm="1">
        <f t="array" ref="D6">INDEX($J$14:$O$17,_xlfn.XMATCH(A6,$I$14:$I$17,0),_xlfn.XMATCH(B6,$J$12:$O$12,-1))</f>
        <v>11200</v>
      </c>
      <c r="E6" s="30">
        <v>23</v>
      </c>
      <c r="F6" s="30">
        <v>0</v>
      </c>
      <c r="G6" s="83" t="str" cm="1">
        <f t="array" ref="G6">fn가입상태(E6,F6)</f>
        <v>정상</v>
      </c>
      <c r="H6" s="29"/>
      <c r="I6" s="85" t="s">
        <v>124</v>
      </c>
      <c r="J6" s="85" t="s">
        <v>131</v>
      </c>
      <c r="K6" s="85" t="s">
        <v>127</v>
      </c>
      <c r="L6" s="33"/>
      <c r="M6" s="41">
        <v>30</v>
      </c>
      <c r="N6" s="42">
        <v>39</v>
      </c>
      <c r="O6" s="26" t="str">
        <v>05명</v>
      </c>
      <c r="P6" s="33"/>
      <c r="Q6" s="33"/>
      <c r="R6" s="33"/>
      <c r="S6" s="33"/>
    </row>
    <row r="7" spans="1:19">
      <c r="A7" s="26" t="s">
        <v>125</v>
      </c>
      <c r="B7" s="36">
        <v>26</v>
      </c>
      <c r="C7" s="85" t="str">
        <f t="shared" si="0"/>
        <v>표준형-남자</v>
      </c>
      <c r="D7" s="54" cm="1">
        <f t="array" ref="D7">INDEX($J$14:$O$17,_xlfn.XMATCH(A7,$I$14:$I$17,0),_xlfn.XMATCH(B7,$J$12:$O$12,-1))</f>
        <v>10840</v>
      </c>
      <c r="E7" s="30">
        <v>15</v>
      </c>
      <c r="F7" s="30">
        <v>0</v>
      </c>
      <c r="G7" s="83" t="str" cm="1">
        <f t="array" ref="G7">fn가입상태(E7,F7)</f>
        <v>정상</v>
      </c>
      <c r="H7" s="29"/>
      <c r="I7" s="85" t="s">
        <v>130</v>
      </c>
      <c r="J7" s="85" t="s">
        <v>131</v>
      </c>
      <c r="K7" s="85" t="s">
        <v>129</v>
      </c>
      <c r="L7" s="33"/>
      <c r="M7" s="41">
        <v>40</v>
      </c>
      <c r="N7" s="42">
        <v>49</v>
      </c>
      <c r="O7" s="26" t="str">
        <v>05명</v>
      </c>
      <c r="P7" s="33"/>
      <c r="Q7" s="33"/>
      <c r="R7" s="33"/>
      <c r="S7" s="33"/>
    </row>
    <row r="8" spans="1:19">
      <c r="A8" s="26" t="s">
        <v>133</v>
      </c>
      <c r="B8" s="36">
        <v>42</v>
      </c>
      <c r="C8" s="85" t="str">
        <f t="shared" si="0"/>
        <v>선택형-남자</v>
      </c>
      <c r="D8" s="54" cm="1">
        <f t="array" ref="D8">INDEX($J$14:$O$17,_xlfn.XMATCH(A8,$I$14:$I$17,0),_xlfn.XMATCH(B8,$J$12:$O$12,-1))</f>
        <v>21400</v>
      </c>
      <c r="E8" s="30">
        <v>24</v>
      </c>
      <c r="F8" s="30">
        <v>2</v>
      </c>
      <c r="G8" s="83" t="str" cm="1">
        <f t="array" ref="G8">fn가입상태(E8,F8)</f>
        <v>2개월 미납</v>
      </c>
      <c r="H8" s="33"/>
      <c r="L8" s="33"/>
      <c r="M8" s="41">
        <v>50</v>
      </c>
      <c r="N8" s="42">
        <v>59</v>
      </c>
      <c r="O8" s="26" t="str">
        <v>06명</v>
      </c>
      <c r="P8" s="33"/>
      <c r="Q8" s="33"/>
      <c r="R8" s="33"/>
      <c r="S8" s="33"/>
    </row>
    <row r="9" spans="1:19">
      <c r="A9" s="26" t="s">
        <v>130</v>
      </c>
      <c r="B9" s="36">
        <v>55</v>
      </c>
      <c r="C9" s="85" t="str">
        <f t="shared" si="0"/>
        <v>선택형-여자</v>
      </c>
      <c r="D9" s="54" cm="1">
        <f t="array" ref="D9">INDEX($J$14:$O$17,_xlfn.XMATCH(A9,$I$14:$I$17,0),_xlfn.XMATCH(B9,$J$12:$O$12,-1))</f>
        <v>32400</v>
      </c>
      <c r="E9" s="30">
        <v>9</v>
      </c>
      <c r="F9" s="30">
        <v>0</v>
      </c>
      <c r="G9" s="83" t="str" cm="1">
        <f t="array" ref="G9">fn가입상태(E9,F9)</f>
        <v>정상</v>
      </c>
      <c r="H9" s="33"/>
      <c r="I9" s="33"/>
      <c r="J9" s="33"/>
      <c r="K9" s="33"/>
      <c r="L9" s="33"/>
      <c r="M9" s="41">
        <v>60</v>
      </c>
      <c r="N9" s="42">
        <v>69</v>
      </c>
      <c r="O9" s="26" t="str">
        <v>미가입</v>
      </c>
      <c r="P9" s="33"/>
      <c r="Q9" s="33"/>
      <c r="R9" s="33"/>
      <c r="S9" s="33"/>
    </row>
    <row r="10" spans="1:19">
      <c r="A10" s="26" t="s">
        <v>128</v>
      </c>
      <c r="B10" s="36">
        <v>56</v>
      </c>
      <c r="C10" s="85" t="str">
        <f t="shared" si="0"/>
        <v>표준형-여자</v>
      </c>
      <c r="D10" s="54" cm="1">
        <f t="array" ref="D10">INDEX($J$14:$O$17,_xlfn.XMATCH(A10,$I$14:$I$17,0),_xlfn.XMATCH(B10,$J$12:$O$12,-1))</f>
        <v>31500</v>
      </c>
      <c r="E10" s="30">
        <v>19</v>
      </c>
      <c r="F10" s="30">
        <v>0</v>
      </c>
      <c r="G10" s="83" t="str" cm="1">
        <f t="array" ref="G10">fn가입상태(E10,F10)</f>
        <v>정상</v>
      </c>
      <c r="H10" s="33"/>
      <c r="P10" s="33"/>
      <c r="Q10" s="33"/>
      <c r="R10" s="33"/>
      <c r="S10" s="33"/>
    </row>
    <row r="11" spans="1:19">
      <c r="A11" s="26" t="s">
        <v>125</v>
      </c>
      <c r="B11" s="36">
        <v>17</v>
      </c>
      <c r="C11" s="85" t="str">
        <f t="shared" si="0"/>
        <v>표준형-남자</v>
      </c>
      <c r="D11" s="54" cm="1">
        <f t="array" ref="D11">INDEX($J$14:$O$17,_xlfn.XMATCH(A11,$I$14:$I$17,0),_xlfn.XMATCH(B11,$J$12:$O$12,-1))</f>
        <v>9800</v>
      </c>
      <c r="E11" s="30">
        <v>17</v>
      </c>
      <c r="F11" s="30">
        <v>0</v>
      </c>
      <c r="G11" s="83" t="str" cm="1">
        <f t="array" ref="G11">fn가입상태(E11,F11)</f>
        <v>정상</v>
      </c>
      <c r="H11" s="33"/>
      <c r="I11" s="35" t="s">
        <v>142</v>
      </c>
      <c r="J11" s="33"/>
      <c r="K11" s="33"/>
      <c r="L11" s="33"/>
      <c r="M11" s="33"/>
      <c r="N11" s="33"/>
      <c r="O11" s="33"/>
      <c r="P11" s="33"/>
      <c r="Q11" s="33"/>
      <c r="R11" s="33"/>
      <c r="S11" s="33"/>
    </row>
    <row r="12" spans="1:19">
      <c r="A12" s="26" t="s">
        <v>121</v>
      </c>
      <c r="B12" s="36">
        <v>24</v>
      </c>
      <c r="C12" s="85" t="str">
        <f t="shared" si="0"/>
        <v>표준형-여자</v>
      </c>
      <c r="D12" s="54" cm="1">
        <f t="array" ref="D12">INDEX($J$14:$O$17,_xlfn.XMATCH(A12,$I$14:$I$17,0),_xlfn.XMATCH(B12,$J$12:$O$12,-1))</f>
        <v>12600</v>
      </c>
      <c r="E12" s="30">
        <v>21</v>
      </c>
      <c r="F12" s="30">
        <v>1</v>
      </c>
      <c r="G12" s="83" t="str" cm="1">
        <f t="array" ref="G12">fn가입상태(E12,F12)</f>
        <v>1개월 미납</v>
      </c>
      <c r="H12" s="33"/>
      <c r="I12" s="120"/>
      <c r="J12" s="37">
        <v>10</v>
      </c>
      <c r="K12" s="37">
        <v>20</v>
      </c>
      <c r="L12" s="37">
        <v>30</v>
      </c>
      <c r="M12" s="37">
        <v>40</v>
      </c>
      <c r="N12" s="37">
        <v>50</v>
      </c>
      <c r="O12" s="37">
        <v>60</v>
      </c>
      <c r="P12" s="33"/>
      <c r="Q12" s="33"/>
      <c r="R12" s="33"/>
      <c r="S12" s="33"/>
    </row>
    <row r="13" spans="1:19">
      <c r="A13" s="26" t="s">
        <v>121</v>
      </c>
      <c r="B13" s="36">
        <v>43</v>
      </c>
      <c r="C13" s="85" t="str">
        <f t="shared" si="0"/>
        <v>표준형-여자</v>
      </c>
      <c r="D13" s="54" cm="1">
        <f t="array" ref="D13">INDEX($J$14:$O$17,_xlfn.XMATCH(A13,$I$14:$I$17,0),_xlfn.XMATCH(B13,$J$12:$O$12,-1))</f>
        <v>29000</v>
      </c>
      <c r="E13" s="30">
        <v>64</v>
      </c>
      <c r="F13" s="30">
        <v>0</v>
      </c>
      <c r="G13" s="83" t="str" cm="1">
        <f t="array" ref="G13">fn가입상태(E13,F13)</f>
        <v>정상</v>
      </c>
      <c r="H13" s="33"/>
      <c r="I13" s="121"/>
      <c r="J13" s="38">
        <v>20</v>
      </c>
      <c r="K13" s="38">
        <v>30</v>
      </c>
      <c r="L13" s="38">
        <v>40</v>
      </c>
      <c r="M13" s="38">
        <v>50</v>
      </c>
      <c r="N13" s="38">
        <v>60</v>
      </c>
      <c r="O13" s="38">
        <v>70</v>
      </c>
      <c r="P13" s="33"/>
      <c r="Q13" s="33"/>
      <c r="R13" s="33"/>
      <c r="S13" s="33"/>
    </row>
    <row r="14" spans="1:19">
      <c r="A14" s="26" t="s">
        <v>125</v>
      </c>
      <c r="B14" s="36">
        <v>39</v>
      </c>
      <c r="C14" s="85" t="str">
        <f t="shared" si="0"/>
        <v>표준형-남자</v>
      </c>
      <c r="D14" s="54" cm="1">
        <f t="array" ref="D14">INDEX($J$14:$O$17,_xlfn.XMATCH(A14,$I$14:$I$17,0),_xlfn.XMATCH(B14,$J$12:$O$12,-1))</f>
        <v>13900</v>
      </c>
      <c r="E14" s="30">
        <v>32</v>
      </c>
      <c r="F14" s="30">
        <v>0</v>
      </c>
      <c r="G14" s="83" t="str" cm="1">
        <f t="array" ref="G14">fn가입상태(E14,F14)</f>
        <v>정상</v>
      </c>
      <c r="H14" s="33"/>
      <c r="I14" s="26" t="s">
        <v>125</v>
      </c>
      <c r="J14" s="39">
        <v>9800</v>
      </c>
      <c r="K14" s="39">
        <v>10840</v>
      </c>
      <c r="L14" s="39">
        <v>13900</v>
      </c>
      <c r="M14" s="39">
        <v>20700</v>
      </c>
      <c r="N14" s="39">
        <v>25000</v>
      </c>
      <c r="O14" s="39">
        <v>28100</v>
      </c>
      <c r="P14" s="33"/>
      <c r="Q14" s="33"/>
      <c r="R14" s="33"/>
      <c r="S14" s="33"/>
    </row>
    <row r="15" spans="1:19">
      <c r="A15" s="26" t="s">
        <v>124</v>
      </c>
      <c r="B15" s="36">
        <v>44</v>
      </c>
      <c r="C15" s="85" t="str">
        <f t="shared" si="0"/>
        <v>선택형-남자</v>
      </c>
      <c r="D15" s="54" cm="1">
        <f t="array" ref="D15">INDEX($J$14:$O$17,_xlfn.XMATCH(A15,$I$14:$I$17,0),_xlfn.XMATCH(B15,$J$12:$O$12,-1))</f>
        <v>21400</v>
      </c>
      <c r="E15" s="30">
        <v>17</v>
      </c>
      <c r="F15" s="30">
        <v>1</v>
      </c>
      <c r="G15" s="83" t="str" cm="1">
        <f t="array" ref="G15">fn가입상태(E15,F15)</f>
        <v>1개월 미납</v>
      </c>
      <c r="H15" s="33"/>
      <c r="I15" s="26" t="s">
        <v>121</v>
      </c>
      <c r="J15" s="39">
        <v>10600</v>
      </c>
      <c r="K15" s="39">
        <v>12600</v>
      </c>
      <c r="L15" s="39">
        <v>17500</v>
      </c>
      <c r="M15" s="39">
        <v>29000</v>
      </c>
      <c r="N15" s="39">
        <v>31500</v>
      </c>
      <c r="O15" s="39">
        <v>32800</v>
      </c>
      <c r="P15" s="33"/>
      <c r="Q15" s="33"/>
      <c r="R15" s="33"/>
      <c r="S15" s="33"/>
    </row>
    <row r="16" spans="1:19">
      <c r="A16" s="26" t="s">
        <v>125</v>
      </c>
      <c r="B16" s="36">
        <v>42</v>
      </c>
      <c r="C16" s="85" t="str">
        <f t="shared" si="0"/>
        <v>표준형-남자</v>
      </c>
      <c r="D16" s="54" cm="1">
        <f t="array" ref="D16">INDEX($J$14:$O$17,_xlfn.XMATCH(A16,$I$14:$I$17,0),_xlfn.XMATCH(B16,$J$12:$O$12,-1))</f>
        <v>20700</v>
      </c>
      <c r="E16" s="30">
        <v>6</v>
      </c>
      <c r="F16" s="30">
        <v>0</v>
      </c>
      <c r="G16" s="83" t="str" cm="1">
        <f t="array" ref="G16">fn가입상태(E16,F16)</f>
        <v>정상</v>
      </c>
      <c r="H16" s="33"/>
      <c r="I16" s="26" t="s">
        <v>133</v>
      </c>
      <c r="J16" s="39">
        <v>10200</v>
      </c>
      <c r="K16" s="39">
        <v>11200</v>
      </c>
      <c r="L16" s="39">
        <v>14300</v>
      </c>
      <c r="M16" s="39">
        <v>21400</v>
      </c>
      <c r="N16" s="39">
        <v>25800</v>
      </c>
      <c r="O16" s="39">
        <v>29000</v>
      </c>
      <c r="P16" s="33"/>
      <c r="Q16" s="33"/>
      <c r="R16" s="33"/>
      <c r="S16" s="33"/>
    </row>
    <row r="17" spans="1:19">
      <c r="A17" s="26" t="s">
        <v>132</v>
      </c>
      <c r="B17" s="36">
        <v>44</v>
      </c>
      <c r="C17" s="85" t="str">
        <f t="shared" si="0"/>
        <v>선택형-여자</v>
      </c>
      <c r="D17" s="54" cm="1">
        <f t="array" ref="D17">INDEX($J$14:$O$17,_xlfn.XMATCH(A17,$I$14:$I$17,0),_xlfn.XMATCH(B17,$J$12:$O$12,-1))</f>
        <v>30500</v>
      </c>
      <c r="E17" s="30">
        <v>28</v>
      </c>
      <c r="F17" s="30">
        <v>1</v>
      </c>
      <c r="G17" s="83" t="str" cm="1">
        <f t="array" ref="G17">fn가입상태(E17,F17)</f>
        <v>1개월 미납</v>
      </c>
      <c r="H17" s="33"/>
      <c r="I17" s="26" t="s">
        <v>130</v>
      </c>
      <c r="J17" s="39">
        <v>11200</v>
      </c>
      <c r="K17" s="39">
        <v>13000</v>
      </c>
      <c r="L17" s="39">
        <v>18500</v>
      </c>
      <c r="M17" s="39">
        <v>30500</v>
      </c>
      <c r="N17" s="39">
        <v>32400</v>
      </c>
      <c r="O17" s="39">
        <v>35300</v>
      </c>
      <c r="P17" s="33"/>
      <c r="Q17" s="33"/>
      <c r="R17" s="33"/>
      <c r="S17" s="33"/>
    </row>
    <row r="18" spans="1:19">
      <c r="A18" s="26" t="s">
        <v>121</v>
      </c>
      <c r="B18" s="36">
        <v>32</v>
      </c>
      <c r="C18" s="85" t="str">
        <f t="shared" si="0"/>
        <v>표준형-여자</v>
      </c>
      <c r="D18" s="54" cm="1">
        <f t="array" ref="D18">INDEX($J$14:$O$17,_xlfn.XMATCH(A18,$I$14:$I$17,0),_xlfn.XMATCH(B18,$J$12:$O$12,-1))</f>
        <v>17500</v>
      </c>
      <c r="E18" s="30">
        <v>72</v>
      </c>
      <c r="F18" s="30">
        <v>0</v>
      </c>
      <c r="G18" s="83" t="str" cm="1">
        <f t="array" ref="G18">fn가입상태(E18,F18)</f>
        <v>정상</v>
      </c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</row>
    <row r="19" spans="1:19">
      <c r="A19" s="26" t="s">
        <v>133</v>
      </c>
      <c r="B19" s="36">
        <v>14</v>
      </c>
      <c r="C19" s="85" t="str">
        <f t="shared" si="0"/>
        <v>선택형-남자</v>
      </c>
      <c r="D19" s="54" cm="1">
        <f t="array" ref="D19">INDEX($J$14:$O$17,_xlfn.XMATCH(A19,$I$14:$I$17,0),_xlfn.XMATCH(B19,$J$12:$O$12,-1))</f>
        <v>10200</v>
      </c>
      <c r="E19" s="30">
        <v>11</v>
      </c>
      <c r="F19" s="30">
        <v>0</v>
      </c>
      <c r="G19" s="83" t="str" cm="1">
        <f t="array" ref="G19">fn가입상태(E19,F19)</f>
        <v>정상</v>
      </c>
      <c r="H19" s="33"/>
      <c r="I19" s="33" t="s">
        <v>143</v>
      </c>
      <c r="J19" s="33"/>
      <c r="K19" s="33"/>
      <c r="L19" s="33"/>
      <c r="M19" s="33"/>
      <c r="N19" s="33"/>
      <c r="O19" s="33"/>
    </row>
    <row r="20" spans="1:19">
      <c r="A20" s="26" t="s">
        <v>121</v>
      </c>
      <c r="B20" s="36">
        <v>14</v>
      </c>
      <c r="C20" s="85" t="str">
        <f t="shared" si="0"/>
        <v>표준형-여자</v>
      </c>
      <c r="D20" s="54" cm="1">
        <f t="array" ref="D20">INDEX($J$14:$O$17,_xlfn.XMATCH(A20,$I$14:$I$17,0),_xlfn.XMATCH(B20,$J$12:$O$12,-1))</f>
        <v>10600</v>
      </c>
      <c r="E20" s="30">
        <v>8</v>
      </c>
      <c r="F20" s="30">
        <v>0</v>
      </c>
      <c r="G20" s="83" t="str" cm="1">
        <f t="array" ref="G20">fn가입상태(E20,F20)</f>
        <v>정상</v>
      </c>
      <c r="H20" s="33"/>
      <c r="I20" s="122" t="s">
        <v>136</v>
      </c>
      <c r="J20" s="40">
        <v>10</v>
      </c>
      <c r="K20" s="40">
        <v>20</v>
      </c>
      <c r="L20" s="40">
        <v>30</v>
      </c>
      <c r="M20" s="40">
        <v>40</v>
      </c>
      <c r="N20" s="40">
        <v>50</v>
      </c>
      <c r="O20" s="40">
        <v>60</v>
      </c>
    </row>
    <row r="21" spans="1:19">
      <c r="A21" s="26" t="s">
        <v>132</v>
      </c>
      <c r="B21" s="36">
        <v>35</v>
      </c>
      <c r="C21" s="85" t="str">
        <f t="shared" si="0"/>
        <v>선택형-여자</v>
      </c>
      <c r="D21" s="54" cm="1">
        <f t="array" ref="D21">INDEX($J$14:$O$17,_xlfn.XMATCH(A21,$I$14:$I$17,0),_xlfn.XMATCH(B21,$J$12:$O$12,-1))</f>
        <v>18500</v>
      </c>
      <c r="E21" s="30">
        <v>21</v>
      </c>
      <c r="F21" s="30">
        <v>2</v>
      </c>
      <c r="G21" s="83" t="str" cm="1">
        <f t="array" ref="G21">fn가입상태(E21,F21)</f>
        <v>2개월 미납</v>
      </c>
      <c r="H21" s="33"/>
      <c r="I21" s="123"/>
      <c r="J21" s="43">
        <v>20</v>
      </c>
      <c r="K21" s="43">
        <v>30</v>
      </c>
      <c r="L21" s="43">
        <v>40</v>
      </c>
      <c r="M21" s="43">
        <v>50</v>
      </c>
      <c r="N21" s="43">
        <v>60</v>
      </c>
      <c r="O21" s="43">
        <v>70</v>
      </c>
    </row>
    <row r="22" spans="1:19">
      <c r="A22" s="26" t="s">
        <v>124</v>
      </c>
      <c r="B22" s="36">
        <v>55</v>
      </c>
      <c r="C22" s="85" t="str">
        <f t="shared" si="0"/>
        <v>선택형-남자</v>
      </c>
      <c r="D22" s="54" cm="1">
        <f t="array" ref="D22">INDEX($J$14:$O$17,_xlfn.XMATCH(A22,$I$14:$I$17,0),_xlfn.XMATCH(B22,$J$12:$O$12,-1))</f>
        <v>25800</v>
      </c>
      <c r="E22" s="30">
        <v>11</v>
      </c>
      <c r="F22" s="30">
        <v>0</v>
      </c>
      <c r="G22" s="83" t="str" cm="1">
        <f t="array" ref="G22">fn가입상태(E22,F22)</f>
        <v>정상</v>
      </c>
      <c r="H22" s="33"/>
      <c r="I22" s="44" t="s">
        <v>137</v>
      </c>
      <c r="J22" s="45">
        <f t="array" ref="J22">IFERROR(AVERAGE(IF(($A$3:$A$26=$I22)*($B$3:$B$26&gt;=J$20)*($B$3:$B$26&lt;J$21),$E$3:$E$26)),"")</f>
        <v>17</v>
      </c>
      <c r="K22" s="45">
        <f t="array" ref="K22">IFERROR(AVERAGE(IF(($A$3:$A$26=$I22)*($B$3:$B$26&gt;=K$20)*($B$3:$B$26&lt;K$21),$E$3:$E$26)),"")</f>
        <v>15</v>
      </c>
      <c r="L22" s="45">
        <f t="array" ref="L22">IFERROR(AVERAGE(IF(($A$3:$A$26=$I22)*($B$3:$B$26&gt;=L$20)*($B$3:$B$26&lt;L$21),$E$3:$E$26)),"")</f>
        <v>32</v>
      </c>
      <c r="M22" s="45">
        <f t="array" ref="M22">IFERROR(AVERAGE(IF(($A$3:$A$26=$I22)*($B$3:$B$26&gt;=M$20)*($B$3:$B$26&lt;M$21),$E$3:$E$26)),"")</f>
        <v>6</v>
      </c>
      <c r="N22" s="45">
        <f t="array" ref="N22">IFERROR(AVERAGE(IF(($A$3:$A$26=$I22)*($B$3:$B$26&gt;=N$20)*($B$3:$B$26&lt;N$21),$E$3:$E$26)),"")</f>
        <v>42.5</v>
      </c>
      <c r="O22" s="45" t="str">
        <f t="array" ref="O22">IFERROR(AVERAGE(IF(($A$3:$A$26=$I22)*($B$3:$B$26&gt;=O$20)*($B$3:$B$26&lt;O$21),$E$3:$E$26)),"")</f>
        <v/>
      </c>
    </row>
    <row r="23" spans="1:19">
      <c r="A23" s="26" t="s">
        <v>138</v>
      </c>
      <c r="B23" s="36">
        <v>34</v>
      </c>
      <c r="C23" s="85" t="str">
        <f t="shared" si="0"/>
        <v>표준형-여자</v>
      </c>
      <c r="D23" s="54" cm="1">
        <f t="array" ref="D23">INDEX($J$14:$O$17,_xlfn.XMATCH(A23,$I$14:$I$17,0),_xlfn.XMATCH(B23,$J$12:$O$12,-1))</f>
        <v>17500</v>
      </c>
      <c r="E23" s="30">
        <v>27</v>
      </c>
      <c r="F23" s="30">
        <v>2</v>
      </c>
      <c r="G23" s="83" t="str" cm="1">
        <f t="array" ref="G23">fn가입상태(E23,F23)</f>
        <v>2개월 미납</v>
      </c>
      <c r="H23" s="33"/>
      <c r="I23" s="44" t="s">
        <v>138</v>
      </c>
      <c r="J23" s="45">
        <f t="array" ref="J23">IFERROR(AVERAGE(IF(($A$3:$A$26=$I23)*($B$3:$B$26&gt;=J$20)*($B$3:$B$26&lt;J$21),$E$3:$E$26)),"")</f>
        <v>8</v>
      </c>
      <c r="K23" s="45">
        <f t="array" ref="K23">IFERROR(AVERAGE(IF(($A$3:$A$26=$I23)*($B$3:$B$26&gt;=K$20)*($B$3:$B$26&lt;K$21),$E$3:$E$26)),"")</f>
        <v>21</v>
      </c>
      <c r="L23" s="45">
        <f t="array" ref="L23">IFERROR(AVERAGE(IF(($A$3:$A$26=$I23)*($B$3:$B$26&gt;=L$20)*($B$3:$B$26&lt;L$21),$E$3:$E$26)),"")</f>
        <v>49.5</v>
      </c>
      <c r="M23" s="45">
        <f t="array" ref="M23">IFERROR(AVERAGE(IF(($A$3:$A$26=$I23)*($B$3:$B$26&gt;=M$20)*($B$3:$B$26&lt;M$21),$E$3:$E$26)),"")</f>
        <v>64</v>
      </c>
      <c r="N23" s="45">
        <f t="array" ref="N23">IFERROR(AVERAGE(IF(($A$3:$A$26=$I23)*($B$3:$B$26&gt;=N$20)*($B$3:$B$26&lt;N$21),$E$3:$E$26)),"")</f>
        <v>16</v>
      </c>
      <c r="O23" s="45" t="str">
        <f t="array" ref="O23">IFERROR(AVERAGE(IF(($A$3:$A$26=$I23)*($B$3:$B$26&gt;=O$20)*($B$3:$B$26&lt;O$21),$E$3:$E$26)),"")</f>
        <v/>
      </c>
    </row>
    <row r="24" spans="1:19">
      <c r="A24" s="26" t="s">
        <v>139</v>
      </c>
      <c r="B24" s="36">
        <v>57</v>
      </c>
      <c r="C24" s="85" t="str">
        <f t="shared" si="0"/>
        <v>표준형-남자</v>
      </c>
      <c r="D24" s="54" cm="1">
        <f t="array" ref="D24">INDEX($J$14:$O$17,_xlfn.XMATCH(A24,$I$14:$I$17,0),_xlfn.XMATCH(B24,$J$12:$O$12,-1))</f>
        <v>25000</v>
      </c>
      <c r="E24" s="30">
        <v>46</v>
      </c>
      <c r="F24" s="30">
        <v>0</v>
      </c>
      <c r="G24" s="83" t="str" cm="1">
        <f t="array" ref="G24">fn가입상태(E24,F24)</f>
        <v>정상</v>
      </c>
      <c r="H24" s="33"/>
      <c r="I24" s="44" t="s">
        <v>140</v>
      </c>
      <c r="J24" s="45">
        <f t="array" ref="J24">IFERROR(AVERAGE(IF(($A$3:$A$26=$I24)*($B$3:$B$26&gt;=J$20)*($B$3:$B$26&lt;J$21),$E$3:$E$26)),"")</f>
        <v>11</v>
      </c>
      <c r="K24" s="45">
        <f t="array" ref="K24">IFERROR(AVERAGE(IF(($A$3:$A$26=$I24)*($B$3:$B$26&gt;=K$20)*($B$3:$B$26&lt;K$21),$E$3:$E$26)),"")</f>
        <v>23</v>
      </c>
      <c r="L24" s="45">
        <f t="array" ref="L24">IFERROR(AVERAGE(IF(($A$3:$A$26=$I24)*($B$3:$B$26&gt;=L$20)*($B$3:$B$26&lt;L$21),$E$3:$E$26)),"")</f>
        <v>37</v>
      </c>
      <c r="M24" s="45">
        <f t="array" ref="M24">IFERROR(AVERAGE(IF(($A$3:$A$26=$I24)*($B$3:$B$26&gt;=M$20)*($B$3:$B$26&lt;M$21),$E$3:$E$26)),"")</f>
        <v>20.5</v>
      </c>
      <c r="N24" s="45">
        <f t="array" ref="N24">IFERROR(AVERAGE(IF(($A$3:$A$26=$I24)*($B$3:$B$26&gt;=N$20)*($B$3:$B$26&lt;N$21),$E$3:$E$26)),"")</f>
        <v>11</v>
      </c>
      <c r="O24" s="45" t="str">
        <f t="array" ref="O24">IFERROR(AVERAGE(IF(($A$3:$A$26=$I24)*($B$3:$B$26&gt;=O$20)*($B$3:$B$26&lt;O$21),$E$3:$E$26)),"")</f>
        <v/>
      </c>
    </row>
    <row r="25" spans="1:19">
      <c r="A25" s="26" t="s">
        <v>133</v>
      </c>
      <c r="B25" s="36">
        <v>38</v>
      </c>
      <c r="C25" s="85" t="str">
        <f t="shared" si="0"/>
        <v>선택형-남자</v>
      </c>
      <c r="D25" s="54" cm="1">
        <f t="array" ref="D25">INDEX($J$14:$O$17,_xlfn.XMATCH(A25,$I$14:$I$17,0),_xlfn.XMATCH(B25,$J$12:$O$12,-1))</f>
        <v>14300</v>
      </c>
      <c r="E25" s="30">
        <v>37</v>
      </c>
      <c r="F25" s="30">
        <v>0</v>
      </c>
      <c r="G25" s="83" t="str" cm="1">
        <f t="array" ref="G25">fn가입상태(E25,F25)</f>
        <v>정상</v>
      </c>
      <c r="H25" s="33"/>
      <c r="I25" s="44" t="s">
        <v>130</v>
      </c>
      <c r="J25" s="45">
        <f t="array" ref="J25">IFERROR(AVERAGE(IF(($A$3:$A$26=$I25)*($B$3:$B$26&gt;=J$20)*($B$3:$B$26&lt;J$21),$E$3:$E$26)),"")</f>
        <v>23</v>
      </c>
      <c r="K25" s="45">
        <f t="array" ref="K25">IFERROR(AVERAGE(IF(($A$3:$A$26=$I25)*($B$3:$B$26&gt;=K$20)*($B$3:$B$26&lt;K$21),$E$3:$E$26)),"")</f>
        <v>15</v>
      </c>
      <c r="L25" s="45">
        <f t="array" ref="L25">IFERROR(AVERAGE(IF(($A$3:$A$26=$I25)*($B$3:$B$26&gt;=L$20)*($B$3:$B$26&lt;L$21),$E$3:$E$26)),"")</f>
        <v>21</v>
      </c>
      <c r="M25" s="45">
        <f t="array" ref="M25">IFERROR(AVERAGE(IF(($A$3:$A$26=$I25)*($B$3:$B$26&gt;=M$20)*($B$3:$B$26&lt;M$21),$E$3:$E$26)),"")</f>
        <v>28</v>
      </c>
      <c r="N25" s="45">
        <f t="array" ref="N25">IFERROR(AVERAGE(IF(($A$3:$A$26=$I25)*($B$3:$B$26&gt;=N$20)*($B$3:$B$26&lt;N$21),$E$3:$E$26)),"")</f>
        <v>9</v>
      </c>
      <c r="O25" s="45" t="str">
        <f t="array" ref="O25">IFERROR(AVERAGE(IF(($A$3:$A$26=$I25)*($B$3:$B$26&gt;=O$20)*($B$3:$B$26&lt;O$21),$E$3:$E$26)),"")</f>
        <v/>
      </c>
    </row>
    <row r="26" spans="1:19">
      <c r="A26" s="26" t="s">
        <v>130</v>
      </c>
      <c r="B26" s="36">
        <v>23</v>
      </c>
      <c r="C26" s="85" t="str">
        <f t="shared" si="0"/>
        <v>선택형-여자</v>
      </c>
      <c r="D26" s="54" cm="1">
        <f t="array" ref="D26">INDEX($J$14:$O$17,_xlfn.XMATCH(A26,$I$14:$I$17,0),_xlfn.XMATCH(B26,$J$12:$O$12,-1))</f>
        <v>13000</v>
      </c>
      <c r="E26" s="30">
        <v>15</v>
      </c>
      <c r="F26" s="30">
        <v>0</v>
      </c>
      <c r="G26" s="83" t="str" cm="1">
        <f t="array" ref="G26">fn가입상태(E26,F26)</f>
        <v>정상</v>
      </c>
      <c r="H26" s="33"/>
      <c r="L26" s="33"/>
      <c r="M26" s="33"/>
      <c r="N26" s="33"/>
      <c r="O26" s="33"/>
      <c r="P26" s="33"/>
      <c r="Q26" s="33"/>
      <c r="R26" s="33"/>
      <c r="S26" s="33"/>
    </row>
  </sheetData>
  <mergeCells count="3">
    <mergeCell ref="I12:I13"/>
    <mergeCell ref="I20:I21"/>
    <mergeCell ref="M3:N3"/>
  </mergeCells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P26"/>
  <sheetViews>
    <sheetView workbookViewId="0"/>
  </sheetViews>
  <sheetFormatPr defaultRowHeight="16.5"/>
  <cols>
    <col min="2" max="2" width="10" customWidth="1"/>
    <col min="3" max="6" width="9.25" customWidth="1"/>
    <col min="7" max="7" width="1.625" customWidth="1"/>
    <col min="8" max="8" width="11.625" customWidth="1"/>
    <col min="9" max="9" width="12.125" bestFit="1" customWidth="1"/>
    <col min="10" max="11" width="10.125" customWidth="1"/>
  </cols>
  <sheetData>
    <row r="1" spans="1:16">
      <c r="A1" s="12" t="s">
        <v>164</v>
      </c>
      <c r="B1" s="12"/>
      <c r="C1" s="12"/>
      <c r="D1" s="12"/>
      <c r="E1" s="12"/>
      <c r="F1" s="12"/>
      <c r="G1" s="12"/>
    </row>
    <row r="2" spans="1:16">
      <c r="A2" s="9" t="s">
        <v>163</v>
      </c>
      <c r="B2" s="9" t="s">
        <v>145</v>
      </c>
      <c r="C2" s="9" t="s">
        <v>165</v>
      </c>
      <c r="D2" s="9" t="s">
        <v>166</v>
      </c>
      <c r="E2" s="47" t="s">
        <v>173</v>
      </c>
      <c r="F2" s="47" t="s">
        <v>202</v>
      </c>
      <c r="G2" s="12"/>
      <c r="H2" s="12" t="s">
        <v>174</v>
      </c>
      <c r="I2" s="12"/>
      <c r="J2" s="12"/>
      <c r="K2" s="12"/>
    </row>
    <row r="3" spans="1:16">
      <c r="A3" s="8" t="s">
        <v>6</v>
      </c>
      <c r="B3" s="46" t="s">
        <v>151</v>
      </c>
      <c r="C3" s="46">
        <v>95</v>
      </c>
      <c r="D3" s="46" t="s">
        <v>167</v>
      </c>
      <c r="E3" s="46">
        <f t="shared" ref="E3:E24" si="0">C3*VLOOKUP(LEFT(B3,2),$H$11:$K$14,MATCH(D3,$I$10:$K$10,0)+1,FALSE)</f>
        <v>23.75</v>
      </c>
      <c r="F3" s="46" t="str" cm="1">
        <f t="array" ref="F3">fn비고(C3,E3)</f>
        <v>우수</v>
      </c>
      <c r="G3" s="12"/>
      <c r="H3" s="9" t="s">
        <v>175</v>
      </c>
      <c r="I3" s="47" t="s">
        <v>147</v>
      </c>
      <c r="J3" s="47" t="s">
        <v>148</v>
      </c>
      <c r="K3" s="47" t="s">
        <v>146</v>
      </c>
    </row>
    <row r="4" spans="1:16">
      <c r="A4" s="8" t="s">
        <v>7</v>
      </c>
      <c r="B4" s="46" t="s">
        <v>151</v>
      </c>
      <c r="C4" s="46">
        <v>87</v>
      </c>
      <c r="D4" s="46" t="s">
        <v>168</v>
      </c>
      <c r="E4" s="46">
        <f t="shared" si="0"/>
        <v>21.75</v>
      </c>
      <c r="F4" s="46" t="str" cm="1">
        <f t="array" ref="F4">fn비고(C4,E4)</f>
        <v>우수</v>
      </c>
      <c r="G4" s="12"/>
      <c r="H4" s="9" t="s">
        <v>152</v>
      </c>
      <c r="I4" s="13">
        <f t="array" ref="I4">COUNT((FIND($H4,$B$3:$B$24))*(FIND(I$3,$B$3:$B$24)))</f>
        <v>2</v>
      </c>
      <c r="J4" s="13">
        <f t="array" ref="J4">COUNT((FIND($H4,$B$3:$B$24))*(FIND(J$3,$B$3:$B$24)))</f>
        <v>3</v>
      </c>
      <c r="K4" s="13">
        <f t="array" ref="K4">COUNT((FIND($H4,$B$3:$B$24))*(FIND(K$3,$B$3:$B$24)))</f>
        <v>1</v>
      </c>
      <c r="N4" s="66"/>
      <c r="O4" s="66"/>
      <c r="P4" s="66"/>
    </row>
    <row r="5" spans="1:16">
      <c r="A5" s="8" t="s">
        <v>8</v>
      </c>
      <c r="B5" s="46" t="s">
        <v>149</v>
      </c>
      <c r="C5" s="46">
        <v>89</v>
      </c>
      <c r="D5" s="46" t="s">
        <v>169</v>
      </c>
      <c r="E5" s="46">
        <f t="shared" si="0"/>
        <v>44.5</v>
      </c>
      <c r="F5" s="46" t="str" cm="1">
        <f t="array" ref="F5">fn비고(C5,E5)</f>
        <v>최우수</v>
      </c>
      <c r="G5" s="12"/>
      <c r="H5" s="9" t="s">
        <v>157</v>
      </c>
      <c r="I5" s="13">
        <f t="array" ref="I5">COUNT((FIND($H5,$B$3:$B$24))*(FIND(I$3,$B$3:$B$24)))</f>
        <v>2</v>
      </c>
      <c r="J5" s="13">
        <f t="array" ref="J5">COUNT((FIND($H5,$B$3:$B$24))*(FIND(J$3,$B$3:$B$24)))</f>
        <v>2</v>
      </c>
      <c r="K5" s="13">
        <f t="array" ref="K5">COUNT((FIND($H5,$B$3:$B$24))*(FIND(K$3,$B$3:$B$24)))</f>
        <v>1</v>
      </c>
      <c r="L5" s="66"/>
    </row>
    <row r="6" spans="1:16">
      <c r="A6" s="8" t="s">
        <v>9</v>
      </c>
      <c r="B6" s="46" t="s">
        <v>150</v>
      </c>
      <c r="C6" s="46">
        <v>93</v>
      </c>
      <c r="D6" s="46" t="s">
        <v>177</v>
      </c>
      <c r="E6" s="46">
        <f t="shared" si="0"/>
        <v>46.5</v>
      </c>
      <c r="F6" s="46" t="str" cm="1">
        <f t="array" ref="F6">fn비고(C6,E6)</f>
        <v>최우수</v>
      </c>
      <c r="G6" s="12"/>
      <c r="H6" s="9" t="s">
        <v>161</v>
      </c>
      <c r="I6" s="13">
        <f t="array" ref="I6">COUNT((FIND($H6,$B$3:$B$24))*(FIND(I$3,$B$3:$B$24)))</f>
        <v>2</v>
      </c>
      <c r="J6" s="13">
        <f t="array" ref="J6">COUNT((FIND($H6,$B$3:$B$24))*(FIND(J$3,$B$3:$B$24)))</f>
        <v>2</v>
      </c>
      <c r="K6" s="13">
        <f t="array" ref="K6">COUNT((FIND($H6,$B$3:$B$24))*(FIND(K$3,$B$3:$B$24)))</f>
        <v>1</v>
      </c>
      <c r="L6" s="66"/>
    </row>
    <row r="7" spans="1:16">
      <c r="A7" s="8" t="s">
        <v>10</v>
      </c>
      <c r="B7" s="46" t="s">
        <v>155</v>
      </c>
      <c r="C7" s="46">
        <v>82</v>
      </c>
      <c r="D7" s="46" t="s">
        <v>178</v>
      </c>
      <c r="E7" s="46">
        <f t="shared" si="0"/>
        <v>12.299999999999999</v>
      </c>
      <c r="F7" s="46" t="str" cm="1">
        <f t="array" ref="F7">fn비고(C7,E7)</f>
        <v/>
      </c>
      <c r="G7" s="12"/>
      <c r="H7" s="10" t="s">
        <v>153</v>
      </c>
      <c r="I7" s="13">
        <f t="array" ref="I7">COUNT((FIND($H7,$B$3:$B$24))*(FIND(I$3,$B$3:$B$24)))</f>
        <v>2</v>
      </c>
      <c r="J7" s="13">
        <f t="array" ref="J7">COUNT((FIND($H7,$B$3:$B$24))*(FIND(J$3,$B$3:$B$24)))</f>
        <v>2</v>
      </c>
      <c r="K7" s="13">
        <f t="array" ref="K7">COUNT((FIND($H7,$B$3:$B$24))*(FIND(K$3,$B$3:$B$24)))</f>
        <v>2</v>
      </c>
      <c r="L7" s="66"/>
    </row>
    <row r="8" spans="1:16">
      <c r="A8" s="8" t="s">
        <v>11</v>
      </c>
      <c r="B8" s="46" t="s">
        <v>156</v>
      </c>
      <c r="C8" s="46">
        <v>91</v>
      </c>
      <c r="D8" s="46" t="s">
        <v>168</v>
      </c>
      <c r="E8" s="46">
        <f t="shared" si="0"/>
        <v>13.65</v>
      </c>
      <c r="F8" s="46" t="str" cm="1">
        <f t="array" ref="F8">fn비고(C8,E8)</f>
        <v>우수</v>
      </c>
      <c r="G8" s="12"/>
      <c r="H8" s="12"/>
      <c r="I8" s="12"/>
      <c r="J8" s="12"/>
      <c r="K8" s="12"/>
    </row>
    <row r="9" spans="1:16">
      <c r="A9" s="8" t="s">
        <v>12</v>
      </c>
      <c r="B9" s="46" t="s">
        <v>154</v>
      </c>
      <c r="C9" s="46">
        <v>89</v>
      </c>
      <c r="D9" s="46" t="s">
        <v>172</v>
      </c>
      <c r="E9" s="46">
        <f t="shared" si="0"/>
        <v>62.3</v>
      </c>
      <c r="F9" s="46" t="str" cm="1">
        <f t="array" ref="F9">fn비고(C9,E9)</f>
        <v>최우수</v>
      </c>
      <c r="G9" s="12"/>
      <c r="H9" s="11" t="s">
        <v>203</v>
      </c>
      <c r="I9" s="12"/>
      <c r="J9" s="12"/>
      <c r="K9" s="12"/>
    </row>
    <row r="10" spans="1:16">
      <c r="A10" s="8" t="s">
        <v>13</v>
      </c>
      <c r="B10" s="46" t="s">
        <v>155</v>
      </c>
      <c r="C10" s="46">
        <v>75</v>
      </c>
      <c r="D10" s="46" t="s">
        <v>179</v>
      </c>
      <c r="E10" s="46">
        <f t="shared" si="0"/>
        <v>11.25</v>
      </c>
      <c r="F10" s="46" t="str" cm="1">
        <f t="array" ref="F10">fn비고(C10,E10)</f>
        <v/>
      </c>
      <c r="G10" s="12"/>
      <c r="H10" s="9" t="s">
        <v>176</v>
      </c>
      <c r="I10" s="9" t="s">
        <v>170</v>
      </c>
      <c r="J10" s="9" t="s">
        <v>171</v>
      </c>
      <c r="K10" s="9" t="s">
        <v>172</v>
      </c>
    </row>
    <row r="11" spans="1:16">
      <c r="A11" s="8" t="s">
        <v>14</v>
      </c>
      <c r="B11" s="46" t="s">
        <v>158</v>
      </c>
      <c r="C11" s="46">
        <v>88</v>
      </c>
      <c r="D11" s="46" t="s">
        <v>180</v>
      </c>
      <c r="E11" s="46">
        <f t="shared" si="0"/>
        <v>26.4</v>
      </c>
      <c r="F11" s="46" t="str" cm="1">
        <f t="array" ref="F11">fn비고(C11,E11)</f>
        <v>우수</v>
      </c>
      <c r="G11" s="12"/>
      <c r="H11" s="9" t="s">
        <v>152</v>
      </c>
      <c r="I11" s="48">
        <v>0.25</v>
      </c>
      <c r="J11" s="48">
        <v>0.25</v>
      </c>
      <c r="K11" s="48">
        <v>0.5</v>
      </c>
    </row>
    <row r="12" spans="1:16">
      <c r="A12" s="8" t="s">
        <v>15</v>
      </c>
      <c r="B12" s="46" t="s">
        <v>158</v>
      </c>
      <c r="C12" s="46">
        <v>90</v>
      </c>
      <c r="D12" s="46" t="s">
        <v>181</v>
      </c>
      <c r="E12" s="46">
        <f t="shared" si="0"/>
        <v>27</v>
      </c>
      <c r="F12" s="46" t="str" cm="1">
        <f t="array" ref="F12">fn비고(C12,E12)</f>
        <v>우수</v>
      </c>
      <c r="G12" s="12"/>
      <c r="H12" s="9" t="s">
        <v>157</v>
      </c>
      <c r="I12" s="48">
        <v>0.3</v>
      </c>
      <c r="J12" s="48">
        <v>0.3</v>
      </c>
      <c r="K12" s="48">
        <v>0.4</v>
      </c>
    </row>
    <row r="13" spans="1:16">
      <c r="A13" s="8" t="s">
        <v>16</v>
      </c>
      <c r="B13" s="46" t="s">
        <v>159</v>
      </c>
      <c r="C13" s="46">
        <v>81</v>
      </c>
      <c r="D13" s="46" t="s">
        <v>182</v>
      </c>
      <c r="E13" s="46">
        <f t="shared" si="0"/>
        <v>32.4</v>
      </c>
      <c r="F13" s="46" t="str" cm="1">
        <f t="array" ref="F13">fn비고(C13,E13)</f>
        <v>우수</v>
      </c>
      <c r="G13" s="12"/>
      <c r="H13" s="9" t="s">
        <v>161</v>
      </c>
      <c r="I13" s="48">
        <v>0.2</v>
      </c>
      <c r="J13" s="48">
        <v>0.2</v>
      </c>
      <c r="K13" s="48">
        <v>0.6</v>
      </c>
    </row>
    <row r="14" spans="1:16">
      <c r="A14" s="8" t="s">
        <v>17</v>
      </c>
      <c r="B14" s="46" t="s">
        <v>160</v>
      </c>
      <c r="C14" s="46">
        <v>76</v>
      </c>
      <c r="D14" s="46" t="s">
        <v>183</v>
      </c>
      <c r="E14" s="46">
        <f t="shared" si="0"/>
        <v>22.8</v>
      </c>
      <c r="F14" s="46" t="str" cm="1">
        <f t="array" ref="F14">fn비고(C14,E14)</f>
        <v/>
      </c>
      <c r="G14" s="12"/>
      <c r="H14" s="10" t="s">
        <v>153</v>
      </c>
      <c r="I14" s="48">
        <v>0.15</v>
      </c>
      <c r="J14" s="48">
        <v>0.15</v>
      </c>
      <c r="K14" s="48">
        <v>0.7</v>
      </c>
    </row>
    <row r="15" spans="1:16">
      <c r="A15" s="8" t="s">
        <v>18</v>
      </c>
      <c r="B15" s="46" t="s">
        <v>162</v>
      </c>
      <c r="C15" s="46">
        <v>92</v>
      </c>
      <c r="D15" s="46" t="s">
        <v>184</v>
      </c>
      <c r="E15" s="46">
        <f t="shared" si="0"/>
        <v>18.400000000000002</v>
      </c>
      <c r="F15" s="46" t="str" cm="1">
        <f t="array" ref="F15">fn비고(C15,E15)</f>
        <v>우수</v>
      </c>
      <c r="G15" s="12"/>
      <c r="H15" s="12"/>
      <c r="I15" s="12"/>
      <c r="J15" s="12"/>
      <c r="K15" s="12"/>
    </row>
    <row r="16" spans="1:16">
      <c r="A16" s="8" t="s">
        <v>19</v>
      </c>
      <c r="B16" s="9" t="s">
        <v>190</v>
      </c>
      <c r="C16" s="9">
        <v>93</v>
      </c>
      <c r="D16" s="46" t="s">
        <v>172</v>
      </c>
      <c r="E16" s="46">
        <f t="shared" si="0"/>
        <v>37.200000000000003</v>
      </c>
      <c r="F16" s="46" t="str" cm="1">
        <f t="array" ref="F16">fn비고(C16,E16)</f>
        <v>최우수</v>
      </c>
      <c r="G16" s="12"/>
      <c r="H16" s="11" t="s">
        <v>198</v>
      </c>
      <c r="I16" s="12"/>
      <c r="J16" s="12"/>
      <c r="K16" s="12"/>
    </row>
    <row r="17" spans="1:11">
      <c r="A17" s="8" t="s">
        <v>20</v>
      </c>
      <c r="B17" s="9" t="s">
        <v>191</v>
      </c>
      <c r="C17" s="9">
        <v>87</v>
      </c>
      <c r="D17" s="46" t="s">
        <v>172</v>
      </c>
      <c r="E17" s="46">
        <f t="shared" si="0"/>
        <v>60.9</v>
      </c>
      <c r="F17" s="46" t="str" cm="1">
        <f t="array" ref="F17">fn비고(C17,E17)</f>
        <v>최우수</v>
      </c>
      <c r="G17" s="12"/>
      <c r="H17" s="126" t="s">
        <v>199</v>
      </c>
      <c r="I17" s="126"/>
      <c r="J17" s="127" t="str">
        <f>"평균("&amp;TRUNC(AVERAGE(C3:C24))&amp;"), 표준편차("&amp;TRUNC(_xlfn.STDEV.S(C3:C24))&amp;")"</f>
        <v>평균(85), 표준편차(6)</v>
      </c>
      <c r="K17" s="127"/>
    </row>
    <row r="18" spans="1:11">
      <c r="A18" s="8" t="s">
        <v>21</v>
      </c>
      <c r="B18" s="9" t="s">
        <v>192</v>
      </c>
      <c r="C18" s="9">
        <v>79</v>
      </c>
      <c r="D18" s="46" t="s">
        <v>169</v>
      </c>
      <c r="E18" s="46">
        <f t="shared" si="0"/>
        <v>39.5</v>
      </c>
      <c r="F18" s="46" t="str" cm="1">
        <f t="array" ref="F18">fn비고(C18,E18)</f>
        <v>우수</v>
      </c>
      <c r="G18" s="12"/>
      <c r="H18" s="12"/>
      <c r="I18" s="12"/>
      <c r="J18" s="12"/>
      <c r="K18" s="12"/>
    </row>
    <row r="19" spans="1:11">
      <c r="A19" s="8" t="s">
        <v>22</v>
      </c>
      <c r="B19" s="9" t="s">
        <v>193</v>
      </c>
      <c r="C19" s="9">
        <v>82</v>
      </c>
      <c r="D19" s="46" t="s">
        <v>185</v>
      </c>
      <c r="E19" s="46">
        <f t="shared" si="0"/>
        <v>49.199999999999996</v>
      </c>
      <c r="F19" s="46" t="str" cm="1">
        <f t="array" ref="F19">fn비고(C19,E19)</f>
        <v>최우수</v>
      </c>
      <c r="G19" s="12"/>
      <c r="H19" s="12" t="s">
        <v>200</v>
      </c>
      <c r="I19" s="12"/>
      <c r="J19" s="12"/>
      <c r="K19" s="12"/>
    </row>
    <row r="20" spans="1:11">
      <c r="A20" s="8" t="s">
        <v>23</v>
      </c>
      <c r="B20" s="9" t="s">
        <v>194</v>
      </c>
      <c r="C20" s="9">
        <v>83</v>
      </c>
      <c r="D20" s="46" t="s">
        <v>181</v>
      </c>
      <c r="E20" s="46">
        <f t="shared" si="0"/>
        <v>12.45</v>
      </c>
      <c r="F20" s="46" t="str" cm="1">
        <f t="array" ref="F20">fn비고(C20,E20)</f>
        <v/>
      </c>
      <c r="G20" s="12"/>
      <c r="H20" s="9" t="s">
        <v>176</v>
      </c>
      <c r="I20" s="47" t="s">
        <v>201</v>
      </c>
      <c r="J20" s="12"/>
      <c r="K20" s="12"/>
    </row>
    <row r="21" spans="1:11">
      <c r="A21" s="8" t="s">
        <v>24</v>
      </c>
      <c r="B21" s="9" t="s">
        <v>195</v>
      </c>
      <c r="C21" s="9">
        <v>73</v>
      </c>
      <c r="D21" s="46" t="s">
        <v>186</v>
      </c>
      <c r="E21" s="46">
        <f t="shared" si="0"/>
        <v>43.8</v>
      </c>
      <c r="F21" s="46" t="str" cm="1">
        <f t="array" ref="F21">fn비고(C21,E21)</f>
        <v>우수</v>
      </c>
      <c r="G21" s="12"/>
      <c r="H21" s="9" t="s">
        <v>152</v>
      </c>
      <c r="I21" s="13">
        <f t="array" ref="I21">ROUND(AVERAGE(LARGE((LEFT($B$3:$B$24,2)=H21)*$C$3:$C$24,{1,2,3})),0)</f>
        <v>92</v>
      </c>
      <c r="J21" s="12"/>
      <c r="K21" s="12"/>
    </row>
    <row r="22" spans="1:11">
      <c r="A22" s="8" t="s">
        <v>25</v>
      </c>
      <c r="B22" s="9" t="s">
        <v>196</v>
      </c>
      <c r="C22" s="9">
        <v>95</v>
      </c>
      <c r="D22" s="46" t="s">
        <v>187</v>
      </c>
      <c r="E22" s="46">
        <f t="shared" si="0"/>
        <v>19</v>
      </c>
      <c r="F22" s="46" t="str" cm="1">
        <f t="array" ref="F22">fn비고(C22,E22)</f>
        <v>우수</v>
      </c>
      <c r="G22" s="12"/>
      <c r="H22" s="9" t="s">
        <v>157</v>
      </c>
      <c r="I22" s="13">
        <f t="array" ref="I22">ROUND(AVERAGE(LARGE((LEFT($B$3:$B$24,2)=H22)*$C$3:$C$24,{1,2,3})),0)</f>
        <v>90</v>
      </c>
      <c r="J22" s="12"/>
      <c r="K22" s="12"/>
    </row>
    <row r="23" spans="1:11">
      <c r="A23" s="8" t="s">
        <v>26</v>
      </c>
      <c r="B23" s="9" t="s">
        <v>197</v>
      </c>
      <c r="C23" s="9">
        <v>81</v>
      </c>
      <c r="D23" s="46" t="s">
        <v>188</v>
      </c>
      <c r="E23" s="46">
        <f t="shared" si="0"/>
        <v>40.5</v>
      </c>
      <c r="F23" s="46" t="str" cm="1">
        <f t="array" ref="F23">fn비고(C23,E23)</f>
        <v>최우수</v>
      </c>
      <c r="G23" s="12"/>
      <c r="H23" s="9" t="s">
        <v>161</v>
      </c>
      <c r="I23" s="13">
        <f t="array" ref="I23">ROUND(AVERAGE(LARGE((LEFT($B$3:$B$24,2)=H23)*$C$3:$C$24,{1,2,3})),0)</f>
        <v>92</v>
      </c>
      <c r="J23" s="12"/>
      <c r="K23" s="12"/>
    </row>
    <row r="24" spans="1:11">
      <c r="A24" s="8" t="s">
        <v>27</v>
      </c>
      <c r="B24" s="9" t="s">
        <v>193</v>
      </c>
      <c r="C24" s="9">
        <v>90</v>
      </c>
      <c r="D24" s="46" t="s">
        <v>189</v>
      </c>
      <c r="E24" s="46">
        <f t="shared" si="0"/>
        <v>18</v>
      </c>
      <c r="F24" s="46" t="str" cm="1">
        <f t="array" ref="F24">fn비고(C24,E24)</f>
        <v>우수</v>
      </c>
      <c r="G24" s="12"/>
      <c r="H24" s="10" t="s">
        <v>153</v>
      </c>
      <c r="I24" s="13">
        <f t="array" ref="I24">ROUND(AVERAGE(LARGE((LEFT($B$3:$B$24,2)=H24)*$C$3:$C$24,{1,2,3})),0)</f>
        <v>89</v>
      </c>
      <c r="J24" s="12"/>
      <c r="K24" s="12"/>
    </row>
    <row r="25" spans="1:11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</row>
    <row r="26" spans="1:11">
      <c r="H26" s="12"/>
      <c r="I26" s="12"/>
      <c r="J26" s="12"/>
      <c r="K26" s="12"/>
    </row>
  </sheetData>
  <mergeCells count="2">
    <mergeCell ref="H17:I17"/>
    <mergeCell ref="J17:K17"/>
  </mergeCells>
  <phoneticPr fontId="2" type="noConversion"/>
  <conditionalFormatting sqref="D16:D24 B3:F3 B4:D15 E4:F24">
    <cfRule type="expression" dxfId="0" priority="9" stopIfTrue="1">
      <formula>OR(LEN($I4)&gt;=2,DAYS360(#REF!,#REF!)&gt;=5)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87934-3015-4F45-97C0-0717436CCF3C}">
  <sheetPr codeName="Sheet5"/>
  <dimension ref="A1:O28"/>
  <sheetViews>
    <sheetView topLeftCell="G10" workbookViewId="0"/>
  </sheetViews>
  <sheetFormatPr defaultRowHeight="16.5"/>
  <cols>
    <col min="1" max="1" width="9" style="66"/>
    <col min="2" max="2" width="15.125" style="66" bestFit="1" customWidth="1"/>
    <col min="3" max="3" width="8.625" style="66" customWidth="1"/>
    <col min="4" max="4" width="10.25" style="66" customWidth="1"/>
    <col min="5" max="5" width="12.375" style="66" customWidth="1"/>
    <col min="6" max="6" width="10.625" style="66" customWidth="1"/>
    <col min="7" max="7" width="7.625" style="66" customWidth="1"/>
    <col min="8" max="8" width="9" style="66"/>
    <col min="9" max="9" width="9.5" style="66" customWidth="1"/>
    <col min="10" max="10" width="12.5" style="66" customWidth="1"/>
    <col min="11" max="11" width="1.625" style="66" customWidth="1"/>
    <col min="12" max="12" width="7.75" style="66" customWidth="1"/>
    <col min="13" max="15" width="16.25" style="66" bestFit="1" customWidth="1"/>
    <col min="16" max="18" width="11" style="66" bestFit="1" customWidth="1"/>
    <col min="19" max="19" width="8.875" style="66" customWidth="1"/>
    <col min="20" max="20" width="9" style="66"/>
    <col min="21" max="21" width="18.125" style="66" customWidth="1"/>
    <col min="22" max="16384" width="9" style="66"/>
  </cols>
  <sheetData>
    <row r="1" spans="1:15">
      <c r="A1" s="66" t="s">
        <v>28</v>
      </c>
      <c r="L1" s="66" t="s">
        <v>29</v>
      </c>
    </row>
    <row r="2" spans="1:15">
      <c r="A2" s="44" t="s">
        <v>246</v>
      </c>
      <c r="B2" s="104" t="s">
        <v>414</v>
      </c>
      <c r="C2" s="44" t="s">
        <v>415</v>
      </c>
      <c r="D2" s="44" t="s">
        <v>479</v>
      </c>
      <c r="E2" s="44" t="s">
        <v>417</v>
      </c>
      <c r="F2" s="104" t="s">
        <v>416</v>
      </c>
      <c r="G2" s="44" t="s">
        <v>418</v>
      </c>
      <c r="H2" s="44" t="s">
        <v>419</v>
      </c>
      <c r="I2" s="44" t="s">
        <v>420</v>
      </c>
      <c r="J2" s="104" t="s">
        <v>476</v>
      </c>
      <c r="L2" s="95" t="s">
        <v>424</v>
      </c>
      <c r="M2" s="95" t="s">
        <v>425</v>
      </c>
      <c r="N2" s="95" t="s">
        <v>426</v>
      </c>
      <c r="O2" s="95" t="s">
        <v>427</v>
      </c>
    </row>
    <row r="3" spans="1:15">
      <c r="A3" s="89" t="s">
        <v>421</v>
      </c>
      <c r="B3" s="89" t="str">
        <f t="shared" ref="B3:B27" si="0">INDEX($M$3:$O$8,MATCH(A3, $L$3:$L$8,1),MATCH(RIGHT(A3,1),$M$2:$O$2,0))</f>
        <v>녹차소형</v>
      </c>
      <c r="C3" s="89" t="s">
        <v>422</v>
      </c>
      <c r="D3" s="89" t="s">
        <v>423</v>
      </c>
      <c r="E3" s="89">
        <v>126</v>
      </c>
      <c r="F3" s="94" t="str" cm="1">
        <f t="array" ref="F3">fn리뷰평가(G3,H3,E3)</f>
        <v>관심</v>
      </c>
      <c r="G3" s="89">
        <v>4</v>
      </c>
      <c r="H3" s="89">
        <v>4.5</v>
      </c>
      <c r="I3" s="89">
        <v>3.5</v>
      </c>
      <c r="J3" s="89" t="str" cm="1">
        <f t="array" ref="J3">REPT("★", INT(SUMPRODUCT(G3:I3, TRANSPOSE($M$12:$M$14))))&amp;REPT("☆", 5-INT(SUMPRODUCT(TRANSPOSE(G3:I3), $M$12:$M$14)))</f>
        <v>★★★★☆</v>
      </c>
      <c r="L3" s="96" t="s">
        <v>210</v>
      </c>
      <c r="M3" s="97" t="s">
        <v>430</v>
      </c>
      <c r="N3" s="97" t="s">
        <v>431</v>
      </c>
      <c r="O3" s="97" t="s">
        <v>432</v>
      </c>
    </row>
    <row r="4" spans="1:15">
      <c r="A4" s="89" t="s">
        <v>428</v>
      </c>
      <c r="B4" s="89" t="str">
        <f t="shared" si="0"/>
        <v>홍차소형</v>
      </c>
      <c r="C4" s="89" t="s">
        <v>429</v>
      </c>
      <c r="D4" s="89" t="s">
        <v>423</v>
      </c>
      <c r="E4" s="89">
        <v>85</v>
      </c>
      <c r="F4" s="94" t="str" cm="1">
        <f t="array" ref="F4">fn리뷰평가(G4,H4,E4)</f>
        <v/>
      </c>
      <c r="G4" s="89">
        <v>4</v>
      </c>
      <c r="H4" s="89">
        <v>4</v>
      </c>
      <c r="I4" s="89">
        <v>3</v>
      </c>
      <c r="J4" s="89" t="str" cm="1">
        <f t="array" ref="J4">REPT("★", INT(SUMPRODUCT(G4:I4, TRANSPOSE($M$12:$M$14))))&amp;REPT("☆", 5-INT(SUMPRODUCT(TRANSPOSE(G4:I4), $M$12:$M$14)))</f>
        <v>★★★☆☆</v>
      </c>
      <c r="L4" s="96" t="s">
        <v>209</v>
      </c>
      <c r="M4" s="97" t="s">
        <v>435</v>
      </c>
      <c r="N4" s="97" t="s">
        <v>436</v>
      </c>
      <c r="O4" s="97" t="s">
        <v>437</v>
      </c>
    </row>
    <row r="5" spans="1:15">
      <c r="A5" s="89" t="s">
        <v>433</v>
      </c>
      <c r="B5" s="89" t="str">
        <f t="shared" si="0"/>
        <v>카모마일소형</v>
      </c>
      <c r="C5" s="89" t="s">
        <v>429</v>
      </c>
      <c r="D5" s="89" t="s">
        <v>434</v>
      </c>
      <c r="E5" s="89">
        <v>66</v>
      </c>
      <c r="F5" s="94" t="str" cm="1">
        <f t="array" ref="F5">fn리뷰평가(G5,H5,E5)</f>
        <v/>
      </c>
      <c r="G5" s="89">
        <v>4</v>
      </c>
      <c r="H5" s="89">
        <v>5</v>
      </c>
      <c r="I5" s="89">
        <v>5</v>
      </c>
      <c r="J5" s="89" t="str" cm="1">
        <f t="array" ref="J5">REPT("★", INT(SUMPRODUCT(G5:I5, TRANSPOSE($M$12:$M$14))))&amp;REPT("☆", 5-INT(SUMPRODUCT(TRANSPOSE(G5:I5), $M$12:$M$14)))</f>
        <v>★★★★☆</v>
      </c>
      <c r="L5" s="96" t="s">
        <v>439</v>
      </c>
      <c r="M5" s="97" t="s">
        <v>440</v>
      </c>
      <c r="N5" s="97" t="s">
        <v>441</v>
      </c>
      <c r="O5" s="97" t="s">
        <v>442</v>
      </c>
    </row>
    <row r="6" spans="1:15">
      <c r="A6" s="89" t="s">
        <v>438</v>
      </c>
      <c r="B6" s="89" t="str">
        <f t="shared" si="0"/>
        <v>페퍼민트소형</v>
      </c>
      <c r="C6" s="89" t="s">
        <v>422</v>
      </c>
      <c r="D6" s="89" t="s">
        <v>434</v>
      </c>
      <c r="E6" s="89">
        <v>79</v>
      </c>
      <c r="F6" s="94" t="str" cm="1">
        <f t="array" ref="F6">fn리뷰평가(G6,H6,E6)</f>
        <v/>
      </c>
      <c r="G6" s="89">
        <v>4.5</v>
      </c>
      <c r="H6" s="89">
        <v>3</v>
      </c>
      <c r="I6" s="89">
        <v>4</v>
      </c>
      <c r="J6" s="89" t="str" cm="1">
        <f t="array" ref="J6">REPT("★", INT(SUMPRODUCT(G6:I6, TRANSPOSE($M$12:$M$14))))&amp;REPT("☆", 5-INT(SUMPRODUCT(TRANSPOSE(G6:I6), $M$12:$M$14)))</f>
        <v>★★★☆☆</v>
      </c>
      <c r="L6" s="96" t="s">
        <v>212</v>
      </c>
      <c r="M6" s="97" t="s">
        <v>444</v>
      </c>
      <c r="N6" s="97" t="s">
        <v>445</v>
      </c>
      <c r="O6" s="97" t="s">
        <v>446</v>
      </c>
    </row>
    <row r="7" spans="1:15">
      <c r="A7" s="89" t="s">
        <v>443</v>
      </c>
      <c r="B7" s="89" t="str">
        <f t="shared" si="0"/>
        <v>루이보스소형</v>
      </c>
      <c r="C7" s="89" t="s">
        <v>429</v>
      </c>
      <c r="D7" s="89" t="s">
        <v>423</v>
      </c>
      <c r="E7" s="89">
        <v>126</v>
      </c>
      <c r="F7" s="94" t="str" cm="1">
        <f t="array" ref="F7">fn리뷰평가(G7,H7,E7)</f>
        <v>관심</v>
      </c>
      <c r="G7" s="89">
        <v>4</v>
      </c>
      <c r="H7" s="89">
        <v>4</v>
      </c>
      <c r="I7" s="89">
        <v>5</v>
      </c>
      <c r="J7" s="89" t="str" cm="1">
        <f t="array" ref="J7">REPT("★", INT(SUMPRODUCT(G7:I7, TRANSPOSE($M$12:$M$14))))&amp;REPT("☆", 5-INT(SUMPRODUCT(TRANSPOSE(G7:I7), $M$12:$M$14)))</f>
        <v>★★★★☆</v>
      </c>
      <c r="L7" s="96" t="s">
        <v>448</v>
      </c>
      <c r="M7" s="97" t="s">
        <v>449</v>
      </c>
      <c r="N7" s="97" t="s">
        <v>450</v>
      </c>
      <c r="O7" s="97" t="s">
        <v>451</v>
      </c>
    </row>
    <row r="8" spans="1:15">
      <c r="A8" s="89" t="s">
        <v>447</v>
      </c>
      <c r="B8" s="89" t="str">
        <f t="shared" si="0"/>
        <v>얼그레이소형</v>
      </c>
      <c r="C8" s="89" t="s">
        <v>422</v>
      </c>
      <c r="D8" s="89" t="s">
        <v>434</v>
      </c>
      <c r="E8" s="89">
        <v>90</v>
      </c>
      <c r="F8" s="94" t="str" cm="1">
        <f t="array" ref="F8">fn리뷰평가(G8,H8,E8)</f>
        <v/>
      </c>
      <c r="G8" s="89">
        <v>3</v>
      </c>
      <c r="H8" s="89">
        <v>2</v>
      </c>
      <c r="I8" s="89">
        <v>4</v>
      </c>
      <c r="J8" s="89" t="str" cm="1">
        <f t="array" ref="J8">REPT("★", INT(SUMPRODUCT(G8:I8, TRANSPOSE($M$12:$M$14))))&amp;REPT("☆", 5-INT(SUMPRODUCT(TRANSPOSE(G8:I8), $M$12:$M$14)))</f>
        <v>★★☆☆☆</v>
      </c>
      <c r="L8" s="96" t="s">
        <v>211</v>
      </c>
      <c r="M8" s="97" t="s">
        <v>454</v>
      </c>
      <c r="N8" s="97" t="s">
        <v>455</v>
      </c>
      <c r="O8" s="97" t="s">
        <v>456</v>
      </c>
    </row>
    <row r="9" spans="1:15">
      <c r="A9" s="89" t="s">
        <v>452</v>
      </c>
      <c r="B9" s="89" t="str">
        <f t="shared" si="0"/>
        <v>녹차중형</v>
      </c>
      <c r="C9" s="89" t="s">
        <v>453</v>
      </c>
      <c r="D9" s="89" t="s">
        <v>423</v>
      </c>
      <c r="E9" s="89">
        <v>174</v>
      </c>
      <c r="F9" s="94" t="str" cm="1">
        <f t="array" ref="F9">fn리뷰평가(G9,H9,E9)</f>
        <v>관심</v>
      </c>
      <c r="G9" s="89">
        <v>4</v>
      </c>
      <c r="H9" s="89">
        <v>4</v>
      </c>
      <c r="I9" s="89">
        <v>5</v>
      </c>
      <c r="J9" s="89" t="str" cm="1">
        <f t="array" ref="J9">REPT("★", INT(SUMPRODUCT(G9:I9, TRANSPOSE($M$12:$M$14))))&amp;REPT("☆", 5-INT(SUMPRODUCT(TRANSPOSE(G9:I9), $M$12:$M$14)))</f>
        <v>★★★★☆</v>
      </c>
    </row>
    <row r="10" spans="1:15">
      <c r="A10" s="89" t="s">
        <v>457</v>
      </c>
      <c r="B10" s="89" t="str">
        <f t="shared" si="0"/>
        <v>홍차중형</v>
      </c>
      <c r="C10" s="89" t="s">
        <v>429</v>
      </c>
      <c r="D10" s="89" t="s">
        <v>423</v>
      </c>
      <c r="E10" s="89">
        <v>71</v>
      </c>
      <c r="F10" s="94" t="str" cm="1">
        <f t="array" ref="F10">fn리뷰평가(G10,H10,E10)</f>
        <v/>
      </c>
      <c r="G10" s="89">
        <v>3</v>
      </c>
      <c r="H10" s="89">
        <v>3.5</v>
      </c>
      <c r="I10" s="89">
        <v>2</v>
      </c>
      <c r="J10" s="89" t="str" cm="1">
        <f t="array" ref="J10">REPT("★", INT(SUMPRODUCT(G10:I10, TRANSPOSE($M$12:$M$14))))&amp;REPT("☆", 5-INT(SUMPRODUCT(TRANSPOSE(G10:I10), $M$12:$M$14)))</f>
        <v>★★★☆☆</v>
      </c>
      <c r="L10" s="103" t="s">
        <v>30</v>
      </c>
    </row>
    <row r="11" spans="1:15">
      <c r="A11" s="89" t="s">
        <v>458</v>
      </c>
      <c r="B11" s="89" t="str">
        <f t="shared" si="0"/>
        <v>카모마일중형</v>
      </c>
      <c r="C11" s="89" t="s">
        <v>429</v>
      </c>
      <c r="D11" s="89" t="s">
        <v>423</v>
      </c>
      <c r="E11" s="89">
        <v>54</v>
      </c>
      <c r="F11" s="94" t="str" cm="1">
        <f t="array" ref="F11">fn리뷰평가(G11,H11,E11)</f>
        <v/>
      </c>
      <c r="G11" s="89">
        <v>5</v>
      </c>
      <c r="H11" s="89">
        <v>5</v>
      </c>
      <c r="I11" s="89">
        <v>3</v>
      </c>
      <c r="J11" s="89" t="str" cm="1">
        <f t="array" ref="J11">REPT("★", INT(SUMPRODUCT(G11:I11, TRANSPOSE($M$12:$M$14))))&amp;REPT("☆", 5-INT(SUMPRODUCT(TRANSPOSE(G11:I11), $M$12:$M$14)))</f>
        <v>★★★★☆</v>
      </c>
      <c r="L11" s="44"/>
      <c r="M11" s="44" t="s">
        <v>460</v>
      </c>
      <c r="O11" s="35"/>
    </row>
    <row r="12" spans="1:15">
      <c r="A12" s="89" t="s">
        <v>459</v>
      </c>
      <c r="B12" s="89" t="str">
        <f t="shared" si="0"/>
        <v>페퍼민트중형</v>
      </c>
      <c r="C12" s="89" t="s">
        <v>429</v>
      </c>
      <c r="D12" s="89" t="s">
        <v>423</v>
      </c>
      <c r="E12" s="89">
        <v>75</v>
      </c>
      <c r="F12" s="94" t="str" cm="1">
        <f t="array" ref="F12">fn리뷰평가(G12,H12,E12)</f>
        <v/>
      </c>
      <c r="G12" s="89">
        <v>3</v>
      </c>
      <c r="H12" s="89">
        <v>4</v>
      </c>
      <c r="I12" s="89">
        <v>4</v>
      </c>
      <c r="J12" s="89" t="str" cm="1">
        <f t="array" ref="J12">REPT("★", INT(SUMPRODUCT(G12:I12, TRANSPOSE($M$12:$M$14))))&amp;REPT("☆", 5-INT(SUMPRODUCT(TRANSPOSE(G12:I12), $M$12:$M$14)))</f>
        <v>★★★☆☆</v>
      </c>
      <c r="L12" s="44" t="s">
        <v>418</v>
      </c>
      <c r="M12" s="98">
        <v>0.4</v>
      </c>
    </row>
    <row r="13" spans="1:15">
      <c r="A13" s="89" t="s">
        <v>461</v>
      </c>
      <c r="B13" s="89" t="str">
        <f t="shared" si="0"/>
        <v>루이보스중형</v>
      </c>
      <c r="C13" s="89" t="s">
        <v>422</v>
      </c>
      <c r="D13" s="89" t="s">
        <v>434</v>
      </c>
      <c r="E13" s="89">
        <v>75</v>
      </c>
      <c r="F13" s="94" t="str" cm="1">
        <f t="array" ref="F13">fn리뷰평가(G13,H13,E13)</f>
        <v/>
      </c>
      <c r="G13" s="89">
        <v>4.5</v>
      </c>
      <c r="H13" s="89">
        <v>2.5</v>
      </c>
      <c r="I13" s="89">
        <v>3</v>
      </c>
      <c r="J13" s="89" t="str" cm="1">
        <f t="array" ref="J13">REPT("★", INT(SUMPRODUCT(G13:I13, TRANSPOSE($M$12:$M$14))))&amp;REPT("☆", 5-INT(SUMPRODUCT(TRANSPOSE(G13:I13), $M$12:$M$14)))</f>
        <v>★★★☆☆</v>
      </c>
      <c r="L13" s="44" t="s">
        <v>419</v>
      </c>
      <c r="M13" s="98">
        <v>0.4</v>
      </c>
    </row>
    <row r="14" spans="1:15">
      <c r="A14" s="89" t="s">
        <v>462</v>
      </c>
      <c r="B14" s="89" t="str">
        <f t="shared" si="0"/>
        <v>얼그레이중형</v>
      </c>
      <c r="C14" s="89" t="s">
        <v>429</v>
      </c>
      <c r="D14" s="89" t="s">
        <v>434</v>
      </c>
      <c r="E14" s="89">
        <v>155</v>
      </c>
      <c r="F14" s="94" t="str" cm="1">
        <f t="array" ref="F14">fn리뷰평가(G14,H14,E14)</f>
        <v>관심</v>
      </c>
      <c r="G14" s="89">
        <v>3.5</v>
      </c>
      <c r="H14" s="89">
        <v>4.5</v>
      </c>
      <c r="I14" s="89">
        <v>3</v>
      </c>
      <c r="J14" s="89" t="str" cm="1">
        <f t="array" ref="J14">REPT("★", INT(SUMPRODUCT(G14:I14, TRANSPOSE($M$12:$M$14))))&amp;REPT("☆", 5-INT(SUMPRODUCT(TRANSPOSE(G14:I14), $M$12:$M$14)))</f>
        <v>★★★☆☆</v>
      </c>
      <c r="L14" s="44" t="s">
        <v>420</v>
      </c>
      <c r="M14" s="98">
        <v>0.2</v>
      </c>
    </row>
    <row r="15" spans="1:15">
      <c r="A15" s="89" t="s">
        <v>463</v>
      </c>
      <c r="B15" s="89" t="str">
        <f t="shared" si="0"/>
        <v>녹차대형</v>
      </c>
      <c r="C15" s="89" t="s">
        <v>429</v>
      </c>
      <c r="D15" s="89" t="s">
        <v>423</v>
      </c>
      <c r="E15" s="89">
        <v>129</v>
      </c>
      <c r="F15" s="94" t="str" cm="1">
        <f t="array" ref="F15">fn리뷰평가(G15,H15,E15)</f>
        <v>관심</v>
      </c>
      <c r="G15" s="89">
        <v>4</v>
      </c>
      <c r="H15" s="89">
        <v>3</v>
      </c>
      <c r="I15" s="89">
        <v>4</v>
      </c>
      <c r="J15" s="89" t="str" cm="1">
        <f t="array" ref="J15">REPT("★", INT(SUMPRODUCT(TRANSPOSE(G15:I15), $M$12:$M$14)))&amp;REPT("☆", 5-INT(SUMPRODUCT(TRANSPOSE(G15:I15), $M$12:$M$14)))</f>
        <v>★★★☆☆</v>
      </c>
    </row>
    <row r="16" spans="1:15">
      <c r="A16" s="89" t="s">
        <v>464</v>
      </c>
      <c r="B16" s="89" t="str">
        <f t="shared" si="0"/>
        <v>홍차대형</v>
      </c>
      <c r="C16" s="89" t="s">
        <v>422</v>
      </c>
      <c r="D16" s="89" t="s">
        <v>434</v>
      </c>
      <c r="E16" s="89">
        <v>114</v>
      </c>
      <c r="F16" s="94" t="str" cm="1">
        <f t="array" ref="F16">fn리뷰평가(G16,H16,E16)</f>
        <v>관심</v>
      </c>
      <c r="G16" s="89">
        <v>3</v>
      </c>
      <c r="H16" s="89">
        <v>3</v>
      </c>
      <c r="I16" s="89">
        <v>4.5</v>
      </c>
      <c r="J16" s="89" t="str" cm="1">
        <f t="array" ref="J16">REPT("★", INT(SUMPRODUCT(TRANSPOSE(G16:I16), $M$12:$M$14)))&amp;REPT("☆", 5-INT(SUMPRODUCT(TRANSPOSE(G16:I16), $M$12:$M$14)))</f>
        <v>★★★☆☆</v>
      </c>
      <c r="L16" s="103" t="s">
        <v>31</v>
      </c>
    </row>
    <row r="17" spans="1:14">
      <c r="A17" s="89" t="s">
        <v>465</v>
      </c>
      <c r="B17" s="89" t="str">
        <f t="shared" si="0"/>
        <v>카모마일대형</v>
      </c>
      <c r="C17" s="89" t="s">
        <v>429</v>
      </c>
      <c r="D17" s="89" t="s">
        <v>423</v>
      </c>
      <c r="E17" s="89">
        <v>198</v>
      </c>
      <c r="F17" s="94" t="str" cm="1">
        <f t="array" ref="F17">fn리뷰평가(G17,H17,E17)</f>
        <v>관심</v>
      </c>
      <c r="G17" s="89">
        <v>4.5</v>
      </c>
      <c r="H17" s="89">
        <v>3</v>
      </c>
      <c r="I17" s="89">
        <v>5</v>
      </c>
      <c r="J17" s="89" t="str" cm="1">
        <f t="array" ref="J17">REPT("★", INT(SUMPRODUCT(TRANSPOSE(G17:I17), $M$12:$M$14)))&amp;REPT("☆", 5-INT(SUMPRODUCT(TRANSPOSE(G17:I17), $M$12:$M$14)))</f>
        <v>★★★★☆</v>
      </c>
      <c r="L17" s="119" t="s">
        <v>467</v>
      </c>
      <c r="M17" s="119"/>
      <c r="N17" s="104" t="s">
        <v>477</v>
      </c>
    </row>
    <row r="18" spans="1:14">
      <c r="A18" s="89" t="s">
        <v>466</v>
      </c>
      <c r="B18" s="89" t="str">
        <f t="shared" si="0"/>
        <v>페퍼민트대형</v>
      </c>
      <c r="C18" s="89" t="s">
        <v>429</v>
      </c>
      <c r="D18" s="89" t="s">
        <v>434</v>
      </c>
      <c r="E18" s="89">
        <v>85</v>
      </c>
      <c r="F18" s="94" t="str" cm="1">
        <f t="array" ref="F18">fn리뷰평가(G18,H18,E18)</f>
        <v/>
      </c>
      <c r="G18" s="89">
        <v>4</v>
      </c>
      <c r="H18" s="89">
        <v>4</v>
      </c>
      <c r="I18" s="89">
        <v>2</v>
      </c>
      <c r="J18" s="89" t="str" cm="1">
        <f t="array" ref="J18">REPT("★", INT(SUMPRODUCT(TRANSPOSE(G18:I18), $M$12:$M$14)))&amp;REPT("☆", 5-INT(SUMPRODUCT(TRANSPOSE(G18:I18), $M$12:$M$14)))</f>
        <v>★★★☆☆</v>
      </c>
      <c r="L18" s="99">
        <v>0</v>
      </c>
      <c r="M18" s="100">
        <v>59</v>
      </c>
      <c r="N18" s="17" t="str">
        <f t="array" ref="N18:N22">REPT("♥",FREQUENCY(IF((RIGHT($A$3:$A$27,1)="S")+(RIGHT($A$3:$A$27,1)="M"),$E$3:$E$27),$M$18:$M$22))</f>
        <v>♥</v>
      </c>
    </row>
    <row r="19" spans="1:14">
      <c r="A19" s="89" t="s">
        <v>468</v>
      </c>
      <c r="B19" s="89" t="str">
        <f t="shared" si="0"/>
        <v>루이보스대형</v>
      </c>
      <c r="C19" s="89" t="s">
        <v>422</v>
      </c>
      <c r="D19" s="89" t="s">
        <v>434</v>
      </c>
      <c r="E19" s="89">
        <v>60</v>
      </c>
      <c r="F19" s="94" t="str" cm="1">
        <f t="array" ref="F19">fn리뷰평가(G19,H19,E19)</f>
        <v/>
      </c>
      <c r="G19" s="89">
        <v>3.5</v>
      </c>
      <c r="H19" s="89">
        <v>3</v>
      </c>
      <c r="I19" s="89">
        <v>4</v>
      </c>
      <c r="J19" s="89" t="str" cm="1">
        <f t="array" ref="J19">REPT("★", INT(SUMPRODUCT(TRANSPOSE(G19:I19), $M$12:$M$14)))&amp;REPT("☆", 5-INT(SUMPRODUCT(TRANSPOSE(G19:I19), $M$12:$M$14)))</f>
        <v>★★★☆☆</v>
      </c>
      <c r="L19" s="101">
        <v>60</v>
      </c>
      <c r="M19" s="100">
        <v>79</v>
      </c>
      <c r="N19" s="17" t="str">
        <v>♥♥♥♥♥♥</v>
      </c>
    </row>
    <row r="20" spans="1:14">
      <c r="A20" s="89" t="s">
        <v>469</v>
      </c>
      <c r="B20" s="89" t="str">
        <f t="shared" si="0"/>
        <v>얼그레이대형</v>
      </c>
      <c r="C20" s="89" t="s">
        <v>429</v>
      </c>
      <c r="D20" s="89" t="s">
        <v>434</v>
      </c>
      <c r="E20" s="89">
        <v>62</v>
      </c>
      <c r="F20" s="94" t="str" cm="1">
        <f t="array" ref="F20">fn리뷰평가(G20,H20,E20)</f>
        <v/>
      </c>
      <c r="G20" s="89">
        <v>3.5</v>
      </c>
      <c r="H20" s="89">
        <v>3</v>
      </c>
      <c r="I20" s="89">
        <v>3</v>
      </c>
      <c r="J20" s="89" t="str" cm="1">
        <f t="array" ref="J20">REPT("★", INT(SUMPRODUCT(TRANSPOSE(G20:I20), $M$12:$M$14)))&amp;REPT("☆", 5-INT(SUMPRODUCT(TRANSPOSE(G20:I20), $M$12:$M$14)))</f>
        <v>★★★☆☆</v>
      </c>
      <c r="L20" s="101">
        <v>80</v>
      </c>
      <c r="M20" s="100">
        <v>99</v>
      </c>
      <c r="N20" s="17" t="str">
        <v>♥♥♥</v>
      </c>
    </row>
    <row r="21" spans="1:14">
      <c r="A21" s="89" t="s">
        <v>470</v>
      </c>
      <c r="B21" s="89" t="str">
        <f t="shared" si="0"/>
        <v>녹차대형</v>
      </c>
      <c r="C21" s="89" t="s">
        <v>422</v>
      </c>
      <c r="D21" s="89" t="s">
        <v>423</v>
      </c>
      <c r="E21" s="89">
        <v>104</v>
      </c>
      <c r="F21" s="94" t="str" cm="1">
        <f t="array" ref="F21">fn리뷰평가(G21,H21,E21)</f>
        <v>관심</v>
      </c>
      <c r="G21" s="89">
        <v>4</v>
      </c>
      <c r="H21" s="89">
        <v>4</v>
      </c>
      <c r="I21" s="89">
        <v>3</v>
      </c>
      <c r="J21" s="89" t="str" cm="1">
        <f t="array" ref="J21">REPT("★", INT(SUMPRODUCT(TRANSPOSE(G21:I21), $M$12:$M$14)))&amp;REPT("☆", 5-INT(SUMPRODUCT(TRANSPOSE(G21:I21), $M$12:$M$14)))</f>
        <v>★★★☆☆</v>
      </c>
      <c r="L21" s="101">
        <v>100</v>
      </c>
      <c r="M21" s="100">
        <v>149</v>
      </c>
      <c r="N21" s="17" t="str">
        <v>♥♥</v>
      </c>
    </row>
    <row r="22" spans="1:14">
      <c r="A22" s="89" t="s">
        <v>471</v>
      </c>
      <c r="B22" s="89" t="str">
        <f t="shared" si="0"/>
        <v>홍차중형</v>
      </c>
      <c r="C22" s="89" t="s">
        <v>429</v>
      </c>
      <c r="D22" s="89" t="s">
        <v>423</v>
      </c>
      <c r="E22" s="89">
        <v>197</v>
      </c>
      <c r="F22" s="94" t="str" cm="1">
        <f t="array" ref="F22">fn리뷰평가(G22,H22,E22)</f>
        <v>관심</v>
      </c>
      <c r="G22" s="89">
        <v>5</v>
      </c>
      <c r="H22" s="89">
        <v>3</v>
      </c>
      <c r="I22" s="89">
        <v>2.5</v>
      </c>
      <c r="J22" s="89" t="str" cm="1">
        <f t="array" ref="J22">REPT("★", INT(SUMPRODUCT(TRANSPOSE(G22:I22), $M$12:$M$14)))&amp;REPT("☆", 5-INT(SUMPRODUCT(TRANSPOSE(G22:I22), $M$12:$M$14)))</f>
        <v>★★★☆☆</v>
      </c>
      <c r="L22" s="101">
        <v>150</v>
      </c>
      <c r="M22" s="17"/>
      <c r="N22" s="17" t="str">
        <v>♥♥♥♥</v>
      </c>
    </row>
    <row r="23" spans="1:14">
      <c r="A23" s="89" t="s">
        <v>472</v>
      </c>
      <c r="B23" s="89" t="str">
        <f t="shared" si="0"/>
        <v>카모마일소형</v>
      </c>
      <c r="C23" s="89" t="s">
        <v>422</v>
      </c>
      <c r="D23" s="89" t="s">
        <v>434</v>
      </c>
      <c r="E23" s="89">
        <v>81</v>
      </c>
      <c r="F23" s="94" t="str" cm="1">
        <f t="array" ref="F23">fn리뷰평가(G23,H23,E23)</f>
        <v/>
      </c>
      <c r="G23" s="89">
        <v>3.5</v>
      </c>
      <c r="H23" s="89">
        <v>3</v>
      </c>
      <c r="I23" s="89">
        <v>5</v>
      </c>
      <c r="J23" s="89" t="str" cm="1">
        <f t="array" ref="J23">REPT("★", INT(SUMPRODUCT(TRANSPOSE(G23:I23), $M$12:$M$14)))&amp;REPT("☆", 5-INT(SUMPRODUCT(TRANSPOSE(G23:I23), $M$12:$M$14)))</f>
        <v>★★★☆☆</v>
      </c>
    </row>
    <row r="24" spans="1:14">
      <c r="A24" s="89" t="s">
        <v>473</v>
      </c>
      <c r="B24" s="89" t="str">
        <f t="shared" si="0"/>
        <v>페퍼민트중형</v>
      </c>
      <c r="C24" s="89" t="s">
        <v>429</v>
      </c>
      <c r="D24" s="89" t="s">
        <v>423</v>
      </c>
      <c r="E24" s="89">
        <v>171</v>
      </c>
      <c r="F24" s="94" t="str" cm="1">
        <f t="array" ref="F24">fn리뷰평가(G24,H24,E24)</f>
        <v>관심</v>
      </c>
      <c r="G24" s="89">
        <v>3.5</v>
      </c>
      <c r="H24" s="89">
        <v>4</v>
      </c>
      <c r="I24" s="89">
        <v>4</v>
      </c>
      <c r="J24" s="89" t="str" cm="1">
        <f t="array" ref="J24">REPT("★", INT(SUMPRODUCT(TRANSPOSE(G24:I24), $M$12:$M$14)))&amp;REPT("☆", 5-INT(SUMPRODUCT(TRANSPOSE(G24:I24), $M$12:$M$14)))</f>
        <v>★★★☆☆</v>
      </c>
      <c r="L24" s="66" t="s">
        <v>32</v>
      </c>
    </row>
    <row r="25" spans="1:14">
      <c r="A25" s="89" t="s">
        <v>474</v>
      </c>
      <c r="B25" s="89" t="str">
        <f t="shared" si="0"/>
        <v>루이보스대형</v>
      </c>
      <c r="C25" s="89" t="s">
        <v>422</v>
      </c>
      <c r="D25" s="89" t="s">
        <v>434</v>
      </c>
      <c r="E25" s="89">
        <v>103</v>
      </c>
      <c r="F25" s="94" t="str" cm="1">
        <f t="array" ref="F25">fn리뷰평가(G25,H25,E25)</f>
        <v>관심</v>
      </c>
      <c r="G25" s="89">
        <v>4</v>
      </c>
      <c r="H25" s="89">
        <v>3</v>
      </c>
      <c r="I25" s="89">
        <v>2</v>
      </c>
      <c r="J25" s="89" t="str" cm="1">
        <f t="array" ref="J25">REPT("★", INT(SUMPRODUCT(TRANSPOSE(G25:I25), $M$12:$M$14)))&amp;REPT("☆", 5-INT(SUMPRODUCT(TRANSPOSE(G25:I25), $M$12:$M$14)))</f>
        <v>★★★☆☆</v>
      </c>
      <c r="L25" s="89" t="s">
        <v>415</v>
      </c>
      <c r="M25" s="104" t="s">
        <v>423</v>
      </c>
      <c r="N25" s="104" t="s">
        <v>434</v>
      </c>
    </row>
    <row r="26" spans="1:14">
      <c r="A26" s="89" t="s">
        <v>475</v>
      </c>
      <c r="B26" s="89" t="str">
        <f t="shared" si="0"/>
        <v>얼그레이소형</v>
      </c>
      <c r="C26" s="89" t="s">
        <v>422</v>
      </c>
      <c r="D26" s="89" t="s">
        <v>423</v>
      </c>
      <c r="E26" s="89">
        <v>77</v>
      </c>
      <c r="F26" s="94" t="str" cm="1">
        <f t="array" ref="F26">fn리뷰평가(G26,H26,E26)</f>
        <v/>
      </c>
      <c r="G26" s="89">
        <v>3.5</v>
      </c>
      <c r="H26" s="89">
        <v>3</v>
      </c>
      <c r="I26" s="89">
        <v>5</v>
      </c>
      <c r="J26" s="89" t="str" cm="1">
        <f t="array" ref="J26">REPT("★", INT(SUMPRODUCT(TRANSPOSE(G26:I26), $M$12:$M$14)))&amp;REPT("☆", 5-INT(SUMPRODUCT(TRANSPOSE(G26:I26), $M$12:$M$14)))</f>
        <v>★★★☆☆</v>
      </c>
      <c r="L26" s="104" t="s">
        <v>422</v>
      </c>
      <c r="M26" s="89" t="str" cm="1">
        <f t="array" ref="M26">_xlfn.CONCAT(SUM(IF(($C$3:$C$27=$L26)*($D$3:$D$27=M$25),1)),"/",COUNTA($C$3:$C$27))</f>
        <v>3/25</v>
      </c>
      <c r="N26" s="115" t="str" cm="1">
        <f t="array" ref="N26">_xlfn.CONCAT(SUM(IF(($C$3:$C$27=$L26)*($D$3:$D$27=N$25),1)),"/",COUNTA($C$3:$C$27))</f>
        <v>7/25</v>
      </c>
    </row>
    <row r="27" spans="1:14">
      <c r="A27" s="89" t="s">
        <v>478</v>
      </c>
      <c r="B27" s="89" t="str">
        <f t="shared" si="0"/>
        <v>카모마일대형</v>
      </c>
      <c r="C27" s="89" t="s">
        <v>429</v>
      </c>
      <c r="D27" s="89" t="s">
        <v>434</v>
      </c>
      <c r="E27" s="89">
        <v>50</v>
      </c>
      <c r="F27" s="94" t="str" cm="1">
        <f t="array" ref="F27">fn리뷰평가(G27,H27,E27)</f>
        <v/>
      </c>
      <c r="G27" s="89">
        <v>3.5</v>
      </c>
      <c r="H27" s="89">
        <v>4.5</v>
      </c>
      <c r="I27" s="89">
        <v>2.5</v>
      </c>
      <c r="J27" s="89" t="str" cm="1">
        <f t="array" ref="J27">REPT("★", INT(SUMPRODUCT(TRANSPOSE(G27:I27), $M$12:$M$14)))&amp;REPT("☆", 5-INT(SUMPRODUCT(TRANSPOSE(G27:I27), $M$12:$M$14)))</f>
        <v>★★★☆☆</v>
      </c>
      <c r="L27" s="104" t="s">
        <v>429</v>
      </c>
      <c r="M27" s="115" t="str" cm="1">
        <f t="array" ref="M27">_xlfn.CONCAT(SUM(IF(($C$3:$C$27=$L27)*($D$3:$D$27=M$25),1)),"/",COUNTA($C$3:$C$27))</f>
        <v>9/25</v>
      </c>
      <c r="N27" s="115" t="str" cm="1">
        <f t="array" ref="N27">_xlfn.CONCAT(SUM(IF(($C$3:$C$27=$L27)*($D$3:$D$27=N$25),1)),"/",COUNTA($C$3:$C$27))</f>
        <v>5/25</v>
      </c>
    </row>
    <row r="28" spans="1:14">
      <c r="C28" s="29"/>
      <c r="D28" s="102"/>
    </row>
  </sheetData>
  <mergeCells count="1">
    <mergeCell ref="L17:M17"/>
  </mergeCells>
  <phoneticPr fontId="2" type="noConversion"/>
  <pageMargins left="0.7" right="0.7" top="0.75" bottom="0.75" header="0.3" footer="0.3"/>
  <pageSetup paperSize="9" orientation="portrait" r:id="rId1"/>
  <ignoredErrors>
    <ignoredError sqref="J4:J27" formulaRange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G23"/>
  <sheetViews>
    <sheetView workbookViewId="0"/>
  </sheetViews>
  <sheetFormatPr defaultRowHeight="16.5"/>
  <cols>
    <col min="1" max="1" width="11.625" bestFit="1" customWidth="1"/>
    <col min="2" max="2" width="10.375" bestFit="1" customWidth="1"/>
    <col min="3" max="3" width="12.25" style="66" customWidth="1"/>
    <col min="4" max="4" width="18" style="66" bestFit="1" customWidth="1"/>
    <col min="5" max="5" width="12.375" bestFit="1" customWidth="1"/>
    <col min="6" max="6" width="12.375" style="66" customWidth="1"/>
  </cols>
  <sheetData>
    <row r="1" spans="1:7">
      <c r="A1" t="s">
        <v>245</v>
      </c>
    </row>
    <row r="2" spans="1:7">
      <c r="A2" s="65" t="s">
        <v>246</v>
      </c>
      <c r="B2" s="15" t="s">
        <v>259</v>
      </c>
      <c r="C2" s="65" t="s">
        <v>260</v>
      </c>
      <c r="D2" s="65" t="s">
        <v>264</v>
      </c>
      <c r="E2" s="15" t="s">
        <v>261</v>
      </c>
      <c r="F2" s="15" t="s">
        <v>278</v>
      </c>
      <c r="G2" s="15" t="s">
        <v>276</v>
      </c>
    </row>
    <row r="3" spans="1:7">
      <c r="A3" s="65" t="s">
        <v>277</v>
      </c>
      <c r="B3" s="65" t="str" cm="1">
        <f t="array" ref="B3">fn회사명(A3)</f>
        <v>롯데제과</v>
      </c>
      <c r="C3" s="65" t="s">
        <v>248</v>
      </c>
      <c r="D3" s="67">
        <v>33387</v>
      </c>
      <c r="E3" s="65" t="str">
        <f>IF(OR(MID(A3,4,2)="BG",MID(A3,4,2)="HT"),REPLACE(A3,4,2,"BH"),A3)</f>
        <v>IC-LJ101-1</v>
      </c>
      <c r="F3" s="65" t="str" cm="1">
        <f t="array" ref="F3">_xlfn.IFS(VALUE(RIGHT(A3,1))=1,"대구",VALUE(RIGHT(A3,1))=2,"논산",VALUE(RIGHT(A3,1))=3,"양산",VALUE(RIGHT(A3,1))=4,"천안")</f>
        <v>대구</v>
      </c>
      <c r="G3" s="65" t="str">
        <f>IF(D3&gt;=AVERAGE($D$3:$D$16),"★Top"&amp;_xlfn.RANK.EQ(D3,$D$3:$D$16),"")</f>
        <v>★Top2</v>
      </c>
    </row>
    <row r="4" spans="1:7">
      <c r="A4" s="65" t="s">
        <v>296</v>
      </c>
      <c r="B4" s="83" t="str" cm="1">
        <f t="array" ref="B4">fn회사명(A4)</f>
        <v>롯데푸드</v>
      </c>
      <c r="C4" s="65" t="s">
        <v>254</v>
      </c>
      <c r="D4" s="67">
        <v>20021</v>
      </c>
      <c r="E4" s="65" t="str">
        <f t="shared" ref="E4:E16" si="0">IF(OR(MID(A4,4,2)="BG",MID(A4,4,2)="HT"),REPLACE(A4,4,2,"BH"),A4)</f>
        <v>IC-LF203-4</v>
      </c>
      <c r="F4" s="86" t="str" cm="1">
        <f t="array" ref="F4">_xlfn.IFS(VALUE(RIGHT(A4,1))=1,"대구",VALUE(RIGHT(A4,1))=2,"논산",VALUE(RIGHT(A4,1))=3,"양산",VALUE(RIGHT(A4,1))=4,"천안")</f>
        <v>천안</v>
      </c>
      <c r="G4" s="84" t="str">
        <f t="shared" ref="G4:G16" si="1">IF(D4&gt;=AVERAGE($D$3:$D$16),"★Top"&amp;_xlfn.RANK.EQ(D4,$D$3:$D$16),"")</f>
        <v/>
      </c>
    </row>
    <row r="5" spans="1:7">
      <c r="A5" s="65" t="s">
        <v>287</v>
      </c>
      <c r="B5" s="83" t="str" cm="1">
        <f t="array" ref="B5">fn회사명(A5)</f>
        <v>빙그레</v>
      </c>
      <c r="C5" s="65" t="s">
        <v>255</v>
      </c>
      <c r="D5" s="67">
        <v>18785</v>
      </c>
      <c r="E5" s="65" t="str">
        <f t="shared" si="0"/>
        <v>IC-BH404-2</v>
      </c>
      <c r="F5" s="86" t="str" cm="1">
        <f t="array" ref="F5">_xlfn.IFS(VALUE(RIGHT(A5,1))=1,"대구",VALUE(RIGHT(A5,1))=2,"논산",VALUE(RIGHT(A5,1))=3,"양산",VALUE(RIGHT(A5,1))=4,"천안")</f>
        <v>논산</v>
      </c>
      <c r="G5" s="84" t="str">
        <f t="shared" si="1"/>
        <v/>
      </c>
    </row>
    <row r="6" spans="1:7">
      <c r="A6" s="65" t="s">
        <v>291</v>
      </c>
      <c r="B6" s="83" t="str" cm="1">
        <f t="array" ref="B6">fn회사명(A6)</f>
        <v>빙그레</v>
      </c>
      <c r="C6" s="65" t="s">
        <v>250</v>
      </c>
      <c r="D6" s="67">
        <v>32905</v>
      </c>
      <c r="E6" s="65" t="str">
        <f t="shared" si="0"/>
        <v>IC-BH403-2</v>
      </c>
      <c r="F6" s="86" t="str" cm="1">
        <f t="array" ref="F6">_xlfn.IFS(VALUE(RIGHT(A6,1))=1,"대구",VALUE(RIGHT(A6,1))=2,"논산",VALUE(RIGHT(A6,1))=3,"양산",VALUE(RIGHT(A6,1))=4,"천안")</f>
        <v>논산</v>
      </c>
      <c r="G6" s="84" t="str">
        <f t="shared" si="1"/>
        <v>★Top4</v>
      </c>
    </row>
    <row r="7" spans="1:7">
      <c r="A7" s="65" t="s">
        <v>293</v>
      </c>
      <c r="B7" s="83" t="str" cm="1">
        <f t="array" ref="B7">fn회사명(A7)</f>
        <v>롯데제과</v>
      </c>
      <c r="C7" s="65" t="s">
        <v>256</v>
      </c>
      <c r="D7" s="67">
        <v>15714</v>
      </c>
      <c r="E7" s="65" t="str">
        <f t="shared" si="0"/>
        <v>IC-LJ102-3</v>
      </c>
      <c r="F7" s="86" t="str" cm="1">
        <f t="array" ref="F7">_xlfn.IFS(VALUE(RIGHT(A7,1))=1,"대구",VALUE(RIGHT(A7,1))=2,"논산",VALUE(RIGHT(A7,1))=3,"양산",VALUE(RIGHT(A7,1))=4,"천안")</f>
        <v>양산</v>
      </c>
      <c r="G7" s="84" t="str">
        <f t="shared" si="1"/>
        <v/>
      </c>
    </row>
    <row r="8" spans="1:7">
      <c r="A8" s="65" t="s">
        <v>283</v>
      </c>
      <c r="B8" s="83" t="str" cm="1">
        <f t="array" ref="B8">fn회사명(A8)</f>
        <v>해태제과</v>
      </c>
      <c r="C8" s="65" t="s">
        <v>263</v>
      </c>
      <c r="D8" s="67">
        <v>22800</v>
      </c>
      <c r="E8" s="65" t="str">
        <f t="shared" si="0"/>
        <v>IC-BH301-1</v>
      </c>
      <c r="F8" s="86" t="str" cm="1">
        <f t="array" ref="F8">_xlfn.IFS(VALUE(RIGHT(A8,1))=1,"대구",VALUE(RIGHT(A8,1))=2,"논산",VALUE(RIGHT(A8,1))=3,"양산",VALUE(RIGHT(A8,1))=4,"천안")</f>
        <v>대구</v>
      </c>
      <c r="G8" s="84" t="str">
        <f t="shared" si="1"/>
        <v/>
      </c>
    </row>
    <row r="9" spans="1:7">
      <c r="A9" s="65" t="s">
        <v>288</v>
      </c>
      <c r="B9" s="83" t="str" cm="1">
        <f t="array" ref="B9">fn회사명(A9)</f>
        <v>빙그레</v>
      </c>
      <c r="C9" s="65" t="s">
        <v>249</v>
      </c>
      <c r="D9" s="67">
        <v>32908</v>
      </c>
      <c r="E9" s="65" t="str">
        <f t="shared" si="0"/>
        <v>IC-BH402-2</v>
      </c>
      <c r="F9" s="86" t="str" cm="1">
        <f t="array" ref="F9">_xlfn.IFS(VALUE(RIGHT(A9,1))=1,"대구",VALUE(RIGHT(A9,1))=2,"논산",VALUE(RIGHT(A9,1))=3,"양산",VALUE(RIGHT(A9,1))=4,"천안")</f>
        <v>논산</v>
      </c>
      <c r="G9" s="84" t="str">
        <f t="shared" si="1"/>
        <v>★Top3</v>
      </c>
    </row>
    <row r="10" spans="1:7">
      <c r="A10" s="65" t="s">
        <v>284</v>
      </c>
      <c r="B10" s="83" t="str" cm="1">
        <f t="array" ref="B10">fn회사명(A10)</f>
        <v>해태제과</v>
      </c>
      <c r="C10" s="65" t="s">
        <v>253</v>
      </c>
      <c r="D10" s="67">
        <v>20366</v>
      </c>
      <c r="E10" s="65" t="str">
        <f t="shared" si="0"/>
        <v>IC-BH302-1</v>
      </c>
      <c r="F10" s="86" t="str" cm="1">
        <f t="array" ref="F10">_xlfn.IFS(VALUE(RIGHT(A10,1))=1,"대구",VALUE(RIGHT(A10,1))=2,"논산",VALUE(RIGHT(A10,1))=3,"양산",VALUE(RIGHT(A10,1))=4,"천안")</f>
        <v>대구</v>
      </c>
      <c r="G10" s="84" t="str">
        <f t="shared" si="1"/>
        <v/>
      </c>
    </row>
    <row r="11" spans="1:7">
      <c r="A11" s="65" t="s">
        <v>298</v>
      </c>
      <c r="B11" s="83" t="str" cm="1">
        <f t="array" ref="B11">fn회사명(A11)</f>
        <v>롯데푸드</v>
      </c>
      <c r="C11" s="65" t="s">
        <v>252</v>
      </c>
      <c r="D11" s="67">
        <v>22093</v>
      </c>
      <c r="E11" s="65" t="str">
        <f t="shared" si="0"/>
        <v>IC-LF202-4</v>
      </c>
      <c r="F11" s="86" t="str" cm="1">
        <f t="array" ref="F11">_xlfn.IFS(VALUE(RIGHT(A11,1))=1,"대구",VALUE(RIGHT(A11,1))=2,"논산",VALUE(RIGHT(A11,1))=3,"양산",VALUE(RIGHT(A11,1))=4,"천안")</f>
        <v>천안</v>
      </c>
      <c r="G11" s="84" t="str">
        <f t="shared" si="1"/>
        <v/>
      </c>
    </row>
    <row r="12" spans="1:7">
      <c r="A12" s="65" t="s">
        <v>294</v>
      </c>
      <c r="B12" s="83" t="str" cm="1">
        <f t="array" ref="B12">fn회사명(A12)</f>
        <v>롯데제과</v>
      </c>
      <c r="C12" s="65" t="s">
        <v>257</v>
      </c>
      <c r="D12" s="67">
        <v>14772</v>
      </c>
      <c r="E12" s="65" t="str">
        <f t="shared" si="0"/>
        <v>IC-LJ103-3</v>
      </c>
      <c r="F12" s="86" t="str" cm="1">
        <f t="array" ref="F12">_xlfn.IFS(VALUE(RIGHT(A12,1))=1,"대구",VALUE(RIGHT(A12,1))=2,"논산",VALUE(RIGHT(A12,1))=3,"양산",VALUE(RIGHT(A12,1))=4,"천안")</f>
        <v>양산</v>
      </c>
      <c r="G12" s="84" t="str">
        <f t="shared" si="1"/>
        <v/>
      </c>
    </row>
    <row r="13" spans="1:7">
      <c r="A13" s="65" t="s">
        <v>289</v>
      </c>
      <c r="B13" s="83" t="str" cm="1">
        <f t="array" ref="B13">fn회사명(A13)</f>
        <v>빙그레</v>
      </c>
      <c r="C13" s="65" t="s">
        <v>247</v>
      </c>
      <c r="D13" s="67">
        <v>36466</v>
      </c>
      <c r="E13" s="65" t="str">
        <f t="shared" si="0"/>
        <v>IC-BH401-2</v>
      </c>
      <c r="F13" s="86" t="str" cm="1">
        <f t="array" ref="F13">_xlfn.IFS(VALUE(RIGHT(A13,1))=1,"대구",VALUE(RIGHT(A13,1))=2,"논산",VALUE(RIGHT(A13,1))=3,"양산",VALUE(RIGHT(A13,1))=4,"천안")</f>
        <v>논산</v>
      </c>
      <c r="G13" s="84" t="str">
        <f t="shared" si="1"/>
        <v>★Top1</v>
      </c>
    </row>
    <row r="14" spans="1:7">
      <c r="A14" s="65" t="s">
        <v>290</v>
      </c>
      <c r="B14" s="83" t="str" cm="1">
        <f t="array" ref="B14">fn회사명(A14)</f>
        <v>빙그레</v>
      </c>
      <c r="C14" s="65" t="s">
        <v>258</v>
      </c>
      <c r="D14" s="67">
        <v>13921</v>
      </c>
      <c r="E14" s="65" t="str">
        <f t="shared" si="0"/>
        <v>IC-BH405-2</v>
      </c>
      <c r="F14" s="86" t="str" cm="1">
        <f t="array" ref="F14">_xlfn.IFS(VALUE(RIGHT(A14,1))=1,"대구",VALUE(RIGHT(A14,1))=2,"논산",VALUE(RIGHT(A14,1))=3,"양산",VALUE(RIGHT(A14,1))=4,"천안")</f>
        <v>논산</v>
      </c>
      <c r="G14" s="84" t="str">
        <f t="shared" si="1"/>
        <v/>
      </c>
    </row>
    <row r="15" spans="1:7">
      <c r="A15" s="65" t="s">
        <v>297</v>
      </c>
      <c r="B15" s="83" t="str" cm="1">
        <f t="array" ref="B15">fn회사명(A15)</f>
        <v>롯데푸드</v>
      </c>
      <c r="C15" s="65" t="s">
        <v>251</v>
      </c>
      <c r="D15" s="67">
        <v>27905</v>
      </c>
      <c r="E15" s="65" t="str">
        <f t="shared" si="0"/>
        <v>IC-LF201-4</v>
      </c>
      <c r="F15" s="86" t="str" cm="1">
        <f t="array" ref="F15">_xlfn.IFS(VALUE(RIGHT(A15,1))=1,"대구",VALUE(RIGHT(A15,1))=2,"논산",VALUE(RIGHT(A15,1))=3,"양산",VALUE(RIGHT(A15,1))=4,"천안")</f>
        <v>천안</v>
      </c>
      <c r="G15" s="84" t="str">
        <f t="shared" si="1"/>
        <v>★Top5</v>
      </c>
    </row>
    <row r="16" spans="1:7">
      <c r="A16" s="65" t="s">
        <v>285</v>
      </c>
      <c r="B16" s="83" t="str" cm="1">
        <f t="array" ref="B16">fn회사명(A16)</f>
        <v>해태제과</v>
      </c>
      <c r="C16" s="65" t="s">
        <v>262</v>
      </c>
      <c r="D16" s="67">
        <v>12649</v>
      </c>
      <c r="E16" s="65" t="str">
        <f t="shared" si="0"/>
        <v>IC-BH303-1</v>
      </c>
      <c r="F16" s="86" t="str" cm="1">
        <f t="array" ref="F16">_xlfn.IFS(VALUE(RIGHT(A16,1))=1,"대구",VALUE(RIGHT(A16,1))=2,"논산",VALUE(RIGHT(A16,1))=3,"양산",VALUE(RIGHT(A16,1))=4,"천안")</f>
        <v>대구</v>
      </c>
      <c r="G16" s="84" t="str">
        <f t="shared" si="1"/>
        <v/>
      </c>
    </row>
    <row r="18" spans="1:7" s="66" customFormat="1">
      <c r="A18" s="24" t="s">
        <v>275</v>
      </c>
      <c r="F18" s="24" t="s">
        <v>279</v>
      </c>
      <c r="G18"/>
    </row>
    <row r="19" spans="1:7">
      <c r="A19" s="65" t="s">
        <v>265</v>
      </c>
      <c r="B19" s="65" t="s">
        <v>268</v>
      </c>
      <c r="C19" s="64" t="s">
        <v>269</v>
      </c>
      <c r="D19" s="15" t="s">
        <v>274</v>
      </c>
      <c r="F19" s="65" t="s">
        <v>280</v>
      </c>
      <c r="G19" s="65" t="s">
        <v>281</v>
      </c>
    </row>
    <row r="20" spans="1:7">
      <c r="A20" s="17" t="s">
        <v>267</v>
      </c>
      <c r="B20" s="65" t="s">
        <v>270</v>
      </c>
      <c r="C20" s="64" t="s">
        <v>271</v>
      </c>
      <c r="D20" s="65" t="str">
        <f t="array" ref="D20">TEXT(SUM(IF((MID($A$3:$A$16,4,2)=B20)+(MID($A$3:$A$16,4,2)=C20),$D$3:$D$16)),"#,##0백만원")</f>
        <v>190,800백만원</v>
      </c>
      <c r="F20" s="65">
        <v>1</v>
      </c>
      <c r="G20" s="65" t="s">
        <v>282</v>
      </c>
    </row>
    <row r="21" spans="1:7">
      <c r="A21" s="17" t="s">
        <v>266</v>
      </c>
      <c r="B21" s="65" t="s">
        <v>272</v>
      </c>
      <c r="C21" s="64" t="s">
        <v>273</v>
      </c>
      <c r="D21" s="65" t="str">
        <f t="array" ref="D21">TEXT(SUM(IF((MID($A$3:$A$16,4,2)=B21)+(MID($A$3:$A$16,4,2)=C21),$D$3:$D$16)),"#,##0백만원")</f>
        <v>133,892백만원</v>
      </c>
      <c r="F21" s="65">
        <v>2</v>
      </c>
      <c r="G21" s="65" t="s">
        <v>286</v>
      </c>
    </row>
    <row r="22" spans="1:7">
      <c r="F22" s="65">
        <v>3</v>
      </c>
      <c r="G22" s="65" t="s">
        <v>292</v>
      </c>
    </row>
    <row r="23" spans="1:7">
      <c r="F23" s="65">
        <v>4</v>
      </c>
      <c r="G23" s="65" t="s">
        <v>295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/>
  <dimension ref="A1:K23"/>
  <sheetViews>
    <sheetView workbookViewId="0"/>
  </sheetViews>
  <sheetFormatPr defaultRowHeight="16.5"/>
  <cols>
    <col min="4" max="4" width="10.625" bestFit="1" customWidth="1"/>
    <col min="5" max="5" width="10.625" style="66" customWidth="1"/>
    <col min="7" max="7" width="10.625" bestFit="1" customWidth="1"/>
    <col min="8" max="9" width="13.125" bestFit="1" customWidth="1"/>
    <col min="10" max="10" width="12.25" customWidth="1"/>
  </cols>
  <sheetData>
    <row r="1" spans="1:11">
      <c r="A1" s="53" t="s">
        <v>214</v>
      </c>
      <c r="B1" s="51"/>
      <c r="C1" s="51"/>
      <c r="D1" s="51"/>
      <c r="E1" s="51"/>
      <c r="F1" s="51"/>
      <c r="G1" s="53" t="s">
        <v>301</v>
      </c>
      <c r="H1" s="68"/>
    </row>
    <row r="2" spans="1:11">
      <c r="A2" s="46" t="s">
        <v>308</v>
      </c>
      <c r="B2" s="46" t="s">
        <v>215</v>
      </c>
      <c r="C2" s="46" t="s">
        <v>216</v>
      </c>
      <c r="D2" s="46" t="s">
        <v>217</v>
      </c>
      <c r="E2" s="69" t="s">
        <v>312</v>
      </c>
      <c r="G2" s="46" t="s">
        <v>224</v>
      </c>
      <c r="H2" s="69" t="s">
        <v>299</v>
      </c>
      <c r="I2" s="23" t="s">
        <v>300</v>
      </c>
    </row>
    <row r="3" spans="1:11">
      <c r="A3" s="8" t="s">
        <v>14</v>
      </c>
      <c r="B3" s="49" t="s">
        <v>218</v>
      </c>
      <c r="C3" s="49" t="s">
        <v>219</v>
      </c>
      <c r="D3" s="52">
        <v>260000</v>
      </c>
      <c r="E3" s="52" cm="1">
        <f t="array" ref="E3">fn할인액(C3,D3)</f>
        <v>0</v>
      </c>
      <c r="G3" s="49" t="s">
        <v>213</v>
      </c>
      <c r="H3" s="18">
        <f t="array" ref="H3">ROUNDDOWN(AVERAGE(IF(($B$3:$B$22=G3)*(($C$3:$C$22="저축")+($C$3:$C$22="연금")),$D$3:$D$22)),-2)</f>
        <v>730000</v>
      </c>
      <c r="I3" s="65" t="str">
        <f t="array" ref="I3">INDEX($A$3:$A$22,MATCH(MAX(($B$3:$B$22=G3)*$D$3:$D$22),($B$3:$B$22=G3)*$D$3:$D$22,0))</f>
        <v>김영철</v>
      </c>
    </row>
    <row r="4" spans="1:11">
      <c r="A4" s="8" t="s">
        <v>15</v>
      </c>
      <c r="B4" s="49" t="s">
        <v>304</v>
      </c>
      <c r="C4" s="49" t="s">
        <v>220</v>
      </c>
      <c r="D4" s="52">
        <v>80000</v>
      </c>
      <c r="E4" s="52" cm="1">
        <f t="array" ref="E4">fn할인액(C4,D4)</f>
        <v>0</v>
      </c>
      <c r="G4" s="49" t="s">
        <v>304</v>
      </c>
      <c r="H4" s="18">
        <f t="array" ref="H4">ROUNDDOWN(AVERAGE(IF(($B$3:$B$22=G4)*(($C$3:$C$22="저축")+($C$3:$C$22="연금")),$D$3:$D$22)),-2)</f>
        <v>450000</v>
      </c>
      <c r="I4" s="65" t="str">
        <f t="array" ref="I4">INDEX($A$3:$A$22,MATCH(MAX(($B$3:$B$22=G4)*$D$3:$D$22),($B$3:$B$22=G4)*$D$3:$D$22,0))</f>
        <v>이보아</v>
      </c>
    </row>
    <row r="5" spans="1:11">
      <c r="A5" s="8" t="s">
        <v>16</v>
      </c>
      <c r="B5" s="49" t="s">
        <v>307</v>
      </c>
      <c r="C5" s="49" t="s">
        <v>221</v>
      </c>
      <c r="D5" s="52">
        <v>205000</v>
      </c>
      <c r="E5" s="52" cm="1">
        <f t="array" ref="E5">fn할인액(C5,D5)</f>
        <v>8200</v>
      </c>
      <c r="G5" s="49" t="s">
        <v>306</v>
      </c>
      <c r="H5" s="18">
        <f t="array" ref="H5">ROUNDDOWN(AVERAGE(IF(($B$3:$B$22=G5)*(($C$3:$C$22="저축")+($C$3:$C$22="연금")),$D$3:$D$22)),-2)</f>
        <v>165000</v>
      </c>
      <c r="I5" s="65" t="str">
        <f t="array" ref="I5">INDEX($A$3:$A$22,MATCH(MAX(($B$3:$B$22=G5)*$D$3:$D$22),($B$3:$B$22=G5)*$D$3:$D$22,0))</f>
        <v>이성철</v>
      </c>
    </row>
    <row r="6" spans="1:11">
      <c r="A6" s="8" t="s">
        <v>17</v>
      </c>
      <c r="B6" s="49" t="s">
        <v>306</v>
      </c>
      <c r="C6" s="49" t="s">
        <v>219</v>
      </c>
      <c r="D6" s="52">
        <v>55000</v>
      </c>
      <c r="E6" s="52" cm="1">
        <f t="array" ref="E6">fn할인액(C6,D6)</f>
        <v>0</v>
      </c>
      <c r="G6" s="49" t="s">
        <v>305</v>
      </c>
      <c r="H6" s="18">
        <f t="array" ref="H6">ROUNDDOWN(AVERAGE(IF(($B$3:$B$22=G6)*(($C$3:$C$22="저축")+($C$3:$C$22="연금")),$D$3:$D$22)),-2)</f>
        <v>630000</v>
      </c>
      <c r="I6" s="65" t="str">
        <f t="array" ref="I6">INDEX($A$3:$A$22,MATCH(MAX(($B$3:$B$22=G6)*$D$3:$D$22),($B$3:$B$22=G6)*$D$3:$D$22,0))</f>
        <v>김정현</v>
      </c>
    </row>
    <row r="7" spans="1:11">
      <c r="A7" s="8" t="s">
        <v>18</v>
      </c>
      <c r="B7" s="49" t="s">
        <v>307</v>
      </c>
      <c r="C7" s="49" t="s">
        <v>222</v>
      </c>
      <c r="D7" s="52">
        <v>280000</v>
      </c>
      <c r="E7" s="52" cm="1">
        <f t="array" ref="E7">fn할인액(C7,D7)</f>
        <v>11200</v>
      </c>
      <c r="G7" s="49" t="s">
        <v>307</v>
      </c>
      <c r="H7" s="18">
        <f t="array" ref="H7">ROUNDDOWN(AVERAGE(IF(($B$3:$B$22=G7)*(($C$3:$C$22="저축")+($C$3:$C$22="연금")),$D$3:$D$22)),-2)</f>
        <v>241600</v>
      </c>
      <c r="I7" s="65" t="str">
        <f t="array" ref="I7">INDEX($A$3:$A$22,MATCH(MAX(($B$3:$B$22=G7)*$D$3:$D$22),($B$3:$B$22=G7)*$D$3:$D$22,0))</f>
        <v>김동일</v>
      </c>
    </row>
    <row r="8" spans="1:11">
      <c r="A8" s="8" t="s">
        <v>19</v>
      </c>
      <c r="B8" s="49" t="s">
        <v>305</v>
      </c>
      <c r="C8" s="49" t="s">
        <v>220</v>
      </c>
      <c r="D8" s="52">
        <v>45000</v>
      </c>
      <c r="E8" s="52" cm="1">
        <f t="array" ref="E8">fn할인액(C8,D8)</f>
        <v>0</v>
      </c>
    </row>
    <row r="9" spans="1:11">
      <c r="A9" s="8" t="s">
        <v>20</v>
      </c>
      <c r="B9" s="49" t="s">
        <v>306</v>
      </c>
      <c r="C9" s="49" t="s">
        <v>221</v>
      </c>
      <c r="D9" s="52">
        <v>150000</v>
      </c>
      <c r="E9" s="52" cm="1">
        <f t="array" ref="E9">fn할인액(C9,D9)</f>
        <v>4500</v>
      </c>
      <c r="G9" s="50" t="s">
        <v>302</v>
      </c>
    </row>
    <row r="10" spans="1:11">
      <c r="A10" s="8" t="s">
        <v>21</v>
      </c>
      <c r="B10" s="49" t="s">
        <v>218</v>
      </c>
      <c r="C10" s="49" t="s">
        <v>221</v>
      </c>
      <c r="D10" s="52">
        <v>900000</v>
      </c>
      <c r="E10" s="52" cm="1">
        <f t="array" ref="E10">fn할인액(C10,D10)</f>
        <v>45000</v>
      </c>
      <c r="G10" s="46" t="s">
        <v>216</v>
      </c>
      <c r="H10" s="129" t="s">
        <v>311</v>
      </c>
      <c r="I10" s="129"/>
    </row>
    <row r="11" spans="1:11">
      <c r="A11" s="8" t="s">
        <v>22</v>
      </c>
      <c r="B11" s="49" t="s">
        <v>218</v>
      </c>
      <c r="C11" s="49" t="s">
        <v>220</v>
      </c>
      <c r="D11" s="52">
        <v>15000</v>
      </c>
      <c r="E11" s="52" cm="1">
        <f t="array" ref="E11">fn할인액(C11,D11)</f>
        <v>0</v>
      </c>
      <c r="G11" s="49" t="s">
        <v>219</v>
      </c>
      <c r="H11" s="128" t="str">
        <f>REPT("▶",SUMIF($C$3:$C$22,G11,$D$3:$D$22)/250000)</f>
        <v>▶▶▶</v>
      </c>
      <c r="I11" s="128"/>
    </row>
    <row r="12" spans="1:11">
      <c r="A12" s="8" t="s">
        <v>23</v>
      </c>
      <c r="B12" s="49" t="s">
        <v>307</v>
      </c>
      <c r="C12" s="49" t="s">
        <v>219</v>
      </c>
      <c r="D12" s="52">
        <v>289000</v>
      </c>
      <c r="E12" s="52" cm="1">
        <f t="array" ref="E12">fn할인액(C12,D12)</f>
        <v>0</v>
      </c>
      <c r="G12" s="49" t="s">
        <v>220</v>
      </c>
      <c r="H12" s="128" t="str">
        <f t="shared" ref="H12:H14" si="0">REPT("▶",SUMIF($C$3:$C$22,G12,$D$3:$D$22)/250000)</f>
        <v>▶▶▶</v>
      </c>
      <c r="I12" s="128"/>
      <c r="J12" s="66"/>
      <c r="K12" s="66"/>
    </row>
    <row r="13" spans="1:11">
      <c r="A13" s="8" t="s">
        <v>24</v>
      </c>
      <c r="B13" s="49" t="s">
        <v>307</v>
      </c>
      <c r="C13" s="49" t="s">
        <v>220</v>
      </c>
      <c r="D13" s="52">
        <v>640000</v>
      </c>
      <c r="E13" s="52" cm="1">
        <f t="array" ref="E13">fn할인액(C13,D13)</f>
        <v>0</v>
      </c>
      <c r="G13" s="49" t="s">
        <v>221</v>
      </c>
      <c r="H13" s="128" t="str">
        <f t="shared" si="0"/>
        <v>▶▶▶▶▶▶▶▶▶</v>
      </c>
      <c r="I13" s="128"/>
      <c r="J13" s="66"/>
      <c r="K13" s="66"/>
    </row>
    <row r="14" spans="1:11">
      <c r="A14" s="8" t="s">
        <v>25</v>
      </c>
      <c r="B14" s="49" t="s">
        <v>218</v>
      </c>
      <c r="C14" s="49" t="s">
        <v>222</v>
      </c>
      <c r="D14" s="52">
        <v>560000</v>
      </c>
      <c r="E14" s="52" cm="1">
        <f t="array" ref="E14">fn할인액(C14,D14)</f>
        <v>28000</v>
      </c>
      <c r="G14" s="49" t="s">
        <v>222</v>
      </c>
      <c r="H14" s="128" t="str">
        <f t="shared" si="0"/>
        <v>▶▶▶▶▶▶▶▶▶</v>
      </c>
      <c r="I14" s="128"/>
      <c r="J14" s="66"/>
      <c r="K14" s="66"/>
    </row>
    <row r="15" spans="1:11">
      <c r="A15" s="8" t="s">
        <v>26</v>
      </c>
      <c r="B15" s="49" t="s">
        <v>304</v>
      </c>
      <c r="C15" s="49" t="s">
        <v>221</v>
      </c>
      <c r="D15" s="52">
        <v>400000</v>
      </c>
      <c r="E15" s="52" cm="1">
        <f t="array" ref="E15">fn할인액(C15,D15)</f>
        <v>20000</v>
      </c>
    </row>
    <row r="16" spans="1:11">
      <c r="A16" s="8" t="s">
        <v>27</v>
      </c>
      <c r="B16" s="49" t="s">
        <v>304</v>
      </c>
      <c r="C16" s="49" t="s">
        <v>219</v>
      </c>
      <c r="D16" s="52">
        <v>165000</v>
      </c>
      <c r="E16" s="52" cm="1">
        <f t="array" ref="E16">fn할인액(C16,D16)</f>
        <v>0</v>
      </c>
      <c r="G16" s="50" t="s">
        <v>303</v>
      </c>
    </row>
    <row r="17" spans="1:10">
      <c r="A17" s="49" t="s">
        <v>223</v>
      </c>
      <c r="B17" s="49" t="s">
        <v>307</v>
      </c>
      <c r="C17" s="49" t="s">
        <v>222</v>
      </c>
      <c r="D17" s="52">
        <v>240000</v>
      </c>
      <c r="E17" s="52" cm="1">
        <f t="array" ref="E17">fn할인액(C17,D17)</f>
        <v>9600</v>
      </c>
      <c r="G17" s="46" t="s">
        <v>216</v>
      </c>
      <c r="H17" s="46" t="s">
        <v>216</v>
      </c>
      <c r="I17" s="46" t="s">
        <v>216</v>
      </c>
      <c r="J17" s="46" t="s">
        <v>216</v>
      </c>
    </row>
    <row r="18" spans="1:10">
      <c r="A18" s="49" t="s">
        <v>204</v>
      </c>
      <c r="B18" s="49" t="s">
        <v>310</v>
      </c>
      <c r="C18" s="49" t="s">
        <v>219</v>
      </c>
      <c r="D18" s="52">
        <v>48000</v>
      </c>
      <c r="E18" s="52" cm="1">
        <f t="array" ref="E18">fn할인액(C18,D18)</f>
        <v>0</v>
      </c>
      <c r="G18" s="69" t="s">
        <v>219</v>
      </c>
      <c r="H18" s="69" t="s">
        <v>220</v>
      </c>
      <c r="I18" s="69" t="s">
        <v>221</v>
      </c>
      <c r="J18" s="69" t="s">
        <v>222</v>
      </c>
    </row>
    <row r="19" spans="1:10">
      <c r="A19" s="49" t="s">
        <v>205</v>
      </c>
      <c r="B19" s="49" t="s">
        <v>305</v>
      </c>
      <c r="C19" s="49" t="s">
        <v>222</v>
      </c>
      <c r="D19" s="52">
        <v>640000</v>
      </c>
      <c r="E19" s="52" cm="1">
        <f t="array" ref="E19">fn할인액(C19,D19)</f>
        <v>32000</v>
      </c>
      <c r="G19" s="32">
        <f>DCOUNTA($A$2:$D$22,$C$2,G17:G18)/COUNTA($C$3:$C$22)</f>
        <v>0.25</v>
      </c>
      <c r="H19" s="32">
        <f t="shared" ref="H19:J19" si="1">DCOUNTA($A$2:$D$22,$C$2,H17:H18)/COUNTA($C$3:$C$22)</f>
        <v>0.2</v>
      </c>
      <c r="I19" s="32">
        <f t="shared" si="1"/>
        <v>0.25</v>
      </c>
      <c r="J19" s="32">
        <f t="shared" si="1"/>
        <v>0.3</v>
      </c>
    </row>
    <row r="20" spans="1:10">
      <c r="A20" s="49" t="s">
        <v>206</v>
      </c>
      <c r="B20" s="49" t="s">
        <v>304</v>
      </c>
      <c r="C20" s="49" t="s">
        <v>222</v>
      </c>
      <c r="D20" s="52">
        <v>500000</v>
      </c>
      <c r="E20" s="52" cm="1">
        <f t="array" ref="E20">fn할인액(C20,D20)</f>
        <v>25000</v>
      </c>
    </row>
    <row r="21" spans="1:10">
      <c r="A21" s="49" t="s">
        <v>207</v>
      </c>
      <c r="B21" s="49" t="s">
        <v>309</v>
      </c>
      <c r="C21" s="49" t="s">
        <v>222</v>
      </c>
      <c r="D21" s="52">
        <v>180000</v>
      </c>
      <c r="E21" s="52" cm="1">
        <f t="array" ref="E21">fn할인액(C21,D21)</f>
        <v>5400</v>
      </c>
    </row>
    <row r="22" spans="1:10">
      <c r="A22" s="49" t="s">
        <v>208</v>
      </c>
      <c r="B22" s="49" t="s">
        <v>305</v>
      </c>
      <c r="C22" s="49" t="s">
        <v>221</v>
      </c>
      <c r="D22" s="52">
        <v>620000</v>
      </c>
      <c r="E22" s="52" cm="1">
        <f t="array" ref="E22">fn할인액(C22,D22)</f>
        <v>31000</v>
      </c>
    </row>
    <row r="23" spans="1:10">
      <c r="G23" s="16"/>
    </row>
  </sheetData>
  <mergeCells count="5">
    <mergeCell ref="H11:I11"/>
    <mergeCell ref="H12:I12"/>
    <mergeCell ref="H13:I13"/>
    <mergeCell ref="H14:I14"/>
    <mergeCell ref="H10:I10"/>
  </mergeCells>
  <phoneticPr fontId="2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"/>
  <dimension ref="A1:O37"/>
  <sheetViews>
    <sheetView topLeftCell="A13" workbookViewId="0"/>
  </sheetViews>
  <sheetFormatPr defaultRowHeight="16.5"/>
  <cols>
    <col min="1" max="1" width="13.125" customWidth="1"/>
    <col min="2" max="2" width="10.625" customWidth="1"/>
    <col min="3" max="3" width="11.125" bestFit="1" customWidth="1"/>
    <col min="4" max="4" width="11.75" customWidth="1"/>
    <col min="5" max="5" width="11.125" bestFit="1" customWidth="1"/>
    <col min="6" max="6" width="13.125" customWidth="1"/>
    <col min="7" max="7" width="11.375" customWidth="1"/>
    <col min="8" max="8" width="12.875" bestFit="1" customWidth="1"/>
    <col min="9" max="9" width="15" customWidth="1"/>
    <col min="10" max="13" width="12.875" bestFit="1" customWidth="1"/>
  </cols>
  <sheetData>
    <row r="1" spans="1:14">
      <c r="A1" s="72" t="s">
        <v>313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</row>
    <row r="2" spans="1:14">
      <c r="A2" s="46" t="s">
        <v>244</v>
      </c>
      <c r="B2" s="49" t="s">
        <v>314</v>
      </c>
      <c r="C2" s="46" t="s">
        <v>315</v>
      </c>
      <c r="D2" s="49" t="s">
        <v>328</v>
      </c>
      <c r="E2" s="49" t="s">
        <v>316</v>
      </c>
      <c r="F2" s="49" t="s">
        <v>317</v>
      </c>
      <c r="G2" s="78" t="s">
        <v>318</v>
      </c>
      <c r="H2" s="72"/>
      <c r="I2" s="72" t="s">
        <v>349</v>
      </c>
      <c r="J2" s="72"/>
      <c r="K2" s="72"/>
    </row>
    <row r="3" spans="1:14">
      <c r="A3" s="49" t="s">
        <v>333</v>
      </c>
      <c r="B3" s="49" t="s">
        <v>319</v>
      </c>
      <c r="C3" s="49" t="s">
        <v>320</v>
      </c>
      <c r="D3" s="76">
        <v>45442</v>
      </c>
      <c r="E3" s="52">
        <v>15000</v>
      </c>
      <c r="F3" s="49">
        <v>45</v>
      </c>
      <c r="G3" s="52">
        <f t="shared" ref="G3:G20" si="0">PRODUCT(E3,(1-VLOOKUP(C3,$I$3:$K$6,MATCH(YEAR(D3),$J$3:$K$3,0)+1,0)),F3)</f>
        <v>675000</v>
      </c>
      <c r="H3" s="72"/>
      <c r="I3" s="46" t="s">
        <v>315</v>
      </c>
      <c r="J3" s="73">
        <v>2023</v>
      </c>
      <c r="K3" s="73">
        <v>2024</v>
      </c>
    </row>
    <row r="4" spans="1:14">
      <c r="A4" s="49" t="s">
        <v>333</v>
      </c>
      <c r="B4" s="49" t="s">
        <v>321</v>
      </c>
      <c r="C4" s="49" t="s">
        <v>320</v>
      </c>
      <c r="D4" s="76">
        <v>45473</v>
      </c>
      <c r="E4" s="52">
        <v>44000</v>
      </c>
      <c r="F4" s="49">
        <v>60</v>
      </c>
      <c r="G4" s="52">
        <f t="shared" si="0"/>
        <v>2640000</v>
      </c>
      <c r="H4" s="72"/>
      <c r="I4" s="49" t="s">
        <v>325</v>
      </c>
      <c r="J4" s="74">
        <v>0.1</v>
      </c>
      <c r="K4" s="74">
        <v>0</v>
      </c>
    </row>
    <row r="5" spans="1:14">
      <c r="A5" s="49" t="s">
        <v>335</v>
      </c>
      <c r="B5" s="49" t="s">
        <v>321</v>
      </c>
      <c r="C5" s="49" t="s">
        <v>320</v>
      </c>
      <c r="D5" s="76">
        <v>45076</v>
      </c>
      <c r="E5" s="52">
        <v>34000</v>
      </c>
      <c r="F5" s="49">
        <v>43</v>
      </c>
      <c r="G5" s="52">
        <f t="shared" si="0"/>
        <v>1315800</v>
      </c>
      <c r="H5" s="72"/>
      <c r="I5" s="49" t="s">
        <v>326</v>
      </c>
      <c r="J5" s="74">
        <v>0.2</v>
      </c>
      <c r="K5" s="74">
        <v>0.03</v>
      </c>
    </row>
    <row r="6" spans="1:14">
      <c r="A6" s="49" t="s">
        <v>333</v>
      </c>
      <c r="B6" s="49" t="s">
        <v>319</v>
      </c>
      <c r="C6" s="49" t="s">
        <v>323</v>
      </c>
      <c r="D6" s="76">
        <v>45473</v>
      </c>
      <c r="E6" s="52">
        <v>15000</v>
      </c>
      <c r="F6" s="49">
        <v>20</v>
      </c>
      <c r="G6" s="52">
        <f t="shared" si="0"/>
        <v>285000</v>
      </c>
      <c r="H6" s="72"/>
      <c r="I6" s="49" t="s">
        <v>327</v>
      </c>
      <c r="J6" s="74">
        <v>0.3</v>
      </c>
      <c r="K6" s="74">
        <v>0.05</v>
      </c>
    </row>
    <row r="7" spans="1:14">
      <c r="A7" s="49" t="s">
        <v>334</v>
      </c>
      <c r="B7" s="49" t="s">
        <v>319</v>
      </c>
      <c r="C7" s="49" t="s">
        <v>322</v>
      </c>
      <c r="D7" s="76">
        <v>45503</v>
      </c>
      <c r="E7" s="52">
        <v>10000</v>
      </c>
      <c r="F7" s="49">
        <v>10</v>
      </c>
      <c r="G7" s="52">
        <f t="shared" si="0"/>
        <v>97000</v>
      </c>
      <c r="H7" s="72"/>
      <c r="I7" s="72"/>
    </row>
    <row r="8" spans="1:14">
      <c r="A8" s="49" t="s">
        <v>334</v>
      </c>
      <c r="B8" s="49" t="s">
        <v>319</v>
      </c>
      <c r="C8" s="49" t="s">
        <v>339</v>
      </c>
      <c r="D8" s="76">
        <v>45168</v>
      </c>
      <c r="E8" s="52">
        <v>30000</v>
      </c>
      <c r="F8" s="49">
        <v>34</v>
      </c>
      <c r="G8" s="52">
        <f t="shared" si="0"/>
        <v>918000</v>
      </c>
      <c r="H8" s="72"/>
      <c r="I8" s="72" t="s">
        <v>344</v>
      </c>
      <c r="J8" s="72"/>
      <c r="K8" s="72"/>
    </row>
    <row r="9" spans="1:14">
      <c r="A9" s="49" t="s">
        <v>334</v>
      </c>
      <c r="B9" s="49" t="s">
        <v>321</v>
      </c>
      <c r="C9" s="49" t="s">
        <v>323</v>
      </c>
      <c r="D9" s="76">
        <v>45137</v>
      </c>
      <c r="E9" s="52">
        <v>10000</v>
      </c>
      <c r="F9" s="49">
        <v>40</v>
      </c>
      <c r="G9" s="52">
        <f t="shared" si="0"/>
        <v>280000</v>
      </c>
      <c r="H9" s="72"/>
      <c r="I9" s="49" t="s">
        <v>314</v>
      </c>
      <c r="J9" s="77">
        <v>2023</v>
      </c>
      <c r="K9" s="77">
        <v>2024</v>
      </c>
    </row>
    <row r="10" spans="1:14">
      <c r="A10" s="49" t="s">
        <v>333</v>
      </c>
      <c r="B10" s="49" t="s">
        <v>321</v>
      </c>
      <c r="C10" s="49" t="s">
        <v>323</v>
      </c>
      <c r="D10" s="76">
        <v>45534</v>
      </c>
      <c r="E10" s="52">
        <v>25000</v>
      </c>
      <c r="F10" s="49">
        <v>53</v>
      </c>
      <c r="G10" s="52">
        <f t="shared" si="0"/>
        <v>1258750</v>
      </c>
      <c r="H10" s="72"/>
      <c r="I10" s="78" t="s">
        <v>340</v>
      </c>
      <c r="J10" s="52">
        <f t="array" ref="J10">IF(ISERROR(LARGE(($B$3:$B$20=$I10)*(YEAR($D$3:$D$20)=J$9)*$E$3:$E$20,1)),0,LARGE(($B$3:$B$20=$I10)*(YEAR($D$3:$D$20)=J$9)*$E$3:$E$20,1))</f>
        <v>36000</v>
      </c>
      <c r="K10" s="52">
        <f t="array" ref="K10">IF(ISERROR(LARGE(($B$3:$B$20=$I10)*(YEAR($D$3:$D$20)=K$9)*$E$3:$E$20,1)),0,LARGE(($B$3:$B$20=$I10)*(YEAR($D$3:$D$20)=K$9)*$E$3:$E$20,1))</f>
        <v>15000</v>
      </c>
    </row>
    <row r="11" spans="1:14">
      <c r="A11" s="49" t="s">
        <v>335</v>
      </c>
      <c r="B11" s="49" t="s">
        <v>319</v>
      </c>
      <c r="C11" s="49" t="s">
        <v>338</v>
      </c>
      <c r="D11" s="76">
        <v>45473</v>
      </c>
      <c r="E11" s="52">
        <v>10000</v>
      </c>
      <c r="F11" s="49">
        <v>37</v>
      </c>
      <c r="G11" s="52">
        <f t="shared" si="0"/>
        <v>370000</v>
      </c>
      <c r="H11" s="72"/>
      <c r="I11" s="78" t="s">
        <v>341</v>
      </c>
      <c r="J11" s="52">
        <f t="array" ref="J11">IF(ISERROR(LARGE(($B$3:$B$20=$I11)*(YEAR($D$3:$D$20)=J$9)*$E$3:$E$20,1)),0,LARGE(($B$3:$B$20=$I11)*(YEAR($D$3:$D$20)=J$9)*$E$3:$E$20,1))</f>
        <v>200000</v>
      </c>
      <c r="K11" s="52">
        <f t="array" ref="K11">IF(ISERROR(LARGE(($B$3:$B$20=$I11)*(YEAR($D$3:$D$20)=K$9)*$E$3:$E$20,1)),0,LARGE(($B$3:$B$20=$I11)*(YEAR($D$3:$D$20)=K$9)*$E$3:$E$20,1))</f>
        <v>70000</v>
      </c>
    </row>
    <row r="12" spans="1:14">
      <c r="A12" s="49" t="s">
        <v>334</v>
      </c>
      <c r="B12" s="49" t="s">
        <v>321</v>
      </c>
      <c r="C12" s="49" t="s">
        <v>320</v>
      </c>
      <c r="D12" s="76">
        <v>45076</v>
      </c>
      <c r="E12" s="52">
        <v>10000</v>
      </c>
      <c r="F12" s="49">
        <v>40</v>
      </c>
      <c r="G12" s="52">
        <f t="shared" si="0"/>
        <v>360000</v>
      </c>
      <c r="H12" s="72"/>
      <c r="I12" s="78" t="s">
        <v>342</v>
      </c>
      <c r="J12" s="52">
        <f t="array" ref="J12">IF(ISERROR(LARGE(($B$3:$B$20=$I12)*(YEAR($D$3:$D$20)=J$9)*$E$3:$E$20,1)),0,LARGE(($B$3:$B$20=$I12)*(YEAR($D$3:$D$20)=J$9)*$E$3:$E$20,1))</f>
        <v>40000</v>
      </c>
      <c r="K12" s="52">
        <f t="array" ref="K12">IF(ISERROR(LARGE(($B$3:$B$20=$I12)*(YEAR($D$3:$D$20)=K$9)*$E$3:$E$20,1)),0,LARGE(($B$3:$B$20=$I12)*(YEAR($D$3:$D$20)=K$9)*$E$3:$E$20,1))</f>
        <v>70000</v>
      </c>
    </row>
    <row r="13" spans="1:14">
      <c r="A13" s="49" t="s">
        <v>336</v>
      </c>
      <c r="B13" s="49" t="s">
        <v>321</v>
      </c>
      <c r="C13" s="49" t="s">
        <v>320</v>
      </c>
      <c r="D13" s="76">
        <v>45473</v>
      </c>
      <c r="E13" s="52">
        <v>60000</v>
      </c>
      <c r="F13" s="49">
        <v>80</v>
      </c>
      <c r="G13" s="52">
        <f t="shared" si="0"/>
        <v>4800000</v>
      </c>
      <c r="H13" s="72"/>
      <c r="I13" s="72"/>
    </row>
    <row r="14" spans="1:14">
      <c r="A14" s="49" t="s">
        <v>335</v>
      </c>
      <c r="B14" s="49" t="s">
        <v>321</v>
      </c>
      <c r="C14" s="49" t="s">
        <v>320</v>
      </c>
      <c r="D14" s="76">
        <v>45498</v>
      </c>
      <c r="E14" s="52">
        <v>20000</v>
      </c>
      <c r="F14" s="49">
        <v>66</v>
      </c>
      <c r="G14" s="52">
        <f t="shared" si="0"/>
        <v>1320000</v>
      </c>
      <c r="H14" s="72"/>
      <c r="I14" s="72" t="s">
        <v>343</v>
      </c>
      <c r="J14" s="72"/>
    </row>
    <row r="15" spans="1:14">
      <c r="A15" s="49" t="s">
        <v>333</v>
      </c>
      <c r="B15" s="49" t="s">
        <v>321</v>
      </c>
      <c r="C15" s="49" t="s">
        <v>320</v>
      </c>
      <c r="D15" s="76">
        <v>45163</v>
      </c>
      <c r="E15" s="52">
        <v>200000</v>
      </c>
      <c r="F15" s="49">
        <v>75</v>
      </c>
      <c r="G15" s="52">
        <f t="shared" si="0"/>
        <v>13500000</v>
      </c>
      <c r="H15" s="72"/>
      <c r="I15" s="49" t="s">
        <v>332</v>
      </c>
      <c r="J15" s="71" t="s">
        <v>337</v>
      </c>
    </row>
    <row r="16" spans="1:14">
      <c r="A16" s="49" t="s">
        <v>334</v>
      </c>
      <c r="B16" s="49" t="s">
        <v>319</v>
      </c>
      <c r="C16" s="49" t="s">
        <v>322</v>
      </c>
      <c r="D16" s="76">
        <v>45170</v>
      </c>
      <c r="E16" s="52">
        <v>36000</v>
      </c>
      <c r="F16" s="49">
        <v>53</v>
      </c>
      <c r="G16" s="52">
        <f t="shared" si="0"/>
        <v>1526400</v>
      </c>
      <c r="H16" s="72"/>
      <c r="I16" s="49" t="s">
        <v>329</v>
      </c>
      <c r="J16" s="75" t="str">
        <f>REPT("☆",COUNTIFS($C$3:$C$20,"무농약",$A$3:$A$20,I16&amp;"*"))</f>
        <v>☆☆</v>
      </c>
    </row>
    <row r="17" spans="1:15">
      <c r="A17" s="49" t="s">
        <v>336</v>
      </c>
      <c r="B17" s="49" t="s">
        <v>324</v>
      </c>
      <c r="C17" s="49" t="s">
        <v>322</v>
      </c>
      <c r="D17" s="76">
        <v>45537</v>
      </c>
      <c r="E17" s="52">
        <v>70000</v>
      </c>
      <c r="F17" s="49">
        <v>60</v>
      </c>
      <c r="G17" s="52">
        <f t="shared" si="0"/>
        <v>4074000</v>
      </c>
      <c r="H17" s="72"/>
      <c r="I17" s="49" t="s">
        <v>330</v>
      </c>
      <c r="J17" s="75" t="str">
        <f t="shared" ref="J17:J18" si="1">REPT("☆",COUNTIFS($C$3:$C$20,"무농약",$A$3:$A$20,I17&amp;"*"))</f>
        <v>☆☆☆</v>
      </c>
    </row>
    <row r="18" spans="1:15">
      <c r="A18" s="49" t="s">
        <v>333</v>
      </c>
      <c r="B18" s="49" t="s">
        <v>324</v>
      </c>
      <c r="C18" s="49" t="s">
        <v>320</v>
      </c>
      <c r="D18" s="76">
        <v>45199</v>
      </c>
      <c r="E18" s="52">
        <v>25000</v>
      </c>
      <c r="F18" s="49">
        <v>32</v>
      </c>
      <c r="G18" s="52">
        <f t="shared" si="0"/>
        <v>720000</v>
      </c>
      <c r="H18" s="72"/>
      <c r="I18" s="49" t="s">
        <v>331</v>
      </c>
      <c r="J18" s="75" t="str">
        <f t="shared" si="1"/>
        <v>☆☆☆☆☆</v>
      </c>
    </row>
    <row r="19" spans="1:15">
      <c r="A19" s="49" t="s">
        <v>333</v>
      </c>
      <c r="B19" s="49" t="s">
        <v>324</v>
      </c>
      <c r="C19" s="49" t="s">
        <v>322</v>
      </c>
      <c r="D19" s="76">
        <v>45102</v>
      </c>
      <c r="E19" s="52">
        <v>40000</v>
      </c>
      <c r="F19" s="49">
        <v>5</v>
      </c>
      <c r="G19" s="52">
        <f t="shared" si="0"/>
        <v>160000</v>
      </c>
      <c r="H19" s="72"/>
      <c r="I19" s="72"/>
    </row>
    <row r="20" spans="1:15">
      <c r="A20" s="49" t="s">
        <v>333</v>
      </c>
      <c r="B20" s="49" t="s">
        <v>321</v>
      </c>
      <c r="C20" s="49" t="s">
        <v>320</v>
      </c>
      <c r="D20" s="76">
        <v>45437</v>
      </c>
      <c r="E20" s="52">
        <v>70000</v>
      </c>
      <c r="F20" s="49">
        <v>24</v>
      </c>
      <c r="G20" s="52">
        <f t="shared" si="0"/>
        <v>1680000</v>
      </c>
      <c r="H20" s="72"/>
      <c r="I20" s="72"/>
    </row>
    <row r="21" spans="1:15">
      <c r="A21" s="72"/>
      <c r="B21" s="72"/>
      <c r="C21" s="72"/>
      <c r="D21" s="72"/>
      <c r="E21" s="72"/>
      <c r="F21" s="72"/>
      <c r="G21" s="72"/>
      <c r="H21" s="72"/>
      <c r="I21" s="72"/>
      <c r="J21" s="72"/>
      <c r="K21" s="72"/>
      <c r="L21" s="72"/>
    </row>
    <row r="22" spans="1:15">
      <c r="A22" s="33" t="s">
        <v>345</v>
      </c>
      <c r="B22" s="33"/>
      <c r="D22" s="29" t="s">
        <v>231</v>
      </c>
      <c r="E22" s="63">
        <v>45996</v>
      </c>
      <c r="G22" s="33" t="s">
        <v>346</v>
      </c>
      <c r="I22" s="33"/>
      <c r="J22" s="33"/>
      <c r="L22" s="33"/>
      <c r="M22" s="33"/>
      <c r="N22" s="72"/>
      <c r="O22" s="72"/>
    </row>
    <row r="23" spans="1:15">
      <c r="A23" s="70" t="s">
        <v>230</v>
      </c>
      <c r="B23" s="70" t="s">
        <v>232</v>
      </c>
      <c r="C23" s="70" t="s">
        <v>229</v>
      </c>
      <c r="D23" s="81" t="s">
        <v>233</v>
      </c>
      <c r="E23" s="81" t="s">
        <v>348</v>
      </c>
      <c r="F23" s="79"/>
      <c r="G23" s="62">
        <v>1</v>
      </c>
      <c r="H23" s="62">
        <v>2</v>
      </c>
      <c r="I23" s="62">
        <v>3</v>
      </c>
      <c r="J23" s="62">
        <v>4</v>
      </c>
      <c r="K23" s="62">
        <v>5</v>
      </c>
      <c r="M23" s="72"/>
      <c r="N23" s="72"/>
    </row>
    <row r="24" spans="1:15" ht="17.100000000000001" customHeight="1">
      <c r="A24" s="70" t="s">
        <v>228</v>
      </c>
      <c r="B24" s="54">
        <v>3154200</v>
      </c>
      <c r="C24" s="55">
        <v>44836</v>
      </c>
      <c r="D24" s="54">
        <f>B24*VLOOKUP(_xlfn.DAYS($E$22,C24)/30,$G$26:$K$29,LOOKUP(ABS(B24),$I$24:$K$24,$I$23:$K$23))</f>
        <v>63084</v>
      </c>
      <c r="E24" s="54" t="str" cm="1">
        <f t="array" ref="E24">fn예금종류(A24)</f>
        <v>연금저축</v>
      </c>
      <c r="F24" s="80"/>
      <c r="G24" s="130" t="s">
        <v>347</v>
      </c>
      <c r="H24" s="131"/>
      <c r="I24" s="61">
        <v>0</v>
      </c>
      <c r="J24" s="61">
        <v>1000000</v>
      </c>
      <c r="K24" s="61">
        <v>2000000</v>
      </c>
      <c r="M24" s="72"/>
      <c r="N24" s="72"/>
    </row>
    <row r="25" spans="1:15">
      <c r="A25" s="70" t="s">
        <v>234</v>
      </c>
      <c r="B25" s="54">
        <v>575000</v>
      </c>
      <c r="C25" s="55">
        <v>43589</v>
      </c>
      <c r="D25" s="54">
        <f t="shared" ref="D25:D37" si="2">B25*VLOOKUP(_xlfn.DAYS($E$22,C25)/30,$G$26:$K$29,LOOKUP(ABS(B25),$I$24:$K$24,$I$23:$K$23))</f>
        <v>14375</v>
      </c>
      <c r="E25" s="54" t="str" cm="1">
        <f t="array" ref="E25">fn예금종류(A25)</f>
        <v>자유저축</v>
      </c>
      <c r="F25" s="80"/>
      <c r="G25" s="132"/>
      <c r="H25" s="133"/>
      <c r="I25" s="60">
        <v>1000000</v>
      </c>
      <c r="J25" s="60">
        <v>2000000</v>
      </c>
      <c r="K25" s="59"/>
      <c r="M25" s="72"/>
      <c r="N25" s="72"/>
    </row>
    <row r="26" spans="1:15">
      <c r="A26" s="70" t="s">
        <v>235</v>
      </c>
      <c r="B26" s="54">
        <v>756520</v>
      </c>
      <c r="C26" s="55">
        <v>43894</v>
      </c>
      <c r="D26" s="54">
        <f t="shared" si="2"/>
        <v>18913</v>
      </c>
      <c r="E26" s="54" t="str" cm="1">
        <f t="array" ref="E26">fn예금종류(A26)</f>
        <v>연금저축</v>
      </c>
      <c r="F26" s="80"/>
      <c r="G26" s="58">
        <v>0</v>
      </c>
      <c r="H26" s="57">
        <v>24</v>
      </c>
      <c r="I26" s="56">
        <v>0.01</v>
      </c>
      <c r="J26" s="56">
        <v>1.35E-2</v>
      </c>
      <c r="K26" s="56">
        <v>1.4999999999999999E-2</v>
      </c>
      <c r="M26" s="72"/>
      <c r="N26" s="72"/>
    </row>
    <row r="27" spans="1:15">
      <c r="A27" s="70" t="s">
        <v>236</v>
      </c>
      <c r="B27" s="54">
        <v>2156000</v>
      </c>
      <c r="C27" s="55">
        <v>44685</v>
      </c>
      <c r="D27" s="54">
        <f t="shared" si="2"/>
        <v>43120</v>
      </c>
      <c r="E27" s="54" t="str" cm="1">
        <f t="array" ref="E27">fn예금종류(A27)</f>
        <v>연금저축</v>
      </c>
      <c r="F27" s="80"/>
      <c r="G27" s="58">
        <v>24</v>
      </c>
      <c r="H27" s="57">
        <v>48</v>
      </c>
      <c r="I27" s="56">
        <v>1.4999999999999999E-2</v>
      </c>
      <c r="J27" s="56">
        <v>1.8499999999999999E-2</v>
      </c>
      <c r="K27" s="56">
        <v>0.02</v>
      </c>
      <c r="M27" s="72"/>
      <c r="N27" s="72"/>
    </row>
    <row r="28" spans="1:15">
      <c r="A28" s="70" t="s">
        <v>237</v>
      </c>
      <c r="B28" s="54">
        <v>325000</v>
      </c>
      <c r="C28" s="55">
        <v>44839</v>
      </c>
      <c r="D28" s="54">
        <f t="shared" si="2"/>
        <v>4875</v>
      </c>
      <c r="E28" s="54" t="str" cm="1">
        <f t="array" ref="E28">fn예금종류(A28)</f>
        <v>정기적금</v>
      </c>
      <c r="F28" s="80"/>
      <c r="G28" s="58">
        <v>48</v>
      </c>
      <c r="H28" s="57">
        <v>70</v>
      </c>
      <c r="I28" s="56">
        <v>0.02</v>
      </c>
      <c r="J28" s="56">
        <v>2.4E-2</v>
      </c>
      <c r="K28" s="56">
        <v>2.5999999999999999E-2</v>
      </c>
      <c r="M28" s="72"/>
      <c r="N28" s="72"/>
    </row>
    <row r="29" spans="1:15">
      <c r="A29" s="70" t="s">
        <v>227</v>
      </c>
      <c r="B29" s="54">
        <v>5650000</v>
      </c>
      <c r="C29" s="55">
        <v>44961</v>
      </c>
      <c r="D29" s="54">
        <f t="shared" si="2"/>
        <v>113000</v>
      </c>
      <c r="E29" s="54" t="str" cm="1">
        <f t="array" ref="E29">fn예금종류(A29)</f>
        <v>연금저축</v>
      </c>
      <c r="F29" s="80"/>
      <c r="G29" s="58">
        <v>70</v>
      </c>
      <c r="H29" s="57"/>
      <c r="I29" s="56">
        <v>2.5000000000000001E-2</v>
      </c>
      <c r="J29" s="56">
        <v>2.8000000000000001E-2</v>
      </c>
      <c r="K29" s="56">
        <v>0.03</v>
      </c>
    </row>
    <row r="30" spans="1:15">
      <c r="A30" s="70" t="s">
        <v>238</v>
      </c>
      <c r="B30" s="54">
        <v>357000</v>
      </c>
      <c r="C30" s="55">
        <v>44387</v>
      </c>
      <c r="D30" s="54">
        <f t="shared" si="2"/>
        <v>7140</v>
      </c>
      <c r="E30" s="54" t="str" cm="1">
        <f t="array" ref="E30">fn예금종류(A30)</f>
        <v>자유저축</v>
      </c>
      <c r="F30" s="33"/>
      <c r="G30" s="33"/>
      <c r="H30" s="33"/>
      <c r="I30" s="33"/>
      <c r="J30" s="33"/>
      <c r="K30" s="33"/>
    </row>
    <row r="31" spans="1:15">
      <c r="A31" s="70" t="s">
        <v>239</v>
      </c>
      <c r="B31" s="54">
        <v>-3230000</v>
      </c>
      <c r="C31" s="55">
        <v>44995</v>
      </c>
      <c r="D31" s="54">
        <f t="shared" si="2"/>
        <v>-64600</v>
      </c>
      <c r="E31" s="54" t="str" cm="1">
        <f t="array" ref="E31">fn예금종류(A31)</f>
        <v>연금저축</v>
      </c>
      <c r="F31" s="33"/>
      <c r="G31" s="33"/>
      <c r="H31" s="33"/>
      <c r="I31" s="33"/>
      <c r="J31" s="33"/>
      <c r="K31" s="33"/>
    </row>
    <row r="32" spans="1:15">
      <c r="A32" s="70" t="s">
        <v>240</v>
      </c>
      <c r="B32" s="54">
        <v>55500</v>
      </c>
      <c r="C32" s="55">
        <v>44550</v>
      </c>
      <c r="D32" s="54">
        <f t="shared" si="2"/>
        <v>1110</v>
      </c>
      <c r="E32" s="54" t="str" cm="1">
        <f t="array" ref="E32">fn예금종류(A32)</f>
        <v>자유저축</v>
      </c>
      <c r="F32" s="33"/>
      <c r="G32" s="33"/>
      <c r="H32" s="33"/>
      <c r="I32" s="33"/>
      <c r="J32" s="33"/>
      <c r="K32" s="33"/>
    </row>
    <row r="33" spans="1:11">
      <c r="A33" s="70" t="s">
        <v>226</v>
      </c>
      <c r="B33" s="39">
        <v>-75000</v>
      </c>
      <c r="C33" s="55">
        <v>44962</v>
      </c>
      <c r="D33" s="54">
        <f t="shared" si="2"/>
        <v>-1125</v>
      </c>
      <c r="E33" s="54" t="str" cm="1">
        <f t="array" ref="E33">fn예금종류(A33)</f>
        <v>자유저축</v>
      </c>
      <c r="F33" s="33"/>
      <c r="G33" s="33"/>
      <c r="H33" s="33"/>
      <c r="I33" s="33"/>
      <c r="J33" s="33"/>
      <c r="K33" s="33"/>
    </row>
    <row r="34" spans="1:11">
      <c r="A34" s="70" t="s">
        <v>225</v>
      </c>
      <c r="B34" s="39">
        <v>98500</v>
      </c>
      <c r="C34" s="55">
        <v>44601</v>
      </c>
      <c r="D34" s="54">
        <f t="shared" si="2"/>
        <v>1477.5</v>
      </c>
      <c r="E34" s="54" t="str" cm="1">
        <f t="array" ref="E34">fn예금종류(A34)</f>
        <v>정기적금</v>
      </c>
      <c r="F34" s="33"/>
      <c r="G34" s="33"/>
      <c r="H34" s="33"/>
      <c r="I34" s="33"/>
      <c r="J34" s="33"/>
      <c r="K34" s="33"/>
    </row>
    <row r="35" spans="1:11">
      <c r="A35" s="70" t="s">
        <v>241</v>
      </c>
      <c r="B35" s="39">
        <v>456000</v>
      </c>
      <c r="C35" s="55">
        <v>44259</v>
      </c>
      <c r="D35" s="54">
        <f t="shared" si="2"/>
        <v>9120</v>
      </c>
      <c r="E35" s="54" t="str" cm="1">
        <f t="array" ref="E35">fn예금종류(A35)</f>
        <v>자유저축</v>
      </c>
      <c r="F35" s="33"/>
      <c r="G35" s="33"/>
      <c r="H35" s="33"/>
      <c r="I35" s="33"/>
      <c r="J35" s="33"/>
      <c r="K35" s="33"/>
    </row>
    <row r="36" spans="1:11">
      <c r="A36" s="70" t="s">
        <v>242</v>
      </c>
      <c r="B36" s="39">
        <v>956000</v>
      </c>
      <c r="C36" s="55">
        <v>45055</v>
      </c>
      <c r="D36" s="54">
        <f t="shared" si="2"/>
        <v>14340</v>
      </c>
      <c r="E36" s="54" t="str" cm="1">
        <f t="array" ref="E36">fn예금종류(A36)</f>
        <v>연금저축</v>
      </c>
      <c r="F36" s="33"/>
      <c r="G36" s="33"/>
      <c r="H36" s="33"/>
      <c r="I36" s="33"/>
      <c r="J36" s="33"/>
      <c r="K36" s="33"/>
    </row>
    <row r="37" spans="1:11">
      <c r="A37" s="70" t="s">
        <v>243</v>
      </c>
      <c r="B37" s="54">
        <v>756520</v>
      </c>
      <c r="C37" s="55">
        <v>44989</v>
      </c>
      <c r="D37" s="54">
        <f t="shared" si="2"/>
        <v>11347.8</v>
      </c>
      <c r="E37" s="54" t="str" cm="1">
        <f t="array" ref="E37">fn예금종류(A37)</f>
        <v>연금저축</v>
      </c>
      <c r="F37" s="33"/>
      <c r="G37" s="33"/>
      <c r="H37" s="33"/>
      <c r="I37" s="33"/>
      <c r="J37" s="33"/>
      <c r="K37" s="33"/>
    </row>
  </sheetData>
  <mergeCells count="1">
    <mergeCell ref="G24:H25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1</vt:i4>
      </vt:variant>
    </vt:vector>
  </HeadingPairs>
  <TitlesOfParts>
    <vt:vector size="11" baseType="lpstr">
      <vt:lpstr>계산작업1회</vt:lpstr>
      <vt:lpstr>계산작업2회</vt:lpstr>
      <vt:lpstr>계산작업3회</vt:lpstr>
      <vt:lpstr>계산작업4회</vt:lpstr>
      <vt:lpstr>계산작업5회</vt:lpstr>
      <vt:lpstr>계산작업6회</vt:lpstr>
      <vt:lpstr>계산작업7회</vt:lpstr>
      <vt:lpstr>계산작업8회</vt:lpstr>
      <vt:lpstr>계산작업9회</vt:lpstr>
      <vt:lpstr>계산작업10회</vt:lpstr>
      <vt:lpstr>계산작업9회!Extract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2021-08-27T01:33:43Z</dcterms:created>
  <dcterms:modified xsi:type="dcterms:W3CDTF">2024-07-19T02:37:45Z</dcterms:modified>
</cp:coreProperties>
</file>